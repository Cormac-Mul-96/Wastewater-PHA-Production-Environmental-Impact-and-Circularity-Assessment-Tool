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tcdud-my.sharepoint.com/personal/maoldinc_tcd_ie/Documents/Documents/Thesis/"/>
    </mc:Choice>
  </mc:AlternateContent>
  <xr:revisionPtr revIDLastSave="225" documentId="8_{0DB8F297-FAC6-4A89-9935-A16EA7C93EF9}" xr6:coauthVersionLast="47" xr6:coauthVersionMax="47" xr10:uidLastSave="{BD7442BF-2288-483B-9710-AB15A6090769}"/>
  <bookViews>
    <workbookView xWindow="-28920" yWindow="-120" windowWidth="29040" windowHeight="15720" tabRatio="847" firstSheet="1" activeTab="1" xr2:uid="{E8DC4B6A-2432-4FBC-B87E-55FC9B3BE883}"/>
  </bookViews>
  <sheets>
    <sheet name="Hidden Sheet" sheetId="7" state="hidden" r:id="rId1"/>
    <sheet name="Parameter Inputs" sheetId="5" r:id="rId2"/>
    <sheet name="Results. Production Costs" sheetId="11" r:id="rId3"/>
    <sheet name="Results. Infrastructure" sheetId="14" r:id="rId4"/>
    <sheet name="Results. PHA Mass Balance" sheetId="1" r:id="rId5"/>
    <sheet name="Results. Energy Balance" sheetId="8" r:id="rId6"/>
    <sheet name="Results. LCIA" sheetId="2" r:id="rId7"/>
    <sheet name="Results. Circularity" sheetId="41" r:id="rId8"/>
  </sheets>
  <definedNames>
    <definedName name="Biogas">'Parameter Inputs'!$BM$38:$BM$39</definedName>
    <definedName name="Biogas_Production">'Parameter Inputs'!$BM$38:$BM$39</definedName>
    <definedName name="Bogas_Production">'Parameter Inputs'!$BM$38:$BM$39</definedName>
    <definedName name="Combined">'Parameter Inputs'!#REF!</definedName>
    <definedName name="PHA">'Parameter Inputs'!$BL$38:$BL$39</definedName>
    <definedName name="PHA_Production">'Parameter Inputs'!$BL$38:$BL$39</definedName>
    <definedName name="Primary">'Parameter Inputs'!#REF!</definedName>
    <definedName name="Primary_WAS">'Parameter Inputs'!#REF!</definedName>
    <definedName name="solver_adj" localSheetId="1" hidden="1">'Parameter Inputs'!$G$7:$G$9</definedName>
    <definedName name="solver_cvg" localSheetId="1" hidden="1">0.0001</definedName>
    <definedName name="solver_cvg" localSheetId="2" hidden="1">0.0001</definedName>
    <definedName name="solver_drv" localSheetId="1" hidden="1">1</definedName>
    <definedName name="solver_drv" localSheetId="2" hidden="1">1</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lhs1" localSheetId="1" hidden="1">'Parameter Inputs'!$G$9</definedName>
    <definedName name="solver_lhs2" localSheetId="1" hidden="1">'Parameter Inputs'!$G$7</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2</definedName>
    <definedName name="solver_num" localSheetId="2" hidden="1">0</definedName>
    <definedName name="solver_nwt" localSheetId="1" hidden="1">1</definedName>
    <definedName name="solver_nwt" localSheetId="2" hidden="1">1</definedName>
    <definedName name="solver_opt" localSheetId="1" hidden="1">'Parameter Inputs'!$E$769</definedName>
    <definedName name="solver_opt" localSheetId="2" hidden="1">'Parameter Inputs'!$J$1571</definedName>
    <definedName name="solver_pre" localSheetId="1" hidden="1">0.000001</definedName>
    <definedName name="solver_pre" localSheetId="2" hidden="1">0.000001</definedName>
    <definedName name="solver_rbv" localSheetId="1" hidden="1">1</definedName>
    <definedName name="solver_rbv" localSheetId="2" hidden="1">1</definedName>
    <definedName name="solver_rel1" localSheetId="1" hidden="1">2</definedName>
    <definedName name="solver_rel2" localSheetId="1" hidden="1">1</definedName>
    <definedName name="solver_rhs1" localSheetId="1" hidden="1">1-'Parameter Inputs'!$G$7</definedName>
    <definedName name="solver_rhs2" localSheetId="1" hidden="1">100%</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1</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 name="WAS">'Parameter Inputs'!#REF!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5" l="1"/>
  <c r="I992" i="7" s="1" a="1"/>
  <c r="I992" i="7" s="1"/>
  <c r="E1707" i="7"/>
  <c r="E1706" i="7"/>
  <c r="E1708" i="7" s="1"/>
  <c r="E1705" i="7"/>
  <c r="P1696" i="7"/>
  <c r="F1696" i="7"/>
  <c r="F1697" i="7" s="1"/>
  <c r="E1696" i="7"/>
  <c r="E1697" i="7" s="1"/>
  <c r="G1695" i="7"/>
  <c r="G1696" i="7" s="1"/>
  <c r="G1697" i="7" s="1"/>
  <c r="F1695" i="7"/>
  <c r="E1695" i="7"/>
  <c r="O1694" i="7"/>
  <c r="O1688" i="7"/>
  <c r="G1688" i="7"/>
  <c r="F1688" i="7"/>
  <c r="E1688" i="7"/>
  <c r="O1685" i="7"/>
  <c r="P1685" i="7" s="1"/>
  <c r="F1684" i="7"/>
  <c r="G1684" i="7" s="1"/>
  <c r="F1683" i="7"/>
  <c r="G1683" i="7" s="1"/>
  <c r="J1681" i="7"/>
  <c r="I1681" i="7"/>
  <c r="H1679" i="7"/>
  <c r="I1679" i="7" s="1"/>
  <c r="G1679" i="7"/>
  <c r="F1678" i="7"/>
  <c r="G1678" i="7" s="1"/>
  <c r="H1678" i="7" s="1"/>
  <c r="I1678" i="7" s="1"/>
  <c r="G1677" i="7"/>
  <c r="H1677" i="7" s="1"/>
  <c r="F1677" i="7"/>
  <c r="J1676" i="7"/>
  <c r="F1676" i="7"/>
  <c r="G1676" i="7" s="1"/>
  <c r="H1676" i="7" s="1"/>
  <c r="G1668" i="7"/>
  <c r="G1667" i="7"/>
  <c r="G1666" i="7"/>
  <c r="G1665" i="7"/>
  <c r="F1657" i="7"/>
  <c r="P1607" i="7"/>
  <c r="P1606" i="7"/>
  <c r="P1605" i="7"/>
  <c r="P1604" i="7"/>
  <c r="E1602" i="7"/>
  <c r="L1594" i="7"/>
  <c r="G1579" i="7"/>
  <c r="F1571" i="7"/>
  <c r="F1570" i="7"/>
  <c r="F1568" i="7"/>
  <c r="H1567" i="7"/>
  <c r="F1567" i="7"/>
  <c r="H1566" i="7"/>
  <c r="F1566" i="7"/>
  <c r="H1565" i="7"/>
  <c r="F1565" i="7"/>
  <c r="H1564" i="7"/>
  <c r="F1564" i="7"/>
  <c r="H1563" i="7"/>
  <c r="F1562" i="7"/>
  <c r="H1561" i="7"/>
  <c r="F1561" i="7"/>
  <c r="H1560" i="7"/>
  <c r="E1557" i="7"/>
  <c r="I1569" i="7" s="1"/>
  <c r="E1555" i="7"/>
  <c r="I1573" i="7" s="1"/>
  <c r="E1554" i="7"/>
  <c r="M1539" i="7"/>
  <c r="M1539" i="7" a="1"/>
  <c r="K1539" i="7"/>
  <c r="M1538" i="7" a="1"/>
  <c r="M1538" i="7" s="1"/>
  <c r="M1537" i="7"/>
  <c r="M1537" i="7" a="1"/>
  <c r="N1530" i="7"/>
  <c r="E1484" i="7"/>
  <c r="E1481" i="7"/>
  <c r="E1479" i="7"/>
  <c r="F1470" i="7"/>
  <c r="F1469" i="7"/>
  <c r="F1468" i="7"/>
  <c r="E1463" i="7"/>
  <c r="E1455" i="7"/>
  <c r="E1453" i="7"/>
  <c r="F1450" i="7"/>
  <c r="F1451" i="7" s="1"/>
  <c r="F1449" i="7"/>
  <c r="L1443" i="7"/>
  <c r="L1442" i="7"/>
  <c r="L1441" i="7"/>
  <c r="L1440" i="7"/>
  <c r="L1439" i="7"/>
  <c r="L1438" i="7"/>
  <c r="L1437" i="7"/>
  <c r="L1436" i="7"/>
  <c r="L1435" i="7"/>
  <c r="L1434" i="7"/>
  <c r="L1433" i="7"/>
  <c r="L1432" i="7"/>
  <c r="F1424" i="7"/>
  <c r="E1424" i="7"/>
  <c r="F1423" i="7"/>
  <c r="E1423" i="7"/>
  <c r="F1422" i="7"/>
  <c r="E1422" i="7"/>
  <c r="F1421" i="7"/>
  <c r="E1421" i="7"/>
  <c r="F1420" i="7"/>
  <c r="E1420" i="7"/>
  <c r="F1419" i="7"/>
  <c r="E1419" i="7"/>
  <c r="F1418" i="7"/>
  <c r="E1418" i="7"/>
  <c r="F1417" i="7"/>
  <c r="E1417" i="7"/>
  <c r="F1416" i="7"/>
  <c r="E1416" i="7"/>
  <c r="F1415" i="7"/>
  <c r="E1415" i="7"/>
  <c r="F1414" i="7"/>
  <c r="E1414" i="7"/>
  <c r="F1413" i="7"/>
  <c r="E1413" i="7"/>
  <c r="I1395" i="7"/>
  <c r="N1384" i="7"/>
  <c r="E1384" i="7"/>
  <c r="N1383" i="7"/>
  <c r="E1383" i="7"/>
  <c r="N1382" i="7"/>
  <c r="E1382" i="7"/>
  <c r="N1381" i="7"/>
  <c r="E1381" i="7"/>
  <c r="N1380" i="7"/>
  <c r="E1380" i="7"/>
  <c r="N1379" i="7"/>
  <c r="E1379" i="7"/>
  <c r="N1378" i="7"/>
  <c r="E1378" i="7"/>
  <c r="N1377" i="7"/>
  <c r="E1377" i="7"/>
  <c r="N1376" i="7"/>
  <c r="E1376" i="7"/>
  <c r="N1375" i="7"/>
  <c r="E1375" i="7"/>
  <c r="N1374" i="7"/>
  <c r="E1374" i="7"/>
  <c r="N1373" i="7"/>
  <c r="E1373" i="7"/>
  <c r="O1368" i="7"/>
  <c r="F1368" i="7"/>
  <c r="E1368" i="7"/>
  <c r="O1367" i="7"/>
  <c r="F1367" i="7"/>
  <c r="E1367" i="7"/>
  <c r="O1366" i="7"/>
  <c r="F1366" i="7"/>
  <c r="E1366" i="7"/>
  <c r="O1365" i="7"/>
  <c r="F1365" i="7"/>
  <c r="E1365" i="7"/>
  <c r="O1364" i="7"/>
  <c r="F1364" i="7"/>
  <c r="E1364" i="7"/>
  <c r="O1363" i="7"/>
  <c r="F1363" i="7"/>
  <c r="E1363" i="7"/>
  <c r="O1362" i="7"/>
  <c r="F1362" i="7"/>
  <c r="E1362" i="7"/>
  <c r="O1361" i="7"/>
  <c r="F1361" i="7"/>
  <c r="E1361" i="7"/>
  <c r="O1360" i="7"/>
  <c r="F1360" i="7"/>
  <c r="E1360" i="7"/>
  <c r="O1359" i="7"/>
  <c r="F1359" i="7"/>
  <c r="E1359" i="7"/>
  <c r="O1358" i="7"/>
  <c r="F1358" i="7"/>
  <c r="E1358" i="7"/>
  <c r="O1357" i="7"/>
  <c r="F1357" i="7"/>
  <c r="E1357" i="7"/>
  <c r="O1351" i="7"/>
  <c r="F1351" i="7"/>
  <c r="E1351" i="7"/>
  <c r="O1350" i="7"/>
  <c r="F1350" i="7"/>
  <c r="E1350" i="7"/>
  <c r="O1349" i="7"/>
  <c r="F1349" i="7"/>
  <c r="E1349" i="7"/>
  <c r="O1348" i="7"/>
  <c r="F1348" i="7"/>
  <c r="E1348" i="7"/>
  <c r="O1347" i="7"/>
  <c r="F1347" i="7"/>
  <c r="E1347" i="7"/>
  <c r="O1346" i="7"/>
  <c r="F1346" i="7"/>
  <c r="E1346" i="7"/>
  <c r="O1345" i="7"/>
  <c r="F1345" i="7"/>
  <c r="E1345" i="7"/>
  <c r="O1344" i="7"/>
  <c r="F1344" i="7"/>
  <c r="E1344" i="7"/>
  <c r="O1343" i="7"/>
  <c r="F1343" i="7"/>
  <c r="E1343" i="7"/>
  <c r="O1342" i="7"/>
  <c r="F1342" i="7"/>
  <c r="E1342" i="7"/>
  <c r="O1341" i="7"/>
  <c r="F1341" i="7"/>
  <c r="E1341" i="7"/>
  <c r="O1340" i="7"/>
  <c r="F1340" i="7"/>
  <c r="E1340" i="7"/>
  <c r="AH1334" i="7"/>
  <c r="O1334" i="7"/>
  <c r="F1334" i="7"/>
  <c r="E1334" i="7"/>
  <c r="O1333" i="7"/>
  <c r="F1333" i="7"/>
  <c r="E1333" i="7"/>
  <c r="AG1332" i="7"/>
  <c r="O1332" i="7"/>
  <c r="F1332" i="7"/>
  <c r="E1332" i="7"/>
  <c r="AG1331" i="7"/>
  <c r="O1331" i="7"/>
  <c r="F1331" i="7"/>
  <c r="E1331" i="7"/>
  <c r="AM1330" i="7"/>
  <c r="AO1323" i="7" s="1"/>
  <c r="AP1323" i="7" s="1"/>
  <c r="AQ1323" i="7" s="1"/>
  <c r="AG1337" i="7" s="1"/>
  <c r="O1330" i="7"/>
  <c r="F1330" i="7"/>
  <c r="E1330" i="7"/>
  <c r="AG1329" i="7"/>
  <c r="O1329" i="7"/>
  <c r="F1329" i="7"/>
  <c r="E1329" i="7"/>
  <c r="O1328" i="7"/>
  <c r="F1328" i="7"/>
  <c r="E1328" i="7"/>
  <c r="O1327" i="7"/>
  <c r="F1327" i="7"/>
  <c r="E1327" i="7"/>
  <c r="O1326" i="7"/>
  <c r="F1326" i="7"/>
  <c r="E1326" i="7"/>
  <c r="O1325" i="7"/>
  <c r="F1325" i="7"/>
  <c r="E1325" i="7"/>
  <c r="O1324" i="7"/>
  <c r="F1324" i="7"/>
  <c r="E1324" i="7"/>
  <c r="AN1323" i="7"/>
  <c r="O1323" i="7"/>
  <c r="F1323" i="7"/>
  <c r="E1323" i="7"/>
  <c r="F1317" i="7"/>
  <c r="E1317" i="7"/>
  <c r="F1316" i="7"/>
  <c r="E1316" i="7"/>
  <c r="F1315" i="7"/>
  <c r="E1315" i="7"/>
  <c r="F1314" i="7"/>
  <c r="E1314" i="7"/>
  <c r="F1313" i="7"/>
  <c r="E1313" i="7"/>
  <c r="F1312" i="7"/>
  <c r="E1312" i="7"/>
  <c r="F1311" i="7"/>
  <c r="E1311" i="7"/>
  <c r="F1310" i="7"/>
  <c r="E1310" i="7"/>
  <c r="F1309" i="7"/>
  <c r="E1309" i="7"/>
  <c r="F1308" i="7"/>
  <c r="E1308" i="7"/>
  <c r="F1307" i="7"/>
  <c r="E1307" i="7"/>
  <c r="E1306" i="7"/>
  <c r="E1301" i="7"/>
  <c r="F1301" i="7" s="1"/>
  <c r="D1271" i="7" s="1"/>
  <c r="D1301" i="7"/>
  <c r="F1297" i="7"/>
  <c r="F1296" i="7"/>
  <c r="AG1279" i="7"/>
  <c r="F1279" i="7"/>
  <c r="BE1278" i="7"/>
  <c r="BB1278" i="7"/>
  <c r="AY1278" i="7"/>
  <c r="AV1278" i="7"/>
  <c r="AS1278" i="7"/>
  <c r="AP1278" i="7"/>
  <c r="AM1278" i="7"/>
  <c r="AJ1278" i="7"/>
  <c r="AG1278" i="7"/>
  <c r="AD1278" i="7"/>
  <c r="AA1278" i="7"/>
  <c r="X1278" i="7"/>
  <c r="U1278" i="7"/>
  <c r="R1278" i="7"/>
  <c r="O1278" i="7"/>
  <c r="L1278" i="7"/>
  <c r="I1278" i="7"/>
  <c r="F1278" i="7"/>
  <c r="BE1277" i="7"/>
  <c r="BB1277" i="7"/>
  <c r="AY1277" i="7"/>
  <c r="AV1277" i="7"/>
  <c r="AS1277" i="7"/>
  <c r="AP1277" i="7"/>
  <c r="AM1277" i="7"/>
  <c r="AJ1277" i="7"/>
  <c r="AG1277" i="7"/>
  <c r="AD1277" i="7"/>
  <c r="AA1277" i="7"/>
  <c r="X1277" i="7"/>
  <c r="U1277" i="7"/>
  <c r="R1277" i="7"/>
  <c r="O1277" i="7"/>
  <c r="L1277" i="7"/>
  <c r="I1277" i="7"/>
  <c r="F1277" i="7"/>
  <c r="BE1276" i="7"/>
  <c r="BB1276" i="7"/>
  <c r="AY1276" i="7"/>
  <c r="AV1276" i="7"/>
  <c r="AS1276" i="7"/>
  <c r="AP1276" i="7"/>
  <c r="AM1276" i="7"/>
  <c r="AJ1276" i="7"/>
  <c r="AG1276" i="7"/>
  <c r="AD1276" i="7"/>
  <c r="AA1276" i="7"/>
  <c r="X1276" i="7"/>
  <c r="U1276" i="7"/>
  <c r="R1276" i="7"/>
  <c r="O1276" i="7"/>
  <c r="L1276" i="7"/>
  <c r="I1276" i="7"/>
  <c r="F1276" i="7"/>
  <c r="BE1275" i="7"/>
  <c r="BB1275" i="7"/>
  <c r="AY1275" i="7"/>
  <c r="AV1275" i="7"/>
  <c r="AS1275" i="7"/>
  <c r="AP1275" i="7"/>
  <c r="AM1275" i="7"/>
  <c r="AJ1275" i="7"/>
  <c r="AG1275" i="7"/>
  <c r="AD1275" i="7"/>
  <c r="AA1275" i="7"/>
  <c r="X1275" i="7"/>
  <c r="U1275" i="7"/>
  <c r="R1275" i="7"/>
  <c r="O1275" i="7"/>
  <c r="L1275" i="7"/>
  <c r="I1275" i="7"/>
  <c r="F1275" i="7"/>
  <c r="D1275" i="7"/>
  <c r="BE1274" i="7"/>
  <c r="BB1274" i="7"/>
  <c r="AY1274" i="7"/>
  <c r="AV1274" i="7"/>
  <c r="AS1274" i="7"/>
  <c r="AP1274" i="7"/>
  <c r="AM1274" i="7"/>
  <c r="AJ1274" i="7"/>
  <c r="AG1274" i="7"/>
  <c r="AD1274" i="7"/>
  <c r="AA1274" i="7"/>
  <c r="X1274" i="7"/>
  <c r="U1274" i="7"/>
  <c r="R1274" i="7"/>
  <c r="O1274" i="7"/>
  <c r="L1274" i="7"/>
  <c r="I1274" i="7"/>
  <c r="F1274" i="7"/>
  <c r="D1274" i="7"/>
  <c r="BE1273" i="7"/>
  <c r="BB1273" i="7"/>
  <c r="AY1273" i="7"/>
  <c r="AV1273" i="7"/>
  <c r="AS1273" i="7"/>
  <c r="AP1273" i="7"/>
  <c r="AM1273" i="7"/>
  <c r="AJ1273" i="7"/>
  <c r="AG1273" i="7"/>
  <c r="AD1273" i="7"/>
  <c r="AA1273" i="7"/>
  <c r="X1273" i="7"/>
  <c r="U1273" i="7"/>
  <c r="R1273" i="7"/>
  <c r="O1273" i="7"/>
  <c r="L1273" i="7"/>
  <c r="I1273" i="7"/>
  <c r="F1273" i="7"/>
  <c r="D1273" i="7"/>
  <c r="BF1272" i="7"/>
  <c r="BE1272" i="7"/>
  <c r="BC1272" i="7"/>
  <c r="BB1272" i="7"/>
  <c r="AZ1272" i="7"/>
  <c r="AY1272" i="7"/>
  <c r="AW1272" i="7"/>
  <c r="AV1272" i="7"/>
  <c r="AT1272" i="7"/>
  <c r="AS1272" i="7"/>
  <c r="AQ1272" i="7"/>
  <c r="AP1272" i="7"/>
  <c r="AN1272" i="7"/>
  <c r="AM1272" i="7"/>
  <c r="AK1272" i="7"/>
  <c r="AJ1272" i="7"/>
  <c r="AH1272" i="7"/>
  <c r="AG1272" i="7"/>
  <c r="AE1272" i="7"/>
  <c r="AD1272" i="7"/>
  <c r="AB1272" i="7"/>
  <c r="AA1272" i="7"/>
  <c r="Y1272" i="7"/>
  <c r="X1272" i="7"/>
  <c r="V1272" i="7"/>
  <c r="U1272" i="7"/>
  <c r="S1272" i="7"/>
  <c r="R1272" i="7"/>
  <c r="P1272" i="7"/>
  <c r="O1272" i="7"/>
  <c r="M1272" i="7"/>
  <c r="L1272" i="7"/>
  <c r="J1272" i="7"/>
  <c r="I1272" i="7"/>
  <c r="G1272" i="7"/>
  <c r="F1272" i="7"/>
  <c r="BE1271" i="7"/>
  <c r="BB1271" i="7"/>
  <c r="AY1271" i="7"/>
  <c r="AV1271" i="7"/>
  <c r="AS1271" i="7"/>
  <c r="AP1271" i="7"/>
  <c r="AM1271" i="7"/>
  <c r="AJ1271" i="7"/>
  <c r="AG1271" i="7"/>
  <c r="AD1271" i="7"/>
  <c r="AA1271" i="7"/>
  <c r="X1271" i="7"/>
  <c r="U1271" i="7"/>
  <c r="R1271" i="7"/>
  <c r="O1271" i="7"/>
  <c r="L1271" i="7"/>
  <c r="I1271" i="7"/>
  <c r="F1271" i="7"/>
  <c r="BE1270" i="7"/>
  <c r="BB1270" i="7"/>
  <c r="AY1270" i="7"/>
  <c r="AY1279" i="7" s="1"/>
  <c r="AV1270" i="7"/>
  <c r="AS1270" i="7"/>
  <c r="AP1270" i="7"/>
  <c r="AP1279" i="7" s="1"/>
  <c r="AM1270" i="7"/>
  <c r="AJ1270" i="7"/>
  <c r="AG1270" i="7"/>
  <c r="AD1270" i="7"/>
  <c r="AA1270" i="7"/>
  <c r="X1270" i="7"/>
  <c r="X1279" i="7" s="1"/>
  <c r="U1270" i="7"/>
  <c r="R1270" i="7"/>
  <c r="O1270" i="7"/>
  <c r="L1270" i="7"/>
  <c r="I1270" i="7"/>
  <c r="F1270" i="7"/>
  <c r="BF1269" i="7"/>
  <c r="BE1269" i="7"/>
  <c r="BC1269" i="7"/>
  <c r="BB1269" i="7"/>
  <c r="AZ1269" i="7"/>
  <c r="AY1269" i="7"/>
  <c r="AW1269" i="7"/>
  <c r="AV1269" i="7"/>
  <c r="AT1269" i="7"/>
  <c r="AS1269" i="7"/>
  <c r="AQ1269" i="7"/>
  <c r="AP1269" i="7"/>
  <c r="AN1269" i="7"/>
  <c r="AM1269" i="7"/>
  <c r="AK1269" i="7"/>
  <c r="AJ1269" i="7"/>
  <c r="AH1269" i="7"/>
  <c r="AG1269" i="7"/>
  <c r="AE1269" i="7"/>
  <c r="AD1269" i="7"/>
  <c r="AB1269" i="7"/>
  <c r="AA1269" i="7"/>
  <c r="Y1269" i="7"/>
  <c r="X1269" i="7"/>
  <c r="V1269" i="7"/>
  <c r="U1269" i="7"/>
  <c r="S1269" i="7"/>
  <c r="R1269" i="7"/>
  <c r="P1269" i="7"/>
  <c r="O1269" i="7"/>
  <c r="M1269" i="7"/>
  <c r="L1269" i="7"/>
  <c r="J1269" i="7"/>
  <c r="I1269" i="7"/>
  <c r="G1269" i="7"/>
  <c r="F1269" i="7"/>
  <c r="BF1268" i="7"/>
  <c r="BE1268" i="7"/>
  <c r="BE1279" i="7" s="1"/>
  <c r="BC1268" i="7"/>
  <c r="BB1268" i="7"/>
  <c r="AZ1268" i="7"/>
  <c r="AY1268" i="7"/>
  <c r="AW1268" i="7"/>
  <c r="AV1268" i="7"/>
  <c r="AV1279" i="7" s="1"/>
  <c r="AT1268" i="7"/>
  <c r="AS1268" i="7"/>
  <c r="AQ1268" i="7"/>
  <c r="AP1268" i="7"/>
  <c r="AN1268" i="7"/>
  <c r="AM1268" i="7"/>
  <c r="AM1279" i="7" s="1"/>
  <c r="AK1268" i="7"/>
  <c r="AJ1268" i="7"/>
  <c r="AH1268" i="7"/>
  <c r="AG1268" i="7"/>
  <c r="AE1268" i="7"/>
  <c r="AD1268" i="7"/>
  <c r="AD1279" i="7" s="1"/>
  <c r="AB1268" i="7"/>
  <c r="AA1268" i="7"/>
  <c r="Y1268" i="7"/>
  <c r="X1268" i="7"/>
  <c r="V1268" i="7"/>
  <c r="U1268" i="7"/>
  <c r="U1279" i="7" s="1"/>
  <c r="S1268" i="7"/>
  <c r="R1268" i="7"/>
  <c r="P1268" i="7"/>
  <c r="O1268" i="7"/>
  <c r="M1268" i="7"/>
  <c r="L1268" i="7"/>
  <c r="L1279" i="7" s="1"/>
  <c r="J1268" i="7"/>
  <c r="I1268" i="7"/>
  <c r="G1268" i="7"/>
  <c r="F1268" i="7"/>
  <c r="L1260" i="7"/>
  <c r="L1261" i="7" s="1"/>
  <c r="P1251" i="7"/>
  <c r="P1246" i="7"/>
  <c r="P1243" i="7"/>
  <c r="P1236" i="7"/>
  <c r="E1215" i="7"/>
  <c r="E1215" i="7" a="1"/>
  <c r="E1207" i="7" a="1"/>
  <c r="E1207" i="7" s="1"/>
  <c r="E1198" i="7"/>
  <c r="E1125" i="7"/>
  <c r="E1124" i="7"/>
  <c r="E1123" i="7"/>
  <c r="E1122" i="7"/>
  <c r="E1121" i="7"/>
  <c r="E1120" i="7"/>
  <c r="E1116" i="7"/>
  <c r="H1062" i="7" a="1"/>
  <c r="H1062" i="7" s="1"/>
  <c r="I1000" i="7" a="1"/>
  <c r="I1000" i="7" s="1"/>
  <c r="L973" i="7"/>
  <c r="I973" i="7"/>
  <c r="L972" i="7"/>
  <c r="I972" i="7"/>
  <c r="L957" i="7"/>
  <c r="L954" i="7"/>
  <c r="I954" i="7"/>
  <c r="L942" i="7"/>
  <c r="I942" i="7"/>
  <c r="L941" i="7"/>
  <c r="I941" i="7"/>
  <c r="L940" i="7"/>
  <c r="I940" i="7"/>
  <c r="I926" i="7"/>
  <c r="I925" i="7"/>
  <c r="L925" i="7" s="1"/>
  <c r="I918" i="7"/>
  <c r="O886" i="7"/>
  <c r="O883" i="7"/>
  <c r="O884" i="7" s="1"/>
  <c r="O879" i="7"/>
  <c r="O877" i="7"/>
  <c r="E870" i="7"/>
  <c r="E868" i="7"/>
  <c r="BR861" i="7"/>
  <c r="BQ861" i="7"/>
  <c r="BP861" i="7"/>
  <c r="BO861" i="7"/>
  <c r="BN861" i="7"/>
  <c r="BM861" i="7"/>
  <c r="BL861" i="7"/>
  <c r="BK861" i="7"/>
  <c r="BJ861" i="7"/>
  <c r="BR860" i="7"/>
  <c r="BQ860" i="7"/>
  <c r="BP860" i="7"/>
  <c r="BO860" i="7"/>
  <c r="BN860" i="7"/>
  <c r="BM860" i="7"/>
  <c r="BL860" i="7"/>
  <c r="BK860" i="7"/>
  <c r="BJ860" i="7"/>
  <c r="BR859" i="7"/>
  <c r="BQ859" i="7"/>
  <c r="BP859" i="7"/>
  <c r="BO859" i="7"/>
  <c r="BN859" i="7"/>
  <c r="BM859" i="7"/>
  <c r="BL859" i="7"/>
  <c r="BK859" i="7"/>
  <c r="BJ859" i="7"/>
  <c r="BR858" i="7"/>
  <c r="BQ858" i="7"/>
  <c r="BP858" i="7"/>
  <c r="BO858" i="7"/>
  <c r="BN858" i="7"/>
  <c r="BM858" i="7"/>
  <c r="BL858" i="7"/>
  <c r="BK858" i="7"/>
  <c r="BJ858" i="7"/>
  <c r="BR857" i="7"/>
  <c r="BQ857" i="7"/>
  <c r="BP857" i="7"/>
  <c r="BO857" i="7"/>
  <c r="BN857" i="7"/>
  <c r="BM857" i="7"/>
  <c r="BL857" i="7"/>
  <c r="BK857" i="7"/>
  <c r="BJ857" i="7"/>
  <c r="BR856" i="7"/>
  <c r="BQ856" i="7"/>
  <c r="BP856" i="7"/>
  <c r="BO856" i="7"/>
  <c r="BN856" i="7"/>
  <c r="BM856" i="7"/>
  <c r="BL856" i="7"/>
  <c r="BK856" i="7"/>
  <c r="BJ856" i="7"/>
  <c r="BR855" i="7"/>
  <c r="BQ855" i="7"/>
  <c r="BP855" i="7"/>
  <c r="BO855" i="7"/>
  <c r="BN855" i="7"/>
  <c r="BM855" i="7"/>
  <c r="BL855" i="7"/>
  <c r="BK855" i="7"/>
  <c r="BJ855" i="7"/>
  <c r="BR854" i="7"/>
  <c r="BQ854" i="7"/>
  <c r="BP854" i="7"/>
  <c r="BO854" i="7"/>
  <c r="BN854" i="7"/>
  <c r="BM854" i="7"/>
  <c r="BL854" i="7"/>
  <c r="BK854" i="7"/>
  <c r="BJ854" i="7"/>
  <c r="BR853" i="7"/>
  <c r="BQ853" i="7"/>
  <c r="BP853" i="7"/>
  <c r="BO853" i="7"/>
  <c r="BN853" i="7"/>
  <c r="BM853" i="7"/>
  <c r="BL853" i="7"/>
  <c r="BK853" i="7"/>
  <c r="BJ853" i="7"/>
  <c r="BR852" i="7"/>
  <c r="BQ852" i="7"/>
  <c r="BP852" i="7"/>
  <c r="BO852" i="7"/>
  <c r="BN852" i="7"/>
  <c r="BM852" i="7"/>
  <c r="BL852" i="7"/>
  <c r="BK852" i="7"/>
  <c r="BJ852" i="7"/>
  <c r="BR851" i="7"/>
  <c r="BQ851" i="7"/>
  <c r="BP851" i="7"/>
  <c r="BO851" i="7"/>
  <c r="BN851" i="7"/>
  <c r="BM851" i="7"/>
  <c r="BL851" i="7"/>
  <c r="BK851" i="7"/>
  <c r="BJ851" i="7"/>
  <c r="V851" i="7"/>
  <c r="S851" i="7"/>
  <c r="P851" i="7"/>
  <c r="M851" i="7"/>
  <c r="J851" i="7"/>
  <c r="H851" i="7"/>
  <c r="G851" i="7"/>
  <c r="E851" i="7"/>
  <c r="R851" i="7" s="1"/>
  <c r="BR850" i="7"/>
  <c r="BQ850" i="7"/>
  <c r="BP850" i="7"/>
  <c r="BO850" i="7"/>
  <c r="BN850" i="7"/>
  <c r="BM850" i="7"/>
  <c r="BL850" i="7"/>
  <c r="BK850" i="7"/>
  <c r="BJ850" i="7"/>
  <c r="T850" i="7"/>
  <c r="Q850" i="7"/>
  <c r="N850" i="7"/>
  <c r="K850" i="7"/>
  <c r="E850" i="7"/>
  <c r="BR849" i="7"/>
  <c r="BQ849" i="7"/>
  <c r="BP849" i="7"/>
  <c r="BO849" i="7"/>
  <c r="BN849" i="7"/>
  <c r="BM849" i="7"/>
  <c r="BL849" i="7"/>
  <c r="BK849" i="7"/>
  <c r="BJ849" i="7"/>
  <c r="V849" i="7"/>
  <c r="U849" i="7"/>
  <c r="T849" i="7"/>
  <c r="S849" i="7"/>
  <c r="R849" i="7"/>
  <c r="P849" i="7"/>
  <c r="O849" i="7"/>
  <c r="N849" i="7"/>
  <c r="M849" i="7"/>
  <c r="L849" i="7"/>
  <c r="J849" i="7"/>
  <c r="I849" i="7"/>
  <c r="H849" i="7"/>
  <c r="G849" i="7"/>
  <c r="F849" i="7"/>
  <c r="E849" i="7"/>
  <c r="W849" i="7" s="1"/>
  <c r="F847" i="7"/>
  <c r="F846" i="7"/>
  <c r="E846" i="7"/>
  <c r="AI845" i="7"/>
  <c r="AF845" i="7"/>
  <c r="AC845" i="7"/>
  <c r="AA845" i="7"/>
  <c r="Z845" i="7"/>
  <c r="W845" i="7"/>
  <c r="U845" i="7"/>
  <c r="T845" i="7"/>
  <c r="I845" i="7"/>
  <c r="AE845" i="7" s="1"/>
  <c r="G845" i="7"/>
  <c r="AE844" i="7"/>
  <c r="V844" i="7"/>
  <c r="N844" i="7"/>
  <c r="I844" i="7"/>
  <c r="Y844" i="7" s="1"/>
  <c r="G844" i="7"/>
  <c r="AJ843" i="7"/>
  <c r="AI843" i="7"/>
  <c r="AH843" i="7"/>
  <c r="AG843" i="7"/>
  <c r="AF843" i="7"/>
  <c r="AD843" i="7"/>
  <c r="AC843" i="7"/>
  <c r="AB843" i="7"/>
  <c r="AA843" i="7"/>
  <c r="Z843" i="7"/>
  <c r="X843" i="7"/>
  <c r="W843" i="7"/>
  <c r="V843" i="7"/>
  <c r="U843" i="7"/>
  <c r="T843" i="7"/>
  <c r="N843" i="7"/>
  <c r="I843" i="7"/>
  <c r="AE843" i="7" s="1"/>
  <c r="G843" i="7"/>
  <c r="AG842" i="7"/>
  <c r="AE842" i="7"/>
  <c r="AD842" i="7"/>
  <c r="AA842" i="7"/>
  <c r="U842" i="7"/>
  <c r="S842" i="7"/>
  <c r="N842" i="7"/>
  <c r="L842" i="7"/>
  <c r="I842" i="7"/>
  <c r="G842" i="7"/>
  <c r="AF841" i="7"/>
  <c r="Z841" i="7"/>
  <c r="N841" i="7"/>
  <c r="I841" i="7"/>
  <c r="T841" i="7" s="1"/>
  <c r="G841" i="7"/>
  <c r="AH840" i="7"/>
  <c r="AE840" i="7"/>
  <c r="AA840" i="7"/>
  <c r="X840" i="7"/>
  <c r="T840" i="7"/>
  <c r="N840" i="7"/>
  <c r="L840" i="7"/>
  <c r="I840" i="7"/>
  <c r="AF840" i="7" s="1"/>
  <c r="G840" i="7"/>
  <c r="N839" i="7"/>
  <c r="I839" i="7"/>
  <c r="AA839" i="7" s="1"/>
  <c r="G839" i="7"/>
  <c r="AI838" i="7"/>
  <c r="AH838" i="7"/>
  <c r="AG838" i="7"/>
  <c r="AF838" i="7"/>
  <c r="AC838" i="7"/>
  <c r="AB838" i="7"/>
  <c r="AA838" i="7"/>
  <c r="Z838" i="7"/>
  <c r="W838" i="7"/>
  <c r="V838" i="7"/>
  <c r="U838" i="7"/>
  <c r="T838" i="7"/>
  <c r="I838" i="7"/>
  <c r="AE838" i="7" s="1"/>
  <c r="G838" i="7"/>
  <c r="AH837" i="7"/>
  <c r="AE837" i="7"/>
  <c r="AB837" i="7"/>
  <c r="Y837" i="7"/>
  <c r="V837" i="7"/>
  <c r="S837" i="7"/>
  <c r="P837" i="7"/>
  <c r="I837" i="7"/>
  <c r="AG837" i="7" s="1"/>
  <c r="G837" i="7"/>
  <c r="AH836" i="7"/>
  <c r="AG836" i="7"/>
  <c r="AF836" i="7"/>
  <c r="AE836" i="7"/>
  <c r="AB836" i="7"/>
  <c r="AA836" i="7"/>
  <c r="Z836" i="7"/>
  <c r="Y836" i="7"/>
  <c r="V836" i="7"/>
  <c r="U836" i="7"/>
  <c r="T836" i="7"/>
  <c r="S836" i="7"/>
  <c r="I836" i="7"/>
  <c r="AJ836" i="7" s="1"/>
  <c r="G836" i="7"/>
  <c r="AJ835" i="7"/>
  <c r="AG835" i="7"/>
  <c r="AD835" i="7"/>
  <c r="AA835" i="7"/>
  <c r="X835" i="7"/>
  <c r="U835" i="7"/>
  <c r="P835" i="7"/>
  <c r="N835" i="7"/>
  <c r="L835" i="7"/>
  <c r="I835" i="7"/>
  <c r="AF835" i="7" s="1"/>
  <c r="G835" i="7"/>
  <c r="AJ834" i="7"/>
  <c r="AG834" i="7"/>
  <c r="AF834" i="7"/>
  <c r="AE834" i="7"/>
  <c r="AD834" i="7"/>
  <c r="AA834" i="7"/>
  <c r="Z834" i="7"/>
  <c r="Y834" i="7"/>
  <c r="X834" i="7"/>
  <c r="U834" i="7"/>
  <c r="T834" i="7"/>
  <c r="S834" i="7"/>
  <c r="P834" i="7"/>
  <c r="N834" i="7"/>
  <c r="L834" i="7"/>
  <c r="I834" i="7"/>
  <c r="AI834" i="7" s="1"/>
  <c r="G834" i="7"/>
  <c r="AJ833" i="7"/>
  <c r="AG833" i="7"/>
  <c r="AD833" i="7"/>
  <c r="AA833" i="7"/>
  <c r="X833" i="7"/>
  <c r="U833" i="7"/>
  <c r="P833" i="7"/>
  <c r="N833" i="7"/>
  <c r="L833" i="7"/>
  <c r="I833" i="7"/>
  <c r="AF833" i="7" s="1"/>
  <c r="G833" i="7"/>
  <c r="AJ832" i="7"/>
  <c r="AG832" i="7"/>
  <c r="AF832" i="7"/>
  <c r="AE832" i="7"/>
  <c r="AD832" i="7"/>
  <c r="AA832" i="7"/>
  <c r="Z832" i="7"/>
  <c r="Y832" i="7"/>
  <c r="X832" i="7"/>
  <c r="U832" i="7"/>
  <c r="T832" i="7"/>
  <c r="S832" i="7"/>
  <c r="P832" i="7"/>
  <c r="N832" i="7"/>
  <c r="L832" i="7"/>
  <c r="I832" i="7"/>
  <c r="AI832" i="7" s="1"/>
  <c r="G832" i="7"/>
  <c r="AJ831" i="7"/>
  <c r="AG831" i="7"/>
  <c r="AD831" i="7"/>
  <c r="AA831" i="7"/>
  <c r="X831" i="7"/>
  <c r="U831" i="7"/>
  <c r="P831" i="7"/>
  <c r="N831" i="7"/>
  <c r="L831" i="7"/>
  <c r="I831" i="7"/>
  <c r="AH831" i="7" s="1"/>
  <c r="G831" i="7"/>
  <c r="AB826" i="7"/>
  <c r="AA826" i="7"/>
  <c r="Z826" i="7"/>
  <c r="Y826" i="7"/>
  <c r="X826" i="7"/>
  <c r="W826" i="7"/>
  <c r="V826" i="7"/>
  <c r="U826" i="7"/>
  <c r="T826" i="7"/>
  <c r="S826" i="7"/>
  <c r="R826" i="7"/>
  <c r="Q826" i="7"/>
  <c r="P826" i="7"/>
  <c r="O826" i="7"/>
  <c r="N826" i="7"/>
  <c r="M826" i="7"/>
  <c r="L826" i="7"/>
  <c r="K826" i="7"/>
  <c r="AB825" i="7"/>
  <c r="AA825" i="7"/>
  <c r="Z825" i="7"/>
  <c r="Y825" i="7"/>
  <c r="X825" i="7"/>
  <c r="W825" i="7"/>
  <c r="V825" i="7"/>
  <c r="U825" i="7"/>
  <c r="T825" i="7"/>
  <c r="S825" i="7"/>
  <c r="R825" i="7"/>
  <c r="Q825" i="7"/>
  <c r="P825" i="7"/>
  <c r="O825" i="7"/>
  <c r="N825" i="7"/>
  <c r="M825" i="7"/>
  <c r="L825" i="7"/>
  <c r="K825" i="7"/>
  <c r="AB824" i="7"/>
  <c r="AA824" i="7"/>
  <c r="Z824" i="7"/>
  <c r="Y824" i="7"/>
  <c r="X824" i="7"/>
  <c r="W824" i="7"/>
  <c r="V824" i="7"/>
  <c r="U824" i="7"/>
  <c r="T824" i="7"/>
  <c r="S824" i="7"/>
  <c r="R824" i="7"/>
  <c r="Q824" i="7"/>
  <c r="P824" i="7"/>
  <c r="O824" i="7"/>
  <c r="N824" i="7"/>
  <c r="M824" i="7"/>
  <c r="L824" i="7"/>
  <c r="K824" i="7"/>
  <c r="AB823" i="7"/>
  <c r="AA823" i="7"/>
  <c r="Z823" i="7"/>
  <c r="Y823" i="7"/>
  <c r="X823" i="7"/>
  <c r="W823" i="7"/>
  <c r="V823" i="7"/>
  <c r="U823" i="7"/>
  <c r="T823" i="7"/>
  <c r="S823" i="7"/>
  <c r="R823" i="7"/>
  <c r="Q823" i="7"/>
  <c r="P823" i="7"/>
  <c r="O823" i="7"/>
  <c r="N823" i="7"/>
  <c r="M823" i="7"/>
  <c r="M827" i="7" s="1"/>
  <c r="L823" i="7"/>
  <c r="K823" i="7"/>
  <c r="AB822" i="7"/>
  <c r="AA822" i="7"/>
  <c r="Z822" i="7"/>
  <c r="Y822" i="7"/>
  <c r="X822" i="7"/>
  <c r="W822" i="7"/>
  <c r="V822" i="7"/>
  <c r="U822" i="7"/>
  <c r="T822" i="7"/>
  <c r="S822" i="7"/>
  <c r="R822" i="7"/>
  <c r="Q822" i="7"/>
  <c r="P822" i="7"/>
  <c r="O822" i="7"/>
  <c r="N822" i="7"/>
  <c r="M822" i="7"/>
  <c r="L822" i="7"/>
  <c r="K822" i="7"/>
  <c r="AB821" i="7"/>
  <c r="AA821" i="7"/>
  <c r="Z821" i="7"/>
  <c r="Y821" i="7"/>
  <c r="X821" i="7"/>
  <c r="W821" i="7"/>
  <c r="V821" i="7"/>
  <c r="U821" i="7"/>
  <c r="T821" i="7"/>
  <c r="S821" i="7"/>
  <c r="R821" i="7"/>
  <c r="Q821" i="7"/>
  <c r="P821" i="7"/>
  <c r="O821" i="7"/>
  <c r="N821" i="7"/>
  <c r="M821" i="7"/>
  <c r="L821" i="7"/>
  <c r="K821" i="7"/>
  <c r="AB820" i="7"/>
  <c r="AA820" i="7"/>
  <c r="Z820" i="7"/>
  <c r="Y820" i="7"/>
  <c r="Y827" i="7" s="1"/>
  <c r="X820" i="7"/>
  <c r="W820" i="7"/>
  <c r="V820" i="7"/>
  <c r="V827" i="7" s="1"/>
  <c r="U820" i="7"/>
  <c r="T820" i="7"/>
  <c r="S820" i="7"/>
  <c r="R820" i="7"/>
  <c r="Q820" i="7"/>
  <c r="P820" i="7"/>
  <c r="P827" i="7" s="1"/>
  <c r="O820" i="7"/>
  <c r="N820" i="7"/>
  <c r="M820" i="7"/>
  <c r="L820" i="7"/>
  <c r="K820" i="7"/>
  <c r="AB819" i="7"/>
  <c r="AA819" i="7"/>
  <c r="Z819" i="7"/>
  <c r="Y819" i="7"/>
  <c r="X819" i="7"/>
  <c r="W819" i="7"/>
  <c r="V819" i="7"/>
  <c r="U819" i="7"/>
  <c r="T819" i="7"/>
  <c r="S819" i="7"/>
  <c r="R819" i="7"/>
  <c r="Q819" i="7"/>
  <c r="P819" i="7"/>
  <c r="O819" i="7"/>
  <c r="N819" i="7"/>
  <c r="M819" i="7"/>
  <c r="L819" i="7"/>
  <c r="K819" i="7"/>
  <c r="AB818" i="7"/>
  <c r="AA818" i="7"/>
  <c r="Z818" i="7"/>
  <c r="Y818" i="7"/>
  <c r="X818" i="7"/>
  <c r="W818" i="7"/>
  <c r="V818" i="7"/>
  <c r="U818" i="7"/>
  <c r="T818" i="7"/>
  <c r="S818" i="7"/>
  <c r="R818" i="7"/>
  <c r="Q818" i="7"/>
  <c r="P818" i="7"/>
  <c r="O818" i="7"/>
  <c r="N818" i="7"/>
  <c r="M818" i="7"/>
  <c r="L818" i="7"/>
  <c r="K818" i="7"/>
  <c r="AB817" i="7"/>
  <c r="AB827" i="7" s="1"/>
  <c r="AA817" i="7"/>
  <c r="Z817" i="7"/>
  <c r="Y817" i="7"/>
  <c r="X817" i="7"/>
  <c r="W817" i="7"/>
  <c r="V817" i="7"/>
  <c r="U817" i="7"/>
  <c r="T817" i="7"/>
  <c r="S817" i="7"/>
  <c r="S827" i="7" s="1"/>
  <c r="R817" i="7"/>
  <c r="Q817" i="7"/>
  <c r="P817" i="7"/>
  <c r="O817" i="7"/>
  <c r="N817" i="7"/>
  <c r="M817" i="7"/>
  <c r="L817" i="7"/>
  <c r="K817" i="7"/>
  <c r="AB816" i="7"/>
  <c r="AA816" i="7"/>
  <c r="Z816" i="7"/>
  <c r="Y816" i="7"/>
  <c r="X816" i="7"/>
  <c r="X827" i="7" s="1"/>
  <c r="W816" i="7"/>
  <c r="V816" i="7"/>
  <c r="U816" i="7"/>
  <c r="T816" i="7"/>
  <c r="S816" i="7"/>
  <c r="R816" i="7"/>
  <c r="R827" i="7" s="1"/>
  <c r="Q816" i="7"/>
  <c r="P816" i="7"/>
  <c r="O816" i="7"/>
  <c r="N816" i="7"/>
  <c r="M816" i="7"/>
  <c r="L816" i="7"/>
  <c r="L827" i="7" s="1"/>
  <c r="K816" i="7"/>
  <c r="AN813" i="7"/>
  <c r="AN814" i="7" s="1"/>
  <c r="AA813" i="7"/>
  <c r="O813" i="7"/>
  <c r="AD812" i="7"/>
  <c r="AC812" i="7"/>
  <c r="AB812" i="7"/>
  <c r="AA812" i="7"/>
  <c r="Z812" i="7"/>
  <c r="Y812" i="7"/>
  <c r="X812" i="7"/>
  <c r="W812" i="7"/>
  <c r="V812" i="7"/>
  <c r="U812" i="7"/>
  <c r="U813" i="7" s="1"/>
  <c r="T812" i="7"/>
  <c r="S812" i="7"/>
  <c r="R812" i="7"/>
  <c r="Q812" i="7"/>
  <c r="P812" i="7"/>
  <c r="O812" i="7"/>
  <c r="N812" i="7"/>
  <c r="M812" i="7"/>
  <c r="I812" i="7"/>
  <c r="AC811" i="7"/>
  <c r="AC813" i="7" s="1"/>
  <c r="AB811" i="7"/>
  <c r="AB813" i="7" s="1"/>
  <c r="AA811" i="7"/>
  <c r="Z811" i="7"/>
  <c r="Z813" i="7" s="1"/>
  <c r="W811" i="7"/>
  <c r="W813" i="7" s="1"/>
  <c r="V811" i="7"/>
  <c r="V813" i="7" s="1"/>
  <c r="U811" i="7"/>
  <c r="T811" i="7"/>
  <c r="T813" i="7" s="1"/>
  <c r="Q811" i="7"/>
  <c r="Q813" i="7" s="1"/>
  <c r="P811" i="7"/>
  <c r="P813" i="7" s="1"/>
  <c r="O811" i="7"/>
  <c r="N811" i="7"/>
  <c r="N813" i="7" s="1"/>
  <c r="J811" i="7"/>
  <c r="Y811" i="7" s="1"/>
  <c r="Y813" i="7" s="1"/>
  <c r="I811" i="7"/>
  <c r="O871" i="7" s="1"/>
  <c r="AD806" i="7"/>
  <c r="AC806" i="7"/>
  <c r="AB806" i="7"/>
  <c r="AA806" i="7"/>
  <c r="Z806" i="7"/>
  <c r="Y806" i="7"/>
  <c r="X806" i="7"/>
  <c r="W806" i="7"/>
  <c r="V806" i="7"/>
  <c r="U806" i="7"/>
  <c r="T806" i="7"/>
  <c r="S806" i="7"/>
  <c r="R806" i="7"/>
  <c r="Q806" i="7"/>
  <c r="P806" i="7"/>
  <c r="O806" i="7"/>
  <c r="N806" i="7"/>
  <c r="M806" i="7"/>
  <c r="BJ803" i="7"/>
  <c r="AD803" i="7"/>
  <c r="AC803" i="7"/>
  <c r="AB803" i="7"/>
  <c r="AA803" i="7"/>
  <c r="Z803" i="7"/>
  <c r="Y803" i="7"/>
  <c r="X803" i="7"/>
  <c r="W803" i="7"/>
  <c r="V803" i="7"/>
  <c r="U803" i="7"/>
  <c r="T803" i="7"/>
  <c r="S803" i="7"/>
  <c r="R803" i="7"/>
  <c r="Q803" i="7"/>
  <c r="P803" i="7"/>
  <c r="O803" i="7"/>
  <c r="N803" i="7"/>
  <c r="M803" i="7"/>
  <c r="BJ802" i="7"/>
  <c r="BD802" i="7"/>
  <c r="BD809" i="7" s="1"/>
  <c r="BJ791" i="7" s="1"/>
  <c r="BJ801" i="7"/>
  <c r="BJ800" i="7"/>
  <c r="Y800" i="7"/>
  <c r="S800" i="7"/>
  <c r="M800" i="7"/>
  <c r="BJ799" i="7"/>
  <c r="BD799" i="7"/>
  <c r="AD799" i="7"/>
  <c r="AC799" i="7"/>
  <c r="AB799" i="7"/>
  <c r="AA799" i="7"/>
  <c r="AA800" i="7" s="1"/>
  <c r="Z799" i="7"/>
  <c r="Y799" i="7"/>
  <c r="X799" i="7"/>
  <c r="W799" i="7"/>
  <c r="V799" i="7"/>
  <c r="U799" i="7"/>
  <c r="U800" i="7" s="1"/>
  <c r="T799" i="7"/>
  <c r="S799" i="7"/>
  <c r="R799" i="7"/>
  <c r="Q799" i="7"/>
  <c r="P799" i="7"/>
  <c r="O799" i="7"/>
  <c r="O800" i="7" s="1"/>
  <c r="N799" i="7"/>
  <c r="M799" i="7"/>
  <c r="AD798" i="7"/>
  <c r="AC798" i="7"/>
  <c r="AB798" i="7"/>
  <c r="AB800" i="7" s="1"/>
  <c r="AA798" i="7"/>
  <c r="Z798" i="7"/>
  <c r="Y798" i="7"/>
  <c r="X798" i="7"/>
  <c r="W798" i="7"/>
  <c r="V798" i="7"/>
  <c r="V800" i="7" s="1"/>
  <c r="U798" i="7"/>
  <c r="T798" i="7"/>
  <c r="S798" i="7"/>
  <c r="R798" i="7"/>
  <c r="Q798" i="7"/>
  <c r="P798" i="7"/>
  <c r="P800" i="7" s="1"/>
  <c r="O798" i="7"/>
  <c r="N798" i="7"/>
  <c r="M798" i="7"/>
  <c r="AD797" i="7"/>
  <c r="AD800" i="7" s="1"/>
  <c r="AC797" i="7"/>
  <c r="AC800" i="7" s="1"/>
  <c r="AB797" i="7"/>
  <c r="AA797" i="7"/>
  <c r="Z797" i="7"/>
  <c r="Z800" i="7" s="1"/>
  <c r="Y797" i="7"/>
  <c r="X797" i="7"/>
  <c r="X800" i="7" s="1"/>
  <c r="W797" i="7"/>
  <c r="W800" i="7" s="1"/>
  <c r="V797" i="7"/>
  <c r="U797" i="7"/>
  <c r="T797" i="7"/>
  <c r="T800" i="7" s="1"/>
  <c r="S797" i="7"/>
  <c r="R797" i="7"/>
  <c r="R800" i="7" s="1"/>
  <c r="Q797" i="7"/>
  <c r="Q800" i="7" s="1"/>
  <c r="P797" i="7"/>
  <c r="O797" i="7"/>
  <c r="N797" i="7"/>
  <c r="N800" i="7" s="1"/>
  <c r="M797" i="7"/>
  <c r="BJ796" i="7"/>
  <c r="BD796" i="7"/>
  <c r="BJ790" i="7"/>
  <c r="BJ789" i="7"/>
  <c r="BJ788" i="7"/>
  <c r="F184" i="7" s="1" a="1"/>
  <c r="F184" i="7" s="1"/>
  <c r="BJ787" i="7"/>
  <c r="BJ786" i="7"/>
  <c r="V771" i="7"/>
  <c r="U771" i="7"/>
  <c r="T771" i="7"/>
  <c r="S771" i="7"/>
  <c r="R771" i="7"/>
  <c r="Q771" i="7"/>
  <c r="P771" i="7"/>
  <c r="O771" i="7"/>
  <c r="N771" i="7"/>
  <c r="M771" i="7"/>
  <c r="L771" i="7"/>
  <c r="K771" i="7"/>
  <c r="J771" i="7"/>
  <c r="I771" i="7"/>
  <c r="H771" i="7"/>
  <c r="G771" i="7"/>
  <c r="F771" i="7"/>
  <c r="E771" i="7"/>
  <c r="V751" i="7"/>
  <c r="Q751" i="7"/>
  <c r="N751" i="7"/>
  <c r="M751" i="7"/>
  <c r="J751" i="7"/>
  <c r="I751" i="7"/>
  <c r="H751" i="7"/>
  <c r="G751" i="7"/>
  <c r="F751" i="7"/>
  <c r="F705" i="7"/>
  <c r="F682" i="7"/>
  <c r="F679" i="7"/>
  <c r="F677" i="7"/>
  <c r="F675" i="7"/>
  <c r="F667" i="7"/>
  <c r="F665" i="7"/>
  <c r="F663" i="7"/>
  <c r="F655" i="7"/>
  <c r="F653" i="7"/>
  <c r="F629" i="7"/>
  <c r="F627" i="7"/>
  <c r="F605" i="7"/>
  <c r="F603" i="7"/>
  <c r="H567" i="7"/>
  <c r="F567" i="7"/>
  <c r="H565" i="7"/>
  <c r="G565" i="7"/>
  <c r="G567" i="7" s="1"/>
  <c r="F565" i="7"/>
  <c r="F532" i="7"/>
  <c r="F522" i="7"/>
  <c r="F520" i="7"/>
  <c r="F506" i="7"/>
  <c r="F492" i="7"/>
  <c r="F484" i="7"/>
  <c r="F449" i="7"/>
  <c r="F396" i="7"/>
  <c r="F376" i="7"/>
  <c r="F362" i="7" a="1"/>
  <c r="F362" i="7" s="1"/>
  <c r="F342" i="7"/>
  <c r="F323" i="7"/>
  <c r="F319" i="7"/>
  <c r="F317" i="7"/>
  <c r="F313" i="7"/>
  <c r="G237" i="7" a="1"/>
  <c r="G237" i="7" s="1"/>
  <c r="G235" i="7"/>
  <c r="G235" i="7" a="1"/>
  <c r="G233" i="7" a="1"/>
  <c r="G233" i="7" s="1"/>
  <c r="G231" i="7" a="1"/>
  <c r="G231" i="7" s="1"/>
  <c r="G229" i="7"/>
  <c r="G229" i="7" a="1"/>
  <c r="G227" i="7" a="1"/>
  <c r="G227" i="7" s="1"/>
  <c r="G225" i="7" a="1"/>
  <c r="G225" i="7" s="1"/>
  <c r="G223" i="7"/>
  <c r="G223" i="7" a="1"/>
  <c r="G221" i="7" a="1"/>
  <c r="G221" i="7" s="1"/>
  <c r="G219" i="7" a="1"/>
  <c r="G219" i="7" s="1"/>
  <c r="G217" i="7"/>
  <c r="G217" i="7" a="1"/>
  <c r="G215" i="7" a="1"/>
  <c r="G215" i="7" s="1"/>
  <c r="F215" i="7" a="1"/>
  <c r="F215" i="7" s="1"/>
  <c r="G213" i="7"/>
  <c r="G213" i="7" a="1"/>
  <c r="F213" i="7" a="1"/>
  <c r="F213" i="7" s="1"/>
  <c r="G211" i="7" a="1"/>
  <c r="G211" i="7" s="1"/>
  <c r="F211" i="7"/>
  <c r="F211" i="7" a="1"/>
  <c r="G209" i="7" a="1"/>
  <c r="G209" i="7" s="1"/>
  <c r="F209" i="7" a="1"/>
  <c r="F209" i="7" s="1"/>
  <c r="G207" i="7"/>
  <c r="G207" i="7" a="1"/>
  <c r="F207" i="7" a="1"/>
  <c r="F207" i="7" s="1"/>
  <c r="G205" i="7" a="1"/>
  <c r="G205" i="7" s="1"/>
  <c r="F205" i="7"/>
  <c r="F205" i="7" a="1"/>
  <c r="G203" i="7" a="1"/>
  <c r="G203" i="7" s="1"/>
  <c r="F203" i="7" a="1"/>
  <c r="F203" i="7" s="1"/>
  <c r="G201" i="7"/>
  <c r="G201" i="7" a="1"/>
  <c r="F201" i="7" a="1"/>
  <c r="F201" i="7" s="1"/>
  <c r="G199" i="7" a="1"/>
  <c r="G199" i="7" s="1"/>
  <c r="F199" i="7"/>
  <c r="F199" i="7" a="1"/>
  <c r="G197" i="7" a="1"/>
  <c r="G197" i="7" s="1"/>
  <c r="F197" i="7" a="1"/>
  <c r="F197" i="7" s="1"/>
  <c r="G195" i="7"/>
  <c r="G195" i="7" a="1"/>
  <c r="F195" i="7" a="1"/>
  <c r="F195" i="7" s="1"/>
  <c r="J188" i="7" a="1"/>
  <c r="J188" i="7" s="1"/>
  <c r="H188" i="7" a="1"/>
  <c r="H188" i="7" s="1"/>
  <c r="F188" i="7" a="1"/>
  <c r="F188" i="7" s="1"/>
  <c r="J186" i="7" a="1"/>
  <c r="J186" i="7" s="1"/>
  <c r="H186" i="7" a="1"/>
  <c r="H186" i="7" s="1"/>
  <c r="F186" i="7" a="1"/>
  <c r="F186" i="7" s="1"/>
  <c r="J184" i="7" a="1"/>
  <c r="J184" i="7" s="1"/>
  <c r="H184" i="7" a="1"/>
  <c r="H184" i="7" s="1"/>
  <c r="J182" i="7" a="1"/>
  <c r="J182" i="7" s="1"/>
  <c r="H182" i="7" a="1"/>
  <c r="H182" i="7" s="1"/>
  <c r="F182" i="7" a="1"/>
  <c r="F182" i="7" s="1"/>
  <c r="M874" i="7" s="1"/>
  <c r="J180" i="7" a="1"/>
  <c r="J180" i="7" s="1"/>
  <c r="H180" i="7" a="1"/>
  <c r="H180" i="7" s="1"/>
  <c r="F180" i="7" a="1"/>
  <c r="F180" i="7" s="1"/>
  <c r="J178" i="7" a="1"/>
  <c r="J178" i="7" s="1"/>
  <c r="H178" i="7" a="1"/>
  <c r="H178" i="7" s="1"/>
  <c r="E142" i="7"/>
  <c r="F112" i="7"/>
  <c r="E1251" i="7" s="1"/>
  <c r="F112" i="7" a="1"/>
  <c r="F110" i="7"/>
  <c r="F110" i="7" a="1"/>
  <c r="F106" i="7" a="1"/>
  <c r="F106" i="7" s="1"/>
  <c r="F104" i="7"/>
  <c r="F104" i="7" a="1"/>
  <c r="F102" i="7"/>
  <c r="F102" i="7" a="1"/>
  <c r="F92" i="7"/>
  <c r="F90" i="7"/>
  <c r="F88" i="7"/>
  <c r="F86" i="7"/>
  <c r="F84" i="7"/>
  <c r="F82" i="7"/>
  <c r="F80" i="7"/>
  <c r="F78" i="7"/>
  <c r="F76" i="7"/>
  <c r="F74" i="7"/>
  <c r="F72" i="7"/>
  <c r="F70" i="7"/>
  <c r="F64" i="7"/>
  <c r="F62" i="7"/>
  <c r="F60" i="7"/>
  <c r="F50" i="7"/>
  <c r="F46" i="7"/>
  <c r="F56" i="7" s="1"/>
  <c r="F44" i="7"/>
  <c r="AH43" i="7"/>
  <c r="AH44" i="7" s="1"/>
  <c r="F40" i="7"/>
  <c r="F32" i="7"/>
  <c r="E1182" i="7" s="1"/>
  <c r="F32" i="7" a="1"/>
  <c r="F30" i="7" a="1"/>
  <c r="F30" i="7" s="1"/>
  <c r="F364" i="7" s="1"/>
  <c r="F26" i="7"/>
  <c r="F20" i="7"/>
  <c r="F18" i="7"/>
  <c r="AI14" i="7"/>
  <c r="AJ13" i="7"/>
  <c r="AF13" i="7"/>
  <c r="BK9" i="7"/>
  <c r="G9" i="7"/>
  <c r="G9" i="7" a="1"/>
  <c r="BK6" i="7"/>
  <c r="I1006" i="7" l="1" a="1"/>
  <c r="I1006" i="7" s="1"/>
  <c r="I990" i="7" a="1"/>
  <c r="I990" i="7" s="1"/>
  <c r="F58" i="7"/>
  <c r="X839" i="7"/>
  <c r="F178" i="7" a="1"/>
  <c r="F178" i="7" s="1"/>
  <c r="BJ804" i="7"/>
  <c r="K827" i="7"/>
  <c r="Q827" i="7"/>
  <c r="W827" i="7"/>
  <c r="P846" i="7"/>
  <c r="AG846" i="7"/>
  <c r="I943" i="7"/>
  <c r="L918" i="7"/>
  <c r="AJ846" i="7"/>
  <c r="AI839" i="7"/>
  <c r="AC839" i="7"/>
  <c r="W839" i="7"/>
  <c r="AH839" i="7"/>
  <c r="AB839" i="7"/>
  <c r="V839" i="7"/>
  <c r="AF839" i="7"/>
  <c r="Z839" i="7"/>
  <c r="T839" i="7"/>
  <c r="AE839" i="7"/>
  <c r="Y839" i="7"/>
  <c r="S839" i="7"/>
  <c r="AD839" i="7"/>
  <c r="AG839" i="7"/>
  <c r="N827" i="7"/>
  <c r="T827" i="7"/>
  <c r="Z827" i="7"/>
  <c r="AJ839" i="7"/>
  <c r="AE841" i="7"/>
  <c r="Y841" i="7"/>
  <c r="AJ841" i="7"/>
  <c r="AD841" i="7"/>
  <c r="X841" i="7"/>
  <c r="AH841" i="7"/>
  <c r="AB841" i="7"/>
  <c r="V841" i="7"/>
  <c r="AC841" i="7"/>
  <c r="S841" i="7"/>
  <c r="AA841" i="7"/>
  <c r="AI841" i="7"/>
  <c r="W841" i="7"/>
  <c r="AG841" i="7"/>
  <c r="U841" i="7"/>
  <c r="I927" i="7"/>
  <c r="L926" i="7"/>
  <c r="F48" i="7"/>
  <c r="F54" i="7" s="1"/>
  <c r="I917" i="7"/>
  <c r="L1013" i="7"/>
  <c r="I1011" i="7"/>
  <c r="O827" i="7"/>
  <c r="U827" i="7"/>
  <c r="AA827" i="7"/>
  <c r="AA846" i="7"/>
  <c r="U839" i="7"/>
  <c r="V831" i="7"/>
  <c r="AB831" i="7"/>
  <c r="AB846" i="7" s="1"/>
  <c r="V833" i="7"/>
  <c r="AB833" i="7"/>
  <c r="AH833" i="7"/>
  <c r="V835" i="7"/>
  <c r="AB835" i="7"/>
  <c r="AH835" i="7"/>
  <c r="W837" i="7"/>
  <c r="AC837" i="7"/>
  <c r="AI837" i="7"/>
  <c r="Y840" i="7"/>
  <c r="L958" i="7"/>
  <c r="L966" i="7" s="1"/>
  <c r="I958" i="7"/>
  <c r="I966" i="7" s="1"/>
  <c r="I957" i="7"/>
  <c r="J1677" i="7"/>
  <c r="F1662" i="7"/>
  <c r="G1662" i="7" s="1"/>
  <c r="I846" i="7"/>
  <c r="I847" i="7" s="1"/>
  <c r="W831" i="7"/>
  <c r="AC831" i="7"/>
  <c r="AI831" i="7"/>
  <c r="W833" i="7"/>
  <c r="AC833" i="7"/>
  <c r="AI833" i="7"/>
  <c r="W835" i="7"/>
  <c r="AC835" i="7"/>
  <c r="AI835" i="7"/>
  <c r="X837" i="7"/>
  <c r="AD837" i="7"/>
  <c r="AJ837" i="7"/>
  <c r="AI840" i="7"/>
  <c r="AC840" i="7"/>
  <c r="W840" i="7"/>
  <c r="S840" i="7"/>
  <c r="Z840" i="7"/>
  <c r="AG840" i="7"/>
  <c r="AG844" i="7"/>
  <c r="AA844" i="7"/>
  <c r="U844" i="7"/>
  <c r="AF844" i="7"/>
  <c r="Z844" i="7"/>
  <c r="T844" i="7"/>
  <c r="AJ844" i="7"/>
  <c r="AD844" i="7"/>
  <c r="X844" i="7"/>
  <c r="AI844" i="7"/>
  <c r="AC844" i="7"/>
  <c r="W844" i="7"/>
  <c r="AB844" i="7"/>
  <c r="E872" i="7"/>
  <c r="R811" i="7"/>
  <c r="R813" i="7" s="1"/>
  <c r="X811" i="7"/>
  <c r="X813" i="7" s="1"/>
  <c r="AD811" i="7"/>
  <c r="AD813" i="7" s="1"/>
  <c r="S831" i="7"/>
  <c r="Y831" i="7"/>
  <c r="AE831" i="7"/>
  <c r="V832" i="7"/>
  <c r="AB832" i="7"/>
  <c r="AH832" i="7"/>
  <c r="AH846" i="7" s="1"/>
  <c r="S833" i="7"/>
  <c r="Y833" i="7"/>
  <c r="AE833" i="7"/>
  <c r="V834" i="7"/>
  <c r="AB834" i="7"/>
  <c r="AH834" i="7"/>
  <c r="S835" i="7"/>
  <c r="Y835" i="7"/>
  <c r="AE835" i="7"/>
  <c r="W836" i="7"/>
  <c r="AC836" i="7"/>
  <c r="AI836" i="7"/>
  <c r="T837" i="7"/>
  <c r="Z837" i="7"/>
  <c r="AF837" i="7"/>
  <c r="X838" i="7"/>
  <c r="AD838" i="7"/>
  <c r="AJ838" i="7"/>
  <c r="U840" i="7"/>
  <c r="AB840" i="7"/>
  <c r="AJ840" i="7"/>
  <c r="AI842" i="7"/>
  <c r="AC842" i="7"/>
  <c r="W842" i="7"/>
  <c r="AH842" i="7"/>
  <c r="AB842" i="7"/>
  <c r="V842" i="7"/>
  <c r="AF842" i="7"/>
  <c r="Z842" i="7"/>
  <c r="T842" i="7"/>
  <c r="X842" i="7"/>
  <c r="AJ842" i="7"/>
  <c r="AH844" i="7"/>
  <c r="V850" i="7"/>
  <c r="P850" i="7"/>
  <c r="J850" i="7"/>
  <c r="U850" i="7"/>
  <c r="O850" i="7"/>
  <c r="I850" i="7"/>
  <c r="S850" i="7"/>
  <c r="M850" i="7"/>
  <c r="G850" i="7"/>
  <c r="R850" i="7"/>
  <c r="L850" i="7"/>
  <c r="F850" i="7"/>
  <c r="W850" i="7"/>
  <c r="I919" i="7"/>
  <c r="M811" i="7"/>
  <c r="M813" i="7" s="1"/>
  <c r="S811" i="7"/>
  <c r="S813" i="7" s="1"/>
  <c r="T831" i="7"/>
  <c r="Z831" i="7"/>
  <c r="AF831" i="7"/>
  <c r="W832" i="7"/>
  <c r="AC832" i="7"/>
  <c r="T833" i="7"/>
  <c r="Z833" i="7"/>
  <c r="W834" i="7"/>
  <c r="AC834" i="7"/>
  <c r="T835" i="7"/>
  <c r="Z835" i="7"/>
  <c r="X836" i="7"/>
  <c r="X846" i="7" s="1"/>
  <c r="AD836" i="7"/>
  <c r="AD846" i="7" s="1"/>
  <c r="U837" i="7"/>
  <c r="U846" i="7" s="1"/>
  <c r="AA837" i="7"/>
  <c r="S838" i="7"/>
  <c r="Y838" i="7"/>
  <c r="V840" i="7"/>
  <c r="AD840" i="7"/>
  <c r="Y842" i="7"/>
  <c r="S844" i="7"/>
  <c r="H850" i="7"/>
  <c r="I916" i="7"/>
  <c r="O1279" i="7"/>
  <c r="AG845" i="7"/>
  <c r="N851" i="7"/>
  <c r="T851" i="7"/>
  <c r="S843" i="7"/>
  <c r="Y843" i="7"/>
  <c r="V845" i="7"/>
  <c r="AB845" i="7"/>
  <c r="AH845" i="7"/>
  <c r="K849" i="7"/>
  <c r="Q849" i="7"/>
  <c r="I851" i="7"/>
  <c r="O851" i="7"/>
  <c r="U851" i="7"/>
  <c r="E1199" i="7"/>
  <c r="P1237" i="7"/>
  <c r="X845" i="7"/>
  <c r="AD845" i="7"/>
  <c r="AJ845" i="7"/>
  <c r="K851" i="7"/>
  <c r="Q851" i="7"/>
  <c r="W851" i="7"/>
  <c r="I1279" i="7"/>
  <c r="R1279" i="7"/>
  <c r="AA1279" i="7"/>
  <c r="AJ1279" i="7"/>
  <c r="AS1279" i="7"/>
  <c r="BB1279" i="7"/>
  <c r="D1278" i="7"/>
  <c r="D1277" i="7"/>
  <c r="D1276" i="7"/>
  <c r="S845" i="7"/>
  <c r="Y845" i="7"/>
  <c r="F851" i="7"/>
  <c r="L851" i="7"/>
  <c r="G1301" i="7"/>
  <c r="E1464" i="7"/>
  <c r="E1460" i="7"/>
  <c r="E1456" i="7" s="1"/>
  <c r="E1458" i="7" s="1"/>
  <c r="K1676" i="7"/>
  <c r="I1676" i="7"/>
  <c r="G1687" i="7" s="1"/>
  <c r="J1682" i="7"/>
  <c r="J1683" i="7" s="1"/>
  <c r="I1682" i="7"/>
  <c r="I1683" i="7" s="1"/>
  <c r="E1687" i="7"/>
  <c r="G1689" i="7"/>
  <c r="K1677" i="7"/>
  <c r="I1677" i="7"/>
  <c r="F1457" i="7" l="1"/>
  <c r="F1455" i="7"/>
  <c r="I937" i="7"/>
  <c r="I945" i="7" s="1"/>
  <c r="I946" i="7" s="1"/>
  <c r="I947" i="7" s="1"/>
  <c r="I936" i="7"/>
  <c r="I944" i="7"/>
  <c r="AI846" i="7"/>
  <c r="E169" i="7"/>
  <c r="V846" i="7"/>
  <c r="S846" i="7"/>
  <c r="AF846" i="7"/>
  <c r="AC846" i="7"/>
  <c r="L943" i="7"/>
  <c r="F1456" i="7"/>
  <c r="D1279" i="7"/>
  <c r="D1281" i="7" s="1"/>
  <c r="Z846" i="7"/>
  <c r="W846" i="7"/>
  <c r="AE846" i="7"/>
  <c r="Y846" i="7"/>
  <c r="F1687" i="7"/>
  <c r="F1689" i="7" s="1"/>
  <c r="E1689" i="7"/>
  <c r="L1676" i="7"/>
  <c r="E167" i="7"/>
  <c r="I934" i="7"/>
  <c r="I935" i="7" s="1"/>
  <c r="I933" i="7"/>
  <c r="T846" i="7"/>
  <c r="I929" i="7"/>
  <c r="L927" i="7"/>
  <c r="L929" i="7" s="1"/>
  <c r="BF1278" i="7" l="1"/>
  <c r="AW1278" i="7"/>
  <c r="AN1278" i="7"/>
  <c r="AE1278" i="7"/>
  <c r="V1278" i="7"/>
  <c r="M1278" i="7"/>
  <c r="BC1278" i="7"/>
  <c r="AT1278" i="7"/>
  <c r="AK1278" i="7"/>
  <c r="AB1278" i="7"/>
  <c r="S1278" i="7"/>
  <c r="J1278" i="7"/>
  <c r="AQ1278" i="7"/>
  <c r="P1278" i="7"/>
  <c r="AH1278" i="7"/>
  <c r="G1278" i="7"/>
  <c r="Y1278" i="7"/>
  <c r="AZ1278" i="7"/>
  <c r="D1270" i="7"/>
  <c r="E153" i="7" s="1"/>
  <c r="E155" i="7"/>
  <c r="E161" i="7"/>
  <c r="E163" i="7"/>
  <c r="E159" i="7"/>
  <c r="M1676" i="7"/>
  <c r="F510" i="7" s="1"/>
  <c r="M1678" i="7"/>
  <c r="M1684" i="7"/>
  <c r="M1687" i="7" s="1"/>
  <c r="I962" i="7"/>
  <c r="I965" i="7" s="1"/>
  <c r="I967" i="7" s="1"/>
  <c r="I951" i="7"/>
  <c r="I952" i="7" s="1"/>
  <c r="E165" i="7"/>
  <c r="AZ1277" i="7"/>
  <c r="AQ1277" i="7"/>
  <c r="AH1277" i="7"/>
  <c r="Y1277" i="7"/>
  <c r="P1277" i="7"/>
  <c r="G1277" i="7"/>
  <c r="BF1277" i="7"/>
  <c r="AW1277" i="7"/>
  <c r="AN1277" i="7"/>
  <c r="AE1277" i="7"/>
  <c r="V1277" i="7"/>
  <c r="M1277" i="7"/>
  <c r="BC1277" i="7"/>
  <c r="AB1277" i="7"/>
  <c r="AK1277" i="7"/>
  <c r="J1277" i="7"/>
  <c r="AT1277" i="7"/>
  <c r="S1277" i="7"/>
  <c r="I987" i="7"/>
  <c r="I1001" i="7"/>
  <c r="I1007" i="7"/>
  <c r="AZ1276" i="7" l="1"/>
  <c r="AQ1276" i="7"/>
  <c r="AH1276" i="7"/>
  <c r="Y1276" i="7"/>
  <c r="P1276" i="7"/>
  <c r="G1276" i="7"/>
  <c r="BF1276" i="7"/>
  <c r="AW1276" i="7"/>
  <c r="AN1276" i="7"/>
  <c r="AE1276" i="7"/>
  <c r="V1276" i="7"/>
  <c r="M1276" i="7"/>
  <c r="BC1276" i="7"/>
  <c r="AB1276" i="7"/>
  <c r="AK1276" i="7"/>
  <c r="J1276" i="7"/>
  <c r="S1276" i="7"/>
  <c r="AT1276" i="7"/>
  <c r="BF1273" i="7"/>
  <c r="AW1273" i="7"/>
  <c r="AN1273" i="7"/>
  <c r="AE1273" i="7"/>
  <c r="V1273" i="7"/>
  <c r="M1273" i="7"/>
  <c r="BC1273" i="7"/>
  <c r="AT1273" i="7"/>
  <c r="AK1273" i="7"/>
  <c r="AB1273" i="7"/>
  <c r="S1273" i="7"/>
  <c r="J1273" i="7"/>
  <c r="AH1273" i="7"/>
  <c r="G1273" i="7"/>
  <c r="AZ1273" i="7"/>
  <c r="Y1273" i="7"/>
  <c r="AQ1273" i="7"/>
  <c r="P1273" i="7"/>
  <c r="BC1275" i="7"/>
  <c r="AT1275" i="7"/>
  <c r="AK1275" i="7"/>
  <c r="AB1275" i="7"/>
  <c r="S1275" i="7"/>
  <c r="J1275" i="7"/>
  <c r="AZ1275" i="7"/>
  <c r="AQ1275" i="7"/>
  <c r="AH1275" i="7"/>
  <c r="Y1275" i="7"/>
  <c r="P1275" i="7"/>
  <c r="G1275" i="7"/>
  <c r="BF1275" i="7"/>
  <c r="AE1275" i="7"/>
  <c r="AW1275" i="7"/>
  <c r="V1275" i="7"/>
  <c r="AN1275" i="7"/>
  <c r="M1275" i="7"/>
  <c r="I991" i="7" a="1"/>
  <c r="I991" i="7" s="1"/>
  <c r="I974" i="7"/>
  <c r="I968" i="7"/>
  <c r="I975" i="7" s="1"/>
  <c r="I976" i="7"/>
  <c r="I977" i="7" s="1"/>
  <c r="BC1274" i="7"/>
  <c r="AT1274" i="7"/>
  <c r="AK1274" i="7"/>
  <c r="AB1274" i="7"/>
  <c r="S1274" i="7"/>
  <c r="J1274" i="7"/>
  <c r="AZ1274" i="7"/>
  <c r="AQ1274" i="7"/>
  <c r="AH1274" i="7"/>
  <c r="Y1274" i="7"/>
  <c r="P1274" i="7"/>
  <c r="G1274" i="7"/>
  <c r="BF1274" i="7"/>
  <c r="AE1274" i="7"/>
  <c r="AN1274" i="7"/>
  <c r="M1274" i="7"/>
  <c r="AW1274" i="7"/>
  <c r="V1274" i="7"/>
  <c r="O1696" i="7"/>
  <c r="BC1271" i="7"/>
  <c r="AT1271" i="7"/>
  <c r="AK1271" i="7"/>
  <c r="AB1271" i="7"/>
  <c r="S1271" i="7"/>
  <c r="J1271" i="7"/>
  <c r="AZ1271" i="7"/>
  <c r="AE1271" i="7"/>
  <c r="AN1271" i="7"/>
  <c r="G1271" i="7"/>
  <c r="BF1271" i="7"/>
  <c r="Y1271" i="7"/>
  <c r="AH1271" i="7"/>
  <c r="M1271" i="7"/>
  <c r="V1271" i="7"/>
  <c r="AW1271" i="7"/>
  <c r="P1271" i="7"/>
  <c r="AQ1271" i="7"/>
  <c r="AZ1270" i="7"/>
  <c r="AZ1279" i="7" s="1"/>
  <c r="AQ1270" i="7"/>
  <c r="AQ1279" i="7" s="1"/>
  <c r="AH1270" i="7"/>
  <c r="Y1270" i="7"/>
  <c r="Y1279" i="7" s="1"/>
  <c r="P1270" i="7"/>
  <c r="G1270" i="7"/>
  <c r="BF1270" i="7"/>
  <c r="BF1279" i="7" s="1"/>
  <c r="AW1270" i="7"/>
  <c r="AW1279" i="7" s="1"/>
  <c r="AN1270" i="7"/>
  <c r="AN1279" i="7" s="1"/>
  <c r="AE1270" i="7"/>
  <c r="V1270" i="7"/>
  <c r="M1270" i="7"/>
  <c r="AK1270" i="7"/>
  <c r="AK1279" i="7" s="1"/>
  <c r="J1270" i="7"/>
  <c r="J1279" i="7" s="1"/>
  <c r="AT1270" i="7"/>
  <c r="S1270" i="7"/>
  <c r="S1279" i="7" s="1"/>
  <c r="AB1270" i="7"/>
  <c r="BC1270" i="7"/>
  <c r="I981" i="7" l="1"/>
  <c r="I982" i="7" s="1"/>
  <c r="I983" i="7" s="1"/>
  <c r="BF1280" i="7"/>
  <c r="BF1281" i="7"/>
  <c r="J1281" i="7"/>
  <c r="J1280" i="7"/>
  <c r="AZ1281" i="7"/>
  <c r="AZ1280" i="7"/>
  <c r="T751" i="7" s="1"/>
  <c r="M1279" i="7"/>
  <c r="AK1281" i="7"/>
  <c r="AK1280" i="7"/>
  <c r="O751" i="7" s="1"/>
  <c r="BC1279" i="7"/>
  <c r="G1279" i="7"/>
  <c r="AB1279" i="7"/>
  <c r="V1279" i="7"/>
  <c r="P1279" i="7"/>
  <c r="AW1281" i="7"/>
  <c r="AW1280" i="7"/>
  <c r="S751" i="7" s="1"/>
  <c r="I1002" i="7"/>
  <c r="I1003" i="7" s="1"/>
  <c r="I1008" i="7"/>
  <c r="I988" i="7"/>
  <c r="Y1280" i="7"/>
  <c r="K751" i="7" s="1"/>
  <c r="Y1281" i="7"/>
  <c r="AQ1281" i="7"/>
  <c r="AQ1280" i="7"/>
  <c r="S1281" i="7"/>
  <c r="S1280" i="7"/>
  <c r="AE1279" i="7"/>
  <c r="AT1279" i="7"/>
  <c r="AN1280" i="7"/>
  <c r="P751" i="7" s="1"/>
  <c r="AN1281" i="7"/>
  <c r="AH1279" i="7"/>
  <c r="P1281" i="7" l="1"/>
  <c r="P1280" i="7"/>
  <c r="AH1281" i="7"/>
  <c r="AH1280" i="7"/>
  <c r="V1280" i="7"/>
  <c r="V1281" i="7"/>
  <c r="M1281" i="7"/>
  <c r="M1280" i="7"/>
  <c r="I1010" i="7"/>
  <c r="I1012" i="7" s="1"/>
  <c r="I1009" i="7"/>
  <c r="AB1281" i="7"/>
  <c r="AB1280" i="7"/>
  <c r="L751" i="7" s="1"/>
  <c r="G1281" i="7"/>
  <c r="G1280" i="7"/>
  <c r="E751" i="7" s="1"/>
  <c r="AE1281" i="7"/>
  <c r="AE1280" i="7"/>
  <c r="AT1281" i="7"/>
  <c r="AT1280" i="7"/>
  <c r="R751" i="7" s="1"/>
  <c r="BC1281" i="7"/>
  <c r="BC1280" i="7"/>
  <c r="U751" i="7" s="1"/>
  <c r="F40" i="5" l="1"/>
  <c r="F72" i="5"/>
  <c r="F18" i="5"/>
  <c r="AA1268" i="5" l="1"/>
  <c r="AH1268" i="5"/>
  <c r="AQ1268" i="5"/>
  <c r="BF1268" i="5"/>
  <c r="BB1278" i="5"/>
  <c r="BB1277" i="5"/>
  <c r="BB1276" i="5"/>
  <c r="BB1275" i="5"/>
  <c r="BB1274" i="5"/>
  <c r="BB1273" i="5"/>
  <c r="BC1272" i="5"/>
  <c r="BB1272" i="5"/>
  <c r="BB1271" i="5"/>
  <c r="BB1270" i="5"/>
  <c r="BC1269" i="5"/>
  <c r="BB1269" i="5"/>
  <c r="BC1268" i="5"/>
  <c r="BB1268" i="5"/>
  <c r="AY1278" i="5"/>
  <c r="AY1277" i="5"/>
  <c r="AY1276" i="5"/>
  <c r="AY1275" i="5"/>
  <c r="AY1274" i="5"/>
  <c r="AY1273" i="5"/>
  <c r="AZ1272" i="5"/>
  <c r="AY1272" i="5"/>
  <c r="AY1271" i="5"/>
  <c r="AY1270" i="5"/>
  <c r="AZ1269" i="5"/>
  <c r="AY1269" i="5"/>
  <c r="AZ1268" i="5"/>
  <c r="AY1268" i="5"/>
  <c r="AV1278" i="5"/>
  <c r="AV1277" i="5"/>
  <c r="AV1276" i="5"/>
  <c r="AV1275" i="5"/>
  <c r="AV1274" i="5"/>
  <c r="AV1273" i="5"/>
  <c r="AW1272" i="5"/>
  <c r="AV1272" i="5"/>
  <c r="AV1271" i="5"/>
  <c r="AV1270" i="5"/>
  <c r="AW1269" i="5"/>
  <c r="AV1269" i="5"/>
  <c r="AW1268" i="5"/>
  <c r="AV1268" i="5"/>
  <c r="AS1278" i="5"/>
  <c r="AS1277" i="5"/>
  <c r="AS1276" i="5"/>
  <c r="AS1275" i="5"/>
  <c r="AS1274" i="5"/>
  <c r="AS1273" i="5"/>
  <c r="AT1272" i="5"/>
  <c r="AS1272" i="5"/>
  <c r="AS1271" i="5"/>
  <c r="AS1270" i="5"/>
  <c r="AT1269" i="5"/>
  <c r="AS1269" i="5"/>
  <c r="AT1268" i="5"/>
  <c r="AS1268" i="5"/>
  <c r="AM1278" i="5"/>
  <c r="AM1277" i="5"/>
  <c r="AM1276" i="5"/>
  <c r="AM1275" i="5"/>
  <c r="AM1274" i="5"/>
  <c r="AM1273" i="5"/>
  <c r="AN1272" i="5"/>
  <c r="AM1272" i="5"/>
  <c r="AM1271" i="5"/>
  <c r="AM1270" i="5"/>
  <c r="AN1269" i="5"/>
  <c r="AM1269" i="5"/>
  <c r="AN1268" i="5"/>
  <c r="AM1268" i="5"/>
  <c r="AJ1278" i="5"/>
  <c r="AJ1277" i="5"/>
  <c r="AJ1276" i="5"/>
  <c r="AJ1275" i="5"/>
  <c r="AJ1274" i="5"/>
  <c r="AJ1273" i="5"/>
  <c r="AJ1272" i="5"/>
  <c r="AJ1271" i="5"/>
  <c r="AJ1270" i="5"/>
  <c r="AJ1269" i="5"/>
  <c r="AJ1268" i="5"/>
  <c r="AK1272" i="5"/>
  <c r="AK1269" i="5"/>
  <c r="AK1268" i="5"/>
  <c r="AH1272" i="5"/>
  <c r="AH1269" i="5"/>
  <c r="AE1272" i="5"/>
  <c r="AE1269" i="5"/>
  <c r="AE1268" i="5"/>
  <c r="AB1272" i="5"/>
  <c r="AB1269" i="5"/>
  <c r="AB1268" i="5"/>
  <c r="Y1272" i="5"/>
  <c r="Y1269" i="5"/>
  <c r="Y1268" i="5"/>
  <c r="V1272" i="5"/>
  <c r="V1269" i="5"/>
  <c r="V1268" i="5"/>
  <c r="S1272" i="5"/>
  <c r="S1269" i="5"/>
  <c r="S1268" i="5"/>
  <c r="P1272" i="5"/>
  <c r="P1269" i="5"/>
  <c r="P1268" i="5"/>
  <c r="M1268" i="5"/>
  <c r="M1272" i="5"/>
  <c r="M1269" i="5"/>
  <c r="J1272" i="5"/>
  <c r="J1269" i="5"/>
  <c r="J1268" i="5"/>
  <c r="I1268" i="5"/>
  <c r="AD1278" i="5"/>
  <c r="AD1277" i="5"/>
  <c r="AD1276" i="5"/>
  <c r="AD1275" i="5"/>
  <c r="AD1274" i="5"/>
  <c r="AD1273" i="5"/>
  <c r="AD1272" i="5"/>
  <c r="AD1271" i="5"/>
  <c r="AD1270" i="5"/>
  <c r="AD1269" i="5"/>
  <c r="AD1268" i="5"/>
  <c r="AA1278" i="5"/>
  <c r="AA1277" i="5"/>
  <c r="AA1276" i="5"/>
  <c r="AA1275" i="5"/>
  <c r="AA1274" i="5"/>
  <c r="AA1273" i="5"/>
  <c r="AA1272" i="5"/>
  <c r="AA1271" i="5"/>
  <c r="AA1270" i="5"/>
  <c r="AA1269" i="5"/>
  <c r="X1278" i="5"/>
  <c r="X1277" i="5"/>
  <c r="X1276" i="5"/>
  <c r="X1275" i="5"/>
  <c r="X1274" i="5"/>
  <c r="X1273" i="5"/>
  <c r="X1272" i="5"/>
  <c r="X1271" i="5"/>
  <c r="X1270" i="5"/>
  <c r="X1269" i="5"/>
  <c r="X1268" i="5"/>
  <c r="G1272" i="5"/>
  <c r="G1269" i="5"/>
  <c r="G1268" i="5"/>
  <c r="F1278" i="5"/>
  <c r="F1277" i="5"/>
  <c r="F1276" i="5"/>
  <c r="F1275" i="5"/>
  <c r="F1274" i="5"/>
  <c r="F1273" i="5"/>
  <c r="F1272" i="5"/>
  <c r="F1271" i="5"/>
  <c r="F1270" i="5"/>
  <c r="F1269" i="5"/>
  <c r="F1268" i="5"/>
  <c r="R39" i="2"/>
  <c r="R37" i="2"/>
  <c r="R35" i="2"/>
  <c r="R33" i="2"/>
  <c r="R29" i="2"/>
  <c r="R27" i="2"/>
  <c r="R21" i="2"/>
  <c r="R19" i="2"/>
  <c r="F771" i="5"/>
  <c r="G771" i="5"/>
  <c r="H771" i="5"/>
  <c r="I771" i="5"/>
  <c r="J771" i="5"/>
  <c r="K771" i="5"/>
  <c r="L771" i="5"/>
  <c r="M771" i="5"/>
  <c r="N771" i="5"/>
  <c r="O771" i="5"/>
  <c r="P771" i="5"/>
  <c r="Q771" i="5"/>
  <c r="R771" i="5"/>
  <c r="S771" i="5"/>
  <c r="T771" i="5"/>
  <c r="U771" i="5"/>
  <c r="V771" i="5"/>
  <c r="E771" i="5"/>
  <c r="F30" i="5" a="1"/>
  <c r="F30" i="5" s="1"/>
  <c r="F364" i="5" s="1"/>
  <c r="F32" i="5" a="1"/>
  <c r="F32" i="5" s="1"/>
  <c r="E1182" i="5" s="1"/>
  <c r="F20" i="5"/>
  <c r="F26" i="5"/>
  <c r="D6" i="41"/>
  <c r="D36" i="41"/>
  <c r="E39" i="41"/>
  <c r="D7" i="41"/>
  <c r="D8" i="41"/>
  <c r="D9" i="41"/>
  <c r="D10" i="41"/>
  <c r="D11" i="41"/>
  <c r="D13" i="41"/>
  <c r="D14" i="41"/>
  <c r="D15" i="41"/>
  <c r="D16" i="41"/>
  <c r="D18" i="41"/>
  <c r="D19" i="41"/>
  <c r="D20" i="41"/>
  <c r="D21" i="41"/>
  <c r="D22" i="41"/>
  <c r="D23" i="41"/>
  <c r="D24" i="41"/>
  <c r="D25" i="41"/>
  <c r="D28" i="41"/>
  <c r="D29" i="41"/>
  <c r="D30" i="41"/>
  <c r="D31" i="41"/>
  <c r="D32" i="41"/>
  <c r="D33" i="41"/>
  <c r="D34" i="41"/>
  <c r="D35" i="41"/>
  <c r="D38" i="41"/>
  <c r="D39" i="41"/>
  <c r="D40" i="41"/>
  <c r="D42" i="41"/>
  <c r="D43" i="41"/>
  <c r="D44" i="41"/>
  <c r="D45" i="41"/>
  <c r="D46" i="41"/>
  <c r="D47" i="41"/>
  <c r="D48" i="41"/>
  <c r="AD1279" i="5" l="1"/>
  <c r="AA1279" i="5"/>
  <c r="BB1279" i="5"/>
  <c r="AV1279" i="5"/>
  <c r="AY1279" i="5"/>
  <c r="AM1279" i="5"/>
  <c r="X1279" i="5"/>
  <c r="AS1279" i="5"/>
  <c r="AJ1279" i="5"/>
  <c r="F1279" i="5"/>
  <c r="E58" i="2" l="1"/>
  <c r="F58" i="2"/>
  <c r="G58" i="2"/>
  <c r="H58" i="2"/>
  <c r="I58" i="2"/>
  <c r="J58" i="2"/>
  <c r="K58" i="2"/>
  <c r="L58" i="2"/>
  <c r="M58" i="2"/>
  <c r="D62" i="8"/>
  <c r="D52" i="8"/>
  <c r="D54" i="8"/>
  <c r="D53" i="8"/>
  <c r="E46" i="8"/>
  <c r="D41" i="8"/>
  <c r="D42" i="8"/>
  <c r="D43" i="8"/>
  <c r="D44" i="8"/>
  <c r="D45" i="8"/>
  <c r="D46" i="8"/>
  <c r="D47" i="8"/>
  <c r="D48" i="8"/>
  <c r="D49" i="8"/>
  <c r="D65" i="8"/>
  <c r="D66" i="8"/>
  <c r="D57" i="8"/>
  <c r="D58" i="8"/>
  <c r="D59" i="8"/>
  <c r="D60" i="8"/>
  <c r="D61" i="8"/>
  <c r="D63" i="8"/>
  <c r="D50" i="8"/>
  <c r="D51" i="8"/>
  <c r="D40" i="8"/>
  <c r="E37" i="8"/>
  <c r="D37" i="8"/>
  <c r="E36" i="8"/>
  <c r="D36" i="8"/>
  <c r="E35" i="8"/>
  <c r="D35" i="8"/>
  <c r="E34" i="8"/>
  <c r="D34" i="8"/>
  <c r="E33" i="8"/>
  <c r="D33" i="8"/>
  <c r="D32" i="8"/>
  <c r="E31" i="8"/>
  <c r="D31" i="8"/>
  <c r="E30" i="8"/>
  <c r="D30" i="8"/>
  <c r="D29" i="8"/>
  <c r="D28" i="8"/>
  <c r="D27" i="8"/>
  <c r="D26" i="8"/>
  <c r="D25" i="8"/>
  <c r="D24" i="8"/>
  <c r="D23" i="8"/>
  <c r="D20" i="8"/>
  <c r="D19" i="8"/>
  <c r="D18" i="8"/>
  <c r="D17" i="8"/>
  <c r="D16" i="8"/>
  <c r="D15" i="8"/>
  <c r="D14" i="8"/>
  <c r="D13" i="8"/>
  <c r="D12" i="8"/>
  <c r="D11" i="8"/>
  <c r="D10" i="8"/>
  <c r="D9" i="8"/>
  <c r="D8" i="8"/>
  <c r="D7" i="8"/>
  <c r="D6" i="8"/>
  <c r="E1306" i="5"/>
  <c r="E1307" i="5"/>
  <c r="E1308" i="5"/>
  <c r="E1309" i="5"/>
  <c r="E1310" i="5"/>
  <c r="E1311" i="5"/>
  <c r="E1312" i="5"/>
  <c r="E1313" i="5"/>
  <c r="E1314" i="5"/>
  <c r="E1315" i="5"/>
  <c r="E1316" i="5"/>
  <c r="E1317" i="5"/>
  <c r="E1323" i="5"/>
  <c r="O1323" i="5"/>
  <c r="AN1323" i="5"/>
  <c r="E1324" i="5"/>
  <c r="O1324" i="5"/>
  <c r="E1325" i="5"/>
  <c r="O1325" i="5"/>
  <c r="E1326" i="5"/>
  <c r="O1326" i="5"/>
  <c r="E1327" i="5"/>
  <c r="O1327" i="5"/>
  <c r="E1328" i="5"/>
  <c r="O1328" i="5"/>
  <c r="E1329" i="5"/>
  <c r="O1329" i="5"/>
  <c r="E1330" i="5"/>
  <c r="O1330" i="5"/>
  <c r="AM1330" i="5"/>
  <c r="AO1323" i="5" s="1"/>
  <c r="AP1323" i="5" s="1"/>
  <c r="AQ1323" i="5" s="1"/>
  <c r="E1331" i="5"/>
  <c r="O1331" i="5"/>
  <c r="AG1331" i="5"/>
  <c r="AG1329" i="5" s="1"/>
  <c r="E1332" i="5"/>
  <c r="O1332" i="5"/>
  <c r="AG1332" i="5"/>
  <c r="E1333" i="5"/>
  <c r="O1333" i="5"/>
  <c r="E1334" i="5"/>
  <c r="O1334" i="5"/>
  <c r="AH1334" i="5"/>
  <c r="E1340" i="5"/>
  <c r="O1340" i="5"/>
  <c r="E1341" i="5"/>
  <c r="O1341" i="5"/>
  <c r="E1342" i="5"/>
  <c r="O1342" i="5"/>
  <c r="E1343" i="5"/>
  <c r="O1343" i="5"/>
  <c r="E1344" i="5"/>
  <c r="O1344" i="5"/>
  <c r="E1345" i="5"/>
  <c r="O1345" i="5"/>
  <c r="E1346" i="5"/>
  <c r="O1346" i="5"/>
  <c r="E1347" i="5"/>
  <c r="O1347" i="5"/>
  <c r="E1348" i="5"/>
  <c r="O1348" i="5"/>
  <c r="E1349" i="5"/>
  <c r="O1349" i="5"/>
  <c r="E1350" i="5"/>
  <c r="O1350" i="5"/>
  <c r="E1351" i="5"/>
  <c r="O1351" i="5"/>
  <c r="E1357" i="5"/>
  <c r="O1357" i="5"/>
  <c r="E1358" i="5"/>
  <c r="O1358" i="5"/>
  <c r="E1359" i="5"/>
  <c r="O1359" i="5"/>
  <c r="E1360" i="5"/>
  <c r="O1360" i="5"/>
  <c r="E1361" i="5"/>
  <c r="O1361" i="5"/>
  <c r="E1362" i="5"/>
  <c r="O1362" i="5"/>
  <c r="E1363" i="5"/>
  <c r="O1363" i="5"/>
  <c r="E1364" i="5"/>
  <c r="O1364" i="5"/>
  <c r="E1365" i="5"/>
  <c r="O1365" i="5"/>
  <c r="E1366" i="5"/>
  <c r="O1366" i="5"/>
  <c r="E1367" i="5"/>
  <c r="O1367" i="5"/>
  <c r="E1368" i="5"/>
  <c r="O1368" i="5"/>
  <c r="E1373" i="5"/>
  <c r="N1373" i="5"/>
  <c r="E1374" i="5"/>
  <c r="N1374" i="5"/>
  <c r="E1375" i="5"/>
  <c r="N1375" i="5"/>
  <c r="E1376" i="5"/>
  <c r="N1376" i="5"/>
  <c r="E1377" i="5"/>
  <c r="N1377" i="5"/>
  <c r="E1378" i="5"/>
  <c r="N1378" i="5"/>
  <c r="E1379" i="5"/>
  <c r="N1379" i="5"/>
  <c r="E1380" i="5"/>
  <c r="N1380" i="5"/>
  <c r="E1381" i="5"/>
  <c r="N1381" i="5"/>
  <c r="E1382" i="5"/>
  <c r="N1382" i="5"/>
  <c r="E1383" i="5"/>
  <c r="N1383" i="5"/>
  <c r="E1384" i="5"/>
  <c r="N1384" i="5"/>
  <c r="I1395" i="5"/>
  <c r="E32" i="8" s="1"/>
  <c r="E1413" i="5"/>
  <c r="E1414" i="5"/>
  <c r="E1415" i="5"/>
  <c r="E1416" i="5"/>
  <c r="E1417" i="5"/>
  <c r="E1418" i="5"/>
  <c r="E1419" i="5"/>
  <c r="E1420" i="5"/>
  <c r="E1421" i="5"/>
  <c r="E1422" i="5"/>
  <c r="E1423" i="5"/>
  <c r="E1424" i="5"/>
  <c r="L1432" i="5"/>
  <c r="L1433" i="5"/>
  <c r="L1434" i="5"/>
  <c r="L1435" i="5"/>
  <c r="L1436" i="5"/>
  <c r="L1437" i="5"/>
  <c r="L1438" i="5"/>
  <c r="L1439" i="5"/>
  <c r="L1440" i="5"/>
  <c r="L1441" i="5"/>
  <c r="L1442" i="5"/>
  <c r="L1443" i="5"/>
  <c r="F1449" i="5"/>
  <c r="F1450" i="5" s="1"/>
  <c r="F1451" i="5" s="1"/>
  <c r="E1453" i="5"/>
  <c r="E1455" i="5"/>
  <c r="E1463" i="5"/>
  <c r="F1468" i="5"/>
  <c r="F1469" i="5"/>
  <c r="F1470" i="5"/>
  <c r="E1479" i="5"/>
  <c r="E1481" i="5"/>
  <c r="E1484" i="5"/>
  <c r="M1537" i="5" a="1"/>
  <c r="M1537" i="5" s="1"/>
  <c r="M1538" i="5" a="1"/>
  <c r="M1538" i="5" s="1"/>
  <c r="F197" i="5" a="1"/>
  <c r="F197" i="5" s="1"/>
  <c r="F199" i="5" a="1"/>
  <c r="F199" i="5" s="1"/>
  <c r="F201" i="5" a="1"/>
  <c r="F201" i="5" s="1"/>
  <c r="F203" i="5" a="1"/>
  <c r="F203" i="5" s="1"/>
  <c r="F205" i="5" a="1"/>
  <c r="F205" i="5" s="1"/>
  <c r="F207" i="5" a="1"/>
  <c r="F207" i="5" s="1"/>
  <c r="F209" i="5" a="1"/>
  <c r="F209" i="5" s="1"/>
  <c r="F211" i="5" a="1"/>
  <c r="F211" i="5" s="1"/>
  <c r="F213" i="5" a="1"/>
  <c r="F213" i="5" s="1"/>
  <c r="F215" i="5" a="1"/>
  <c r="F215" i="5" s="1"/>
  <c r="F195" i="5" a="1"/>
  <c r="F195" i="5" s="1"/>
  <c r="F112" i="5" a="1"/>
  <c r="F112" i="5" s="1"/>
  <c r="F110" i="5" a="1"/>
  <c r="F110" i="5" s="1"/>
  <c r="F106" i="5" a="1"/>
  <c r="F106" i="5" s="1"/>
  <c r="F104" i="5" a="1"/>
  <c r="F104" i="5" s="1"/>
  <c r="F102" i="5" a="1"/>
  <c r="F102" i="5" s="1"/>
  <c r="G197" i="5" a="1"/>
  <c r="G197" i="5" s="1"/>
  <c r="G199" i="5" a="1"/>
  <c r="G199" i="5" s="1"/>
  <c r="G201" i="5" a="1"/>
  <c r="G201" i="5" s="1"/>
  <c r="G203" i="5" a="1"/>
  <c r="G203" i="5" s="1"/>
  <c r="G205" i="5" a="1"/>
  <c r="G205" i="5" s="1"/>
  <c r="G207" i="5" a="1"/>
  <c r="G207" i="5" s="1"/>
  <c r="G209" i="5" a="1"/>
  <c r="G209" i="5" s="1"/>
  <c r="G211" i="5" a="1"/>
  <c r="G211" i="5" s="1"/>
  <c r="G213" i="5" a="1"/>
  <c r="G213" i="5" s="1"/>
  <c r="G215" i="5" a="1"/>
  <c r="G215" i="5" s="1"/>
  <c r="G217" i="5" a="1"/>
  <c r="G217" i="5" s="1"/>
  <c r="G219" i="5" a="1"/>
  <c r="G219" i="5" s="1"/>
  <c r="G221" i="5" a="1"/>
  <c r="G221" i="5" s="1"/>
  <c r="G223" i="5" a="1"/>
  <c r="G223" i="5" s="1"/>
  <c r="G225" i="5" a="1"/>
  <c r="G225" i="5" s="1"/>
  <c r="G227" i="5" a="1"/>
  <c r="G227" i="5" s="1"/>
  <c r="G229" i="5" a="1"/>
  <c r="G229" i="5" s="1"/>
  <c r="G231" i="5" a="1"/>
  <c r="G231" i="5" s="1"/>
  <c r="G233" i="5" a="1"/>
  <c r="G233" i="5" s="1"/>
  <c r="G235" i="5" a="1"/>
  <c r="G235" i="5" s="1"/>
  <c r="G237" i="5" a="1"/>
  <c r="G237" i="5" s="1"/>
  <c r="G195" i="5" a="1"/>
  <c r="G195" i="5" s="1"/>
  <c r="F1571" i="5"/>
  <c r="F1570" i="5"/>
  <c r="F1562" i="5"/>
  <c r="F1564" i="5"/>
  <c r="F1565" i="5"/>
  <c r="F1566" i="5"/>
  <c r="F1567" i="5"/>
  <c r="F1568" i="5"/>
  <c r="F1561" i="5"/>
  <c r="AG1337" i="5" l="1"/>
  <c r="E1464" i="5"/>
  <c r="E1460" i="5"/>
  <c r="E1456" i="5" s="1"/>
  <c r="D147" i="1"/>
  <c r="D121" i="1"/>
  <c r="D146" i="1"/>
  <c r="D141" i="1"/>
  <c r="D140" i="1"/>
  <c r="D129" i="1"/>
  <c r="D130" i="1"/>
  <c r="D131" i="1"/>
  <c r="D132" i="1"/>
  <c r="D128" i="1"/>
  <c r="D120" i="1"/>
  <c r="D122" i="1"/>
  <c r="D119" i="1"/>
  <c r="D113" i="1"/>
  <c r="D114" i="1"/>
  <c r="D115" i="1"/>
  <c r="D116" i="1"/>
  <c r="D112" i="1"/>
  <c r="D109" i="1"/>
  <c r="D97" i="1"/>
  <c r="D98" i="1"/>
  <c r="D99" i="1"/>
  <c r="D100" i="1"/>
  <c r="D101" i="1"/>
  <c r="D102" i="1"/>
  <c r="D103" i="1"/>
  <c r="D104" i="1"/>
  <c r="D105" i="1"/>
  <c r="D106" i="1"/>
  <c r="D107" i="1"/>
  <c r="D108" i="1"/>
  <c r="D96" i="1"/>
  <c r="D88" i="1"/>
  <c r="D89" i="1"/>
  <c r="D90" i="1"/>
  <c r="D91" i="1"/>
  <c r="D92" i="1"/>
  <c r="D93" i="1"/>
  <c r="D87" i="1"/>
  <c r="D81" i="1"/>
  <c r="D82" i="1"/>
  <c r="D83" i="1"/>
  <c r="D84" i="1"/>
  <c r="D78" i="1"/>
  <c r="D79" i="1"/>
  <c r="D80" i="1"/>
  <c r="D55" i="1"/>
  <c r="D56" i="1"/>
  <c r="D57" i="1"/>
  <c r="D58" i="1"/>
  <c r="D59" i="1"/>
  <c r="D60" i="1"/>
  <c r="D61" i="1"/>
  <c r="D62" i="1"/>
  <c r="D63" i="1"/>
  <c r="D64" i="1"/>
  <c r="D65" i="1"/>
  <c r="D66" i="1"/>
  <c r="D67" i="1"/>
  <c r="D68" i="1"/>
  <c r="D69" i="1"/>
  <c r="D70" i="1"/>
  <c r="D71" i="1"/>
  <c r="D72" i="1"/>
  <c r="D73" i="1"/>
  <c r="D74" i="1"/>
  <c r="D75" i="1"/>
  <c r="D76" i="1"/>
  <c r="D77" i="1"/>
  <c r="D54" i="1"/>
  <c r="E51" i="1"/>
  <c r="D39" i="1"/>
  <c r="D40" i="1"/>
  <c r="D41" i="1"/>
  <c r="D42" i="1"/>
  <c r="D43" i="1"/>
  <c r="D44" i="1"/>
  <c r="D45" i="1"/>
  <c r="D46" i="1"/>
  <c r="D47" i="1"/>
  <c r="D48" i="1"/>
  <c r="D49" i="1"/>
  <c r="D50" i="1"/>
  <c r="D51" i="1"/>
  <c r="D38" i="1"/>
  <c r="D22" i="1"/>
  <c r="D23" i="1"/>
  <c r="D24" i="1"/>
  <c r="D25" i="1"/>
  <c r="D26" i="1"/>
  <c r="D27" i="1"/>
  <c r="D28" i="1"/>
  <c r="D29" i="1"/>
  <c r="D30" i="1"/>
  <c r="D31" i="1"/>
  <c r="D32" i="1"/>
  <c r="D33" i="1"/>
  <c r="D34" i="1"/>
  <c r="D35" i="1"/>
  <c r="D21" i="1"/>
  <c r="D17" i="1"/>
  <c r="D15" i="1"/>
  <c r="D16" i="1"/>
  <c r="D6" i="1"/>
  <c r="D7" i="1"/>
  <c r="D8" i="1"/>
  <c r="D9" i="1"/>
  <c r="D11" i="1"/>
  <c r="D12" i="1"/>
  <c r="D13" i="1"/>
  <c r="D14" i="1"/>
  <c r="D5" i="1"/>
  <c r="E5" i="14"/>
  <c r="E11" i="14"/>
  <c r="E15" i="14"/>
  <c r="E19" i="14"/>
  <c r="E21" i="14"/>
  <c r="E25" i="14"/>
  <c r="E27" i="14"/>
  <c r="E30" i="14"/>
  <c r="E32" i="14"/>
  <c r="E44" i="14"/>
  <c r="E46" i="14"/>
  <c r="E47" i="14"/>
  <c r="E48" i="14"/>
  <c r="E49" i="14"/>
  <c r="E50" i="14"/>
  <c r="E51" i="14"/>
  <c r="E52" i="14"/>
  <c r="E53" i="14"/>
  <c r="E54" i="14"/>
  <c r="E55" i="14"/>
  <c r="E56" i="14"/>
  <c r="E57" i="14"/>
  <c r="E58" i="14"/>
  <c r="E59" i="14"/>
  <c r="E60" i="14"/>
  <c r="E61" i="14"/>
  <c r="D62" i="14"/>
  <c r="D61" i="14"/>
  <c r="D59" i="14"/>
  <c r="D60" i="14"/>
  <c r="D47" i="14"/>
  <c r="D48" i="14"/>
  <c r="D49" i="14"/>
  <c r="D50" i="14"/>
  <c r="D51" i="14"/>
  <c r="D52" i="14"/>
  <c r="D53" i="14"/>
  <c r="D54" i="14"/>
  <c r="D55" i="14"/>
  <c r="D56" i="14"/>
  <c r="D57" i="14"/>
  <c r="D58" i="14"/>
  <c r="D46" i="14"/>
  <c r="D6" i="14"/>
  <c r="D7" i="14"/>
  <c r="D8" i="14"/>
  <c r="D9" i="14"/>
  <c r="D10" i="14"/>
  <c r="D11" i="14"/>
  <c r="D12" i="14"/>
  <c r="D13" i="14"/>
  <c r="D15" i="14"/>
  <c r="D16" i="14"/>
  <c r="D17" i="14"/>
  <c r="D18" i="14"/>
  <c r="D19" i="14"/>
  <c r="D21" i="14"/>
  <c r="D22" i="14"/>
  <c r="D24" i="14"/>
  <c r="D25" i="14"/>
  <c r="D27" i="14"/>
  <c r="D28" i="14"/>
  <c r="D29" i="14"/>
  <c r="D30" i="14"/>
  <c r="D32" i="14"/>
  <c r="D33" i="14"/>
  <c r="D34" i="14"/>
  <c r="D35" i="14"/>
  <c r="D36" i="14"/>
  <c r="D37" i="14"/>
  <c r="D38" i="14"/>
  <c r="D39" i="14"/>
  <c r="D40" i="14"/>
  <c r="D41" i="14"/>
  <c r="D42" i="14"/>
  <c r="D43" i="14"/>
  <c r="D44" i="14"/>
  <c r="D5" i="14"/>
  <c r="J178" i="5" a="1"/>
  <c r="J178" i="5" s="1"/>
  <c r="F62" i="5"/>
  <c r="F64" i="5"/>
  <c r="F46" i="5"/>
  <c r="E1458" i="5" l="1"/>
  <c r="F1456" i="5" s="1"/>
  <c r="E26" i="11"/>
  <c r="E850" i="5"/>
  <c r="I850" i="5" s="1"/>
  <c r="E851" i="5"/>
  <c r="I851" i="5" s="1"/>
  <c r="O886" i="5"/>
  <c r="O883" i="5"/>
  <c r="O884" i="5" s="1"/>
  <c r="O877" i="5"/>
  <c r="O879" i="5" s="1"/>
  <c r="E870" i="5"/>
  <c r="E868" i="5"/>
  <c r="AF13" i="5"/>
  <c r="F1457" i="5" l="1"/>
  <c r="F1455" i="5"/>
  <c r="Q851" i="5"/>
  <c r="N851" i="5"/>
  <c r="K851" i="5"/>
  <c r="E849" i="5"/>
  <c r="U849" i="5" s="1"/>
  <c r="H851" i="5"/>
  <c r="W851" i="5"/>
  <c r="T851" i="5"/>
  <c r="S850" i="5"/>
  <c r="M850" i="5"/>
  <c r="G850" i="5"/>
  <c r="S851" i="5"/>
  <c r="M851" i="5"/>
  <c r="G851" i="5"/>
  <c r="T850" i="5"/>
  <c r="H850" i="5"/>
  <c r="F850" i="5"/>
  <c r="R850" i="5"/>
  <c r="L850" i="5"/>
  <c r="F851" i="5"/>
  <c r="R851" i="5"/>
  <c r="L851" i="5"/>
  <c r="Q850" i="5"/>
  <c r="N850" i="5"/>
  <c r="W850" i="5"/>
  <c r="K850" i="5"/>
  <c r="V850" i="5"/>
  <c r="P850" i="5"/>
  <c r="J850" i="5"/>
  <c r="V851" i="5"/>
  <c r="P851" i="5"/>
  <c r="J851" i="5"/>
  <c r="U850" i="5"/>
  <c r="O850" i="5"/>
  <c r="U851" i="5"/>
  <c r="O851" i="5"/>
  <c r="E872" i="5"/>
  <c r="F849" i="5" l="1"/>
  <c r="P849" i="5"/>
  <c r="J849" i="5"/>
  <c r="L849" i="5"/>
  <c r="O849" i="5"/>
  <c r="G849" i="5"/>
  <c r="I849" i="5"/>
  <c r="T849" i="5"/>
  <c r="W849" i="5"/>
  <c r="H849" i="5"/>
  <c r="K849" i="5"/>
  <c r="N849" i="5"/>
  <c r="Q849" i="5"/>
  <c r="M849" i="5"/>
  <c r="V849" i="5"/>
  <c r="R849" i="5"/>
  <c r="S849" i="5"/>
  <c r="J1681" i="5" l="1"/>
  <c r="F532" i="5"/>
  <c r="P1696" i="5"/>
  <c r="O1694" i="5"/>
  <c r="O1685" i="5"/>
  <c r="P1685" i="5" s="1"/>
  <c r="O1688" i="5"/>
  <c r="G1665" i="5"/>
  <c r="BF1269" i="5" l="1"/>
  <c r="N1530" i="5"/>
  <c r="E14" i="11"/>
  <c r="E15" i="11"/>
  <c r="K1539" i="5"/>
  <c r="M1539" i="5" s="1" a="1"/>
  <c r="M1539" i="5" s="1"/>
  <c r="E1554" i="5"/>
  <c r="E1555" i="5" s="1"/>
  <c r="E1557" i="5" s="1"/>
  <c r="H1560" i="5"/>
  <c r="H1561" i="5"/>
  <c r="H1563" i="5"/>
  <c r="H1566" i="5"/>
  <c r="H1567" i="5"/>
  <c r="E40" i="8"/>
  <c r="E1207" i="5" a="1"/>
  <c r="E1207" i="5" s="1"/>
  <c r="E1215" i="5" a="1"/>
  <c r="E1215" i="5" s="1"/>
  <c r="E142" i="5"/>
  <c r="P1243" i="5"/>
  <c r="P1236" i="5" s="1"/>
  <c r="P1251" i="5"/>
  <c r="P1246" i="5" s="1"/>
  <c r="E1251" i="5"/>
  <c r="U1268" i="5"/>
  <c r="BE1268" i="5"/>
  <c r="AP1268" i="5"/>
  <c r="L1268" i="5"/>
  <c r="O1268" i="5"/>
  <c r="R1268" i="5"/>
  <c r="AG1268" i="5"/>
  <c r="I1269" i="5"/>
  <c r="U1269" i="5"/>
  <c r="BE1269" i="5"/>
  <c r="AP1269" i="5"/>
  <c r="AQ1269" i="5"/>
  <c r="L1269" i="5"/>
  <c r="O1269" i="5"/>
  <c r="R1269" i="5"/>
  <c r="AG1269" i="5"/>
  <c r="I1270" i="5"/>
  <c r="U1270" i="5"/>
  <c r="BE1270" i="5"/>
  <c r="AP1270" i="5"/>
  <c r="L1270" i="5"/>
  <c r="O1270" i="5"/>
  <c r="R1270" i="5"/>
  <c r="AG1270" i="5"/>
  <c r="I1271" i="5"/>
  <c r="U1271" i="5"/>
  <c r="BE1271" i="5"/>
  <c r="AP1271" i="5"/>
  <c r="L1271" i="5"/>
  <c r="O1271" i="5"/>
  <c r="R1271" i="5"/>
  <c r="AG1271" i="5"/>
  <c r="I1272" i="5"/>
  <c r="U1272" i="5"/>
  <c r="BE1272" i="5"/>
  <c r="BF1272" i="5"/>
  <c r="AP1272" i="5"/>
  <c r="AQ1272" i="5"/>
  <c r="L1272" i="5"/>
  <c r="O1272" i="5"/>
  <c r="R1272" i="5"/>
  <c r="AG1272" i="5"/>
  <c r="D1273" i="5"/>
  <c r="I1273" i="5"/>
  <c r="U1273" i="5"/>
  <c r="BE1273" i="5"/>
  <c r="AP1273" i="5"/>
  <c r="L1273" i="5"/>
  <c r="O1273" i="5"/>
  <c r="R1273" i="5"/>
  <c r="AG1273" i="5"/>
  <c r="D1274" i="5"/>
  <c r="I1274" i="5"/>
  <c r="U1274" i="5"/>
  <c r="BE1274" i="5"/>
  <c r="AP1274" i="5"/>
  <c r="L1274" i="5"/>
  <c r="O1274" i="5"/>
  <c r="R1274" i="5"/>
  <c r="AG1274" i="5"/>
  <c r="D1275" i="5"/>
  <c r="I1275" i="5"/>
  <c r="U1275" i="5"/>
  <c r="BE1275" i="5"/>
  <c r="AP1275" i="5"/>
  <c r="L1275" i="5"/>
  <c r="O1275" i="5"/>
  <c r="R1275" i="5"/>
  <c r="AG1275" i="5"/>
  <c r="I1276" i="5"/>
  <c r="U1276" i="5"/>
  <c r="BE1276" i="5"/>
  <c r="AP1276" i="5"/>
  <c r="L1276" i="5"/>
  <c r="O1276" i="5"/>
  <c r="R1276" i="5"/>
  <c r="AG1276" i="5"/>
  <c r="I1277" i="5"/>
  <c r="U1277" i="5"/>
  <c r="BE1277" i="5"/>
  <c r="AP1277" i="5"/>
  <c r="L1277" i="5"/>
  <c r="O1277" i="5"/>
  <c r="R1277" i="5"/>
  <c r="AG1277" i="5"/>
  <c r="I1278" i="5"/>
  <c r="U1278" i="5"/>
  <c r="BE1278" i="5"/>
  <c r="AP1278" i="5"/>
  <c r="L1278" i="5"/>
  <c r="O1278" i="5"/>
  <c r="R1278" i="5"/>
  <c r="AG1278" i="5"/>
  <c r="F1296" i="5"/>
  <c r="F1297" i="5"/>
  <c r="D1301" i="5"/>
  <c r="E1301" i="5" s="1"/>
  <c r="F1301" i="5" s="1"/>
  <c r="H1062" i="5" a="1"/>
  <c r="H1062" i="5" s="1"/>
  <c r="E1116" i="5"/>
  <c r="E1120" i="5"/>
  <c r="E1124" i="5"/>
  <c r="F313" i="5"/>
  <c r="I957" i="5" s="1"/>
  <c r="F317" i="5"/>
  <c r="F319" i="5"/>
  <c r="F323" i="5" s="1"/>
  <c r="F342" i="5"/>
  <c r="I925" i="5"/>
  <c r="L925" i="5" s="1"/>
  <c r="F362" i="5" a="1"/>
  <c r="F362" i="5" s="1"/>
  <c r="I940" i="5"/>
  <c r="L940" i="5"/>
  <c r="I941" i="5"/>
  <c r="L941" i="5"/>
  <c r="I942" i="5"/>
  <c r="L942" i="5"/>
  <c r="F376" i="5"/>
  <c r="I954" i="5"/>
  <c r="L954" i="5"/>
  <c r="F396" i="5"/>
  <c r="I972" i="5"/>
  <c r="L972" i="5"/>
  <c r="I973" i="5"/>
  <c r="L973" i="5"/>
  <c r="J180" i="5" a="1"/>
  <c r="J180" i="5" s="1"/>
  <c r="BJ786" i="5"/>
  <c r="J182" i="5" a="1"/>
  <c r="J182" i="5" s="1"/>
  <c r="BJ787" i="5"/>
  <c r="J184" i="5" a="1"/>
  <c r="J184" i="5" s="1"/>
  <c r="BJ788" i="5"/>
  <c r="BJ789" i="5"/>
  <c r="J186" i="5" a="1"/>
  <c r="J186" i="5" s="1"/>
  <c r="BJ790" i="5"/>
  <c r="J188" i="5" a="1"/>
  <c r="J188" i="5" s="1"/>
  <c r="BD796" i="5"/>
  <c r="M797" i="5"/>
  <c r="N797" i="5"/>
  <c r="O797" i="5"/>
  <c r="P797" i="5"/>
  <c r="Q797" i="5"/>
  <c r="R797" i="5"/>
  <c r="S797" i="5"/>
  <c r="T797" i="5"/>
  <c r="U797" i="5"/>
  <c r="V797" i="5"/>
  <c r="W797" i="5"/>
  <c r="X797" i="5"/>
  <c r="Y797" i="5"/>
  <c r="Z797" i="5"/>
  <c r="AA797" i="5"/>
  <c r="AB797" i="5"/>
  <c r="AC797" i="5"/>
  <c r="AD797" i="5"/>
  <c r="M798" i="5"/>
  <c r="N798" i="5"/>
  <c r="O798" i="5"/>
  <c r="P798" i="5"/>
  <c r="Q798" i="5"/>
  <c r="R798" i="5"/>
  <c r="S798" i="5"/>
  <c r="T798" i="5"/>
  <c r="U798" i="5"/>
  <c r="V798" i="5"/>
  <c r="W798" i="5"/>
  <c r="X798" i="5"/>
  <c r="Y798" i="5"/>
  <c r="Z798" i="5"/>
  <c r="AA798" i="5"/>
  <c r="AB798" i="5"/>
  <c r="AC798" i="5"/>
  <c r="AD798" i="5"/>
  <c r="BJ799" i="5"/>
  <c r="M799" i="5"/>
  <c r="N799" i="5"/>
  <c r="O799" i="5"/>
  <c r="P799" i="5"/>
  <c r="Q799" i="5"/>
  <c r="R799" i="5"/>
  <c r="S799" i="5"/>
  <c r="T799" i="5"/>
  <c r="U799" i="5"/>
  <c r="V799" i="5"/>
  <c r="W799" i="5"/>
  <c r="X799" i="5"/>
  <c r="Y799" i="5"/>
  <c r="Z799" i="5"/>
  <c r="AA799" i="5"/>
  <c r="AB799" i="5"/>
  <c r="AC799" i="5"/>
  <c r="AD799" i="5"/>
  <c r="BD799" i="5"/>
  <c r="BD802" i="5" s="1"/>
  <c r="BJ800" i="5"/>
  <c r="BJ801" i="5"/>
  <c r="BJ802" i="5"/>
  <c r="BJ803" i="5"/>
  <c r="M803" i="5"/>
  <c r="N803" i="5"/>
  <c r="O803" i="5"/>
  <c r="P803" i="5"/>
  <c r="Q803" i="5"/>
  <c r="R803" i="5"/>
  <c r="S803" i="5"/>
  <c r="T803" i="5"/>
  <c r="U803" i="5"/>
  <c r="V803" i="5"/>
  <c r="W803" i="5"/>
  <c r="X803" i="5"/>
  <c r="Y803" i="5"/>
  <c r="Z803" i="5"/>
  <c r="AA803" i="5"/>
  <c r="AB803" i="5"/>
  <c r="AC803" i="5"/>
  <c r="AD803" i="5"/>
  <c r="M806" i="5"/>
  <c r="N806" i="5"/>
  <c r="O806" i="5"/>
  <c r="P806" i="5"/>
  <c r="Q806" i="5"/>
  <c r="R806" i="5"/>
  <c r="S806" i="5"/>
  <c r="T806" i="5"/>
  <c r="U806" i="5"/>
  <c r="V806" i="5"/>
  <c r="W806" i="5"/>
  <c r="X806" i="5"/>
  <c r="Y806" i="5"/>
  <c r="Z806" i="5"/>
  <c r="AA806" i="5"/>
  <c r="AB806" i="5"/>
  <c r="AC806" i="5"/>
  <c r="AD806" i="5"/>
  <c r="I811" i="5"/>
  <c r="J811" i="5"/>
  <c r="M811" i="5" s="1"/>
  <c r="I812" i="5"/>
  <c r="M812" i="5"/>
  <c r="N812" i="5"/>
  <c r="O812" i="5"/>
  <c r="P812" i="5"/>
  <c r="Q812" i="5"/>
  <c r="R812" i="5"/>
  <c r="S812" i="5"/>
  <c r="T812" i="5"/>
  <c r="U812" i="5"/>
  <c r="V812" i="5"/>
  <c r="W812" i="5"/>
  <c r="X812" i="5"/>
  <c r="Y812" i="5"/>
  <c r="Z812" i="5"/>
  <c r="AA812" i="5"/>
  <c r="AB812" i="5"/>
  <c r="AC812" i="5"/>
  <c r="AD812" i="5"/>
  <c r="AN813" i="5"/>
  <c r="AN814" i="5" s="1"/>
  <c r="K816" i="5"/>
  <c r="L816" i="5"/>
  <c r="M816" i="5"/>
  <c r="N816" i="5"/>
  <c r="O816" i="5"/>
  <c r="P816" i="5"/>
  <c r="Q816" i="5"/>
  <c r="R816" i="5"/>
  <c r="S816" i="5"/>
  <c r="T816" i="5"/>
  <c r="U816" i="5"/>
  <c r="V816" i="5"/>
  <c r="W816" i="5"/>
  <c r="X816" i="5"/>
  <c r="Y816" i="5"/>
  <c r="Z816" i="5"/>
  <c r="AA816" i="5"/>
  <c r="AB816" i="5"/>
  <c r="K817" i="5"/>
  <c r="L817" i="5"/>
  <c r="M817" i="5"/>
  <c r="N817" i="5"/>
  <c r="O817" i="5"/>
  <c r="P817" i="5"/>
  <c r="Q817" i="5"/>
  <c r="R817" i="5"/>
  <c r="S817" i="5"/>
  <c r="T817" i="5"/>
  <c r="U817" i="5"/>
  <c r="V817" i="5"/>
  <c r="W817" i="5"/>
  <c r="X817" i="5"/>
  <c r="Y817" i="5"/>
  <c r="Z817" i="5"/>
  <c r="AA817" i="5"/>
  <c r="AB817" i="5"/>
  <c r="K818" i="5"/>
  <c r="L818" i="5"/>
  <c r="M818" i="5"/>
  <c r="N818" i="5"/>
  <c r="O818" i="5"/>
  <c r="P818" i="5"/>
  <c r="Q818" i="5"/>
  <c r="R818" i="5"/>
  <c r="S818" i="5"/>
  <c r="T818" i="5"/>
  <c r="U818" i="5"/>
  <c r="V818" i="5"/>
  <c r="W818" i="5"/>
  <c r="X818" i="5"/>
  <c r="Y818" i="5"/>
  <c r="Z818" i="5"/>
  <c r="AA818" i="5"/>
  <c r="AB818" i="5"/>
  <c r="K819" i="5"/>
  <c r="L819" i="5"/>
  <c r="M819" i="5"/>
  <c r="N819" i="5"/>
  <c r="O819" i="5"/>
  <c r="P819" i="5"/>
  <c r="Q819" i="5"/>
  <c r="R819" i="5"/>
  <c r="S819" i="5"/>
  <c r="T819" i="5"/>
  <c r="U819" i="5"/>
  <c r="V819" i="5"/>
  <c r="W819" i="5"/>
  <c r="X819" i="5"/>
  <c r="Y819" i="5"/>
  <c r="Z819" i="5"/>
  <c r="AA819" i="5"/>
  <c r="AB819" i="5"/>
  <c r="K820" i="5"/>
  <c r="L820" i="5"/>
  <c r="M820" i="5"/>
  <c r="N820" i="5"/>
  <c r="O820" i="5"/>
  <c r="P820" i="5"/>
  <c r="Q820" i="5"/>
  <c r="R820" i="5"/>
  <c r="S820" i="5"/>
  <c r="T820" i="5"/>
  <c r="U820" i="5"/>
  <c r="V820" i="5"/>
  <c r="W820" i="5"/>
  <c r="X820" i="5"/>
  <c r="Y820" i="5"/>
  <c r="Z820" i="5"/>
  <c r="AA820" i="5"/>
  <c r="AB820" i="5"/>
  <c r="K821" i="5"/>
  <c r="L821" i="5"/>
  <c r="M821" i="5"/>
  <c r="N821" i="5"/>
  <c r="O821" i="5"/>
  <c r="P821" i="5"/>
  <c r="Q821" i="5"/>
  <c r="R821" i="5"/>
  <c r="S821" i="5"/>
  <c r="T821" i="5"/>
  <c r="U821" i="5"/>
  <c r="V821" i="5"/>
  <c r="W821" i="5"/>
  <c r="X821" i="5"/>
  <c r="Y821" i="5"/>
  <c r="Z821" i="5"/>
  <c r="AA821" i="5"/>
  <c r="AB821" i="5"/>
  <c r="K822" i="5"/>
  <c r="L822" i="5"/>
  <c r="M822" i="5"/>
  <c r="N822" i="5"/>
  <c r="O822" i="5"/>
  <c r="P822" i="5"/>
  <c r="Q822" i="5"/>
  <c r="R822" i="5"/>
  <c r="S822" i="5"/>
  <c r="T822" i="5"/>
  <c r="U822" i="5"/>
  <c r="V822" i="5"/>
  <c r="W822" i="5"/>
  <c r="X822" i="5"/>
  <c r="Y822" i="5"/>
  <c r="Z822" i="5"/>
  <c r="AA822" i="5"/>
  <c r="AB822" i="5"/>
  <c r="K823" i="5"/>
  <c r="L823" i="5"/>
  <c r="M823" i="5"/>
  <c r="N823" i="5"/>
  <c r="O823" i="5"/>
  <c r="P823" i="5"/>
  <c r="Q823" i="5"/>
  <c r="R823" i="5"/>
  <c r="S823" i="5"/>
  <c r="T823" i="5"/>
  <c r="U823" i="5"/>
  <c r="V823" i="5"/>
  <c r="W823" i="5"/>
  <c r="X823" i="5"/>
  <c r="Y823" i="5"/>
  <c r="Z823" i="5"/>
  <c r="AA823" i="5"/>
  <c r="AB823" i="5"/>
  <c r="K824" i="5"/>
  <c r="L824" i="5"/>
  <c r="M824" i="5"/>
  <c r="N824" i="5"/>
  <c r="O824" i="5"/>
  <c r="P824" i="5"/>
  <c r="Q824" i="5"/>
  <c r="R824" i="5"/>
  <c r="S824" i="5"/>
  <c r="T824" i="5"/>
  <c r="U824" i="5"/>
  <c r="V824" i="5"/>
  <c r="W824" i="5"/>
  <c r="X824" i="5"/>
  <c r="Y824" i="5"/>
  <c r="Z824" i="5"/>
  <c r="AA824" i="5"/>
  <c r="AB824" i="5"/>
  <c r="K825" i="5"/>
  <c r="L825" i="5"/>
  <c r="M825" i="5"/>
  <c r="N825" i="5"/>
  <c r="O825" i="5"/>
  <c r="P825" i="5"/>
  <c r="Q825" i="5"/>
  <c r="R825" i="5"/>
  <c r="S825" i="5"/>
  <c r="T825" i="5"/>
  <c r="U825" i="5"/>
  <c r="V825" i="5"/>
  <c r="W825" i="5"/>
  <c r="X825" i="5"/>
  <c r="Y825" i="5"/>
  <c r="Z825" i="5"/>
  <c r="AA825" i="5"/>
  <c r="AB825" i="5"/>
  <c r="K826" i="5"/>
  <c r="L826" i="5"/>
  <c r="M826" i="5"/>
  <c r="N826" i="5"/>
  <c r="O826" i="5"/>
  <c r="P826" i="5"/>
  <c r="Q826" i="5"/>
  <c r="R826" i="5"/>
  <c r="S826" i="5"/>
  <c r="T826" i="5"/>
  <c r="U826" i="5"/>
  <c r="V826" i="5"/>
  <c r="W826" i="5"/>
  <c r="X826" i="5"/>
  <c r="Y826" i="5"/>
  <c r="Z826" i="5"/>
  <c r="AA826" i="5"/>
  <c r="AB826" i="5"/>
  <c r="G831" i="5"/>
  <c r="I831" i="5"/>
  <c r="Z831" i="5" s="1"/>
  <c r="L831" i="5"/>
  <c r="N831" i="5"/>
  <c r="P831" i="5"/>
  <c r="G832" i="5"/>
  <c r="I832" i="5"/>
  <c r="W832" i="5" s="1"/>
  <c r="L832" i="5"/>
  <c r="N832" i="5"/>
  <c r="P832" i="5"/>
  <c r="G833" i="5"/>
  <c r="I833" i="5"/>
  <c r="W833" i="5" s="1"/>
  <c r="L833" i="5"/>
  <c r="N833" i="5"/>
  <c r="P833" i="5"/>
  <c r="G834" i="5"/>
  <c r="I834" i="5"/>
  <c r="W834" i="5" s="1"/>
  <c r="L834" i="5"/>
  <c r="N834" i="5"/>
  <c r="P834" i="5"/>
  <c r="G835" i="5"/>
  <c r="I835" i="5"/>
  <c r="L835" i="5"/>
  <c r="N835" i="5"/>
  <c r="P835" i="5"/>
  <c r="G836" i="5"/>
  <c r="I836" i="5"/>
  <c r="G837" i="5"/>
  <c r="I837" i="5"/>
  <c r="AD837" i="5" s="1"/>
  <c r="G838" i="5"/>
  <c r="I838" i="5"/>
  <c r="S838" i="5" s="1"/>
  <c r="G839" i="5"/>
  <c r="I839" i="5"/>
  <c r="N839" i="5"/>
  <c r="G840" i="5"/>
  <c r="I840" i="5"/>
  <c r="L840" i="5"/>
  <c r="N840" i="5"/>
  <c r="G841" i="5"/>
  <c r="I841" i="5"/>
  <c r="N841" i="5"/>
  <c r="G842" i="5"/>
  <c r="I842" i="5"/>
  <c r="Y842" i="5" s="1"/>
  <c r="L842" i="5"/>
  <c r="N842" i="5"/>
  <c r="G843" i="5"/>
  <c r="I843" i="5"/>
  <c r="AE843" i="5" s="1"/>
  <c r="N843" i="5"/>
  <c r="G844" i="5"/>
  <c r="I844" i="5"/>
  <c r="N844" i="5"/>
  <c r="G845" i="5"/>
  <c r="I845" i="5"/>
  <c r="Y845" i="5" s="1"/>
  <c r="E846" i="5"/>
  <c r="F847" i="5"/>
  <c r="F449" i="5"/>
  <c r="F484" i="5"/>
  <c r="F492" i="5"/>
  <c r="F506" i="5"/>
  <c r="F520" i="5"/>
  <c r="F522" i="5"/>
  <c r="H565" i="5"/>
  <c r="F567" i="5"/>
  <c r="F603" i="5"/>
  <c r="F605" i="5"/>
  <c r="F627" i="5"/>
  <c r="F629" i="5"/>
  <c r="F653" i="5"/>
  <c r="F655" i="5"/>
  <c r="F663" i="5"/>
  <c r="F665" i="5"/>
  <c r="F667" i="5"/>
  <c r="F675" i="5"/>
  <c r="F677" i="5"/>
  <c r="F679" i="5"/>
  <c r="F682" i="5"/>
  <c r="F705" i="5"/>
  <c r="F1657" i="5"/>
  <c r="F565" i="5"/>
  <c r="G1666" i="5"/>
  <c r="G1667" i="5"/>
  <c r="G1668" i="5"/>
  <c r="F1676" i="5"/>
  <c r="G1676" i="5" s="1"/>
  <c r="H1676" i="5" s="1"/>
  <c r="J1676" i="5"/>
  <c r="F1677" i="5"/>
  <c r="G1677" i="5" s="1"/>
  <c r="H1677" i="5" s="1"/>
  <c r="I1677" i="5" s="1"/>
  <c r="F1678" i="5"/>
  <c r="G1678" i="5" s="1"/>
  <c r="H1678" i="5" s="1"/>
  <c r="I1678" i="5" s="1"/>
  <c r="G1679" i="5"/>
  <c r="H1679" i="5" s="1"/>
  <c r="I1679" i="5" s="1"/>
  <c r="I1681" i="5"/>
  <c r="F1683" i="5"/>
  <c r="G1683" i="5" s="1"/>
  <c r="G565" i="5" s="1"/>
  <c r="F1684" i="5"/>
  <c r="G1684" i="5" s="1"/>
  <c r="E1688" i="5"/>
  <c r="F1688" i="5"/>
  <c r="G1688" i="5"/>
  <c r="E1695" i="5"/>
  <c r="E1696" i="5" s="1"/>
  <c r="E1697" i="5" s="1"/>
  <c r="F1695" i="5"/>
  <c r="F1696" i="5" s="1"/>
  <c r="F1697" i="5" s="1"/>
  <c r="G1695" i="5"/>
  <c r="G1696" i="5" s="1"/>
  <c r="G1697" i="5" s="1"/>
  <c r="E1705" i="5"/>
  <c r="E1706" i="5" s="1"/>
  <c r="E1708" i="5" s="1"/>
  <c r="E1707" i="5"/>
  <c r="H1564" i="5" l="1"/>
  <c r="P837" i="5"/>
  <c r="P846" i="5" s="1"/>
  <c r="E1121" i="5"/>
  <c r="E61" i="8"/>
  <c r="E1602" i="5"/>
  <c r="M813" i="5"/>
  <c r="X827" i="5"/>
  <c r="R827" i="5"/>
  <c r="L827" i="5"/>
  <c r="AD800" i="5"/>
  <c r="X800" i="5"/>
  <c r="R800" i="5"/>
  <c r="W827" i="5"/>
  <c r="Q827" i="5"/>
  <c r="K827" i="5"/>
  <c r="AC800" i="5"/>
  <c r="W800" i="5"/>
  <c r="Q800" i="5"/>
  <c r="F846" i="5"/>
  <c r="E62" i="14"/>
  <c r="AB827" i="5"/>
  <c r="V827" i="5"/>
  <c r="P827" i="5"/>
  <c r="AB800" i="5"/>
  <c r="V800" i="5"/>
  <c r="P800" i="5"/>
  <c r="Y827" i="5"/>
  <c r="S827" i="5"/>
  <c r="M827" i="5"/>
  <c r="Y800" i="5"/>
  <c r="S800" i="5"/>
  <c r="M800" i="5"/>
  <c r="AA827" i="5"/>
  <c r="U827" i="5"/>
  <c r="O827" i="5"/>
  <c r="AA800" i="5"/>
  <c r="U800" i="5"/>
  <c r="O800" i="5"/>
  <c r="Z827" i="5"/>
  <c r="T827" i="5"/>
  <c r="N827" i="5"/>
  <c r="Z800" i="5"/>
  <c r="T800" i="5"/>
  <c r="N800" i="5"/>
  <c r="H186" i="5" a="1"/>
  <c r="H186" i="5" s="1"/>
  <c r="H178" i="5" a="1"/>
  <c r="H178" i="5" s="1"/>
  <c r="F178" i="5" a="1"/>
  <c r="F178" i="5" s="1"/>
  <c r="F188" i="5" a="1"/>
  <c r="F188" i="5" s="1"/>
  <c r="F180" i="5" a="1"/>
  <c r="F180" i="5" s="1"/>
  <c r="I916" i="5"/>
  <c r="I933" i="5" s="1"/>
  <c r="I934" i="5" s="1"/>
  <c r="I935" i="5" s="1"/>
  <c r="E16" i="11"/>
  <c r="O871" i="5"/>
  <c r="AA811" i="5"/>
  <c r="U811" i="5"/>
  <c r="I1676" i="5"/>
  <c r="G1687" i="5" s="1"/>
  <c r="G1689" i="5" s="1"/>
  <c r="K1676" i="5"/>
  <c r="J1677" i="5"/>
  <c r="K1677" i="5" s="1"/>
  <c r="F1662" i="5"/>
  <c r="G1662" i="5" s="1"/>
  <c r="I1569" i="5"/>
  <c r="I1573" i="5"/>
  <c r="I1682" i="5"/>
  <c r="I1683" i="5" s="1"/>
  <c r="J1682" i="5"/>
  <c r="J1683" i="5" s="1"/>
  <c r="Z811" i="5"/>
  <c r="X845" i="5"/>
  <c r="AI843" i="5"/>
  <c r="W811" i="5"/>
  <c r="L1594" i="5"/>
  <c r="H1565" i="5"/>
  <c r="H567" i="5"/>
  <c r="AH833" i="5"/>
  <c r="AB837" i="5"/>
  <c r="Z833" i="5"/>
  <c r="P811" i="5"/>
  <c r="N811" i="5"/>
  <c r="O811" i="5"/>
  <c r="AA837" i="5"/>
  <c r="I958" i="5"/>
  <c r="I966" i="5" s="1"/>
  <c r="S837" i="5"/>
  <c r="G1579" i="5"/>
  <c r="I1011" i="5"/>
  <c r="BE1279" i="5"/>
  <c r="AG1279" i="5"/>
  <c r="L958" i="5"/>
  <c r="L966" i="5" s="1"/>
  <c r="I917" i="5"/>
  <c r="AJ838" i="5"/>
  <c r="AE834" i="5"/>
  <c r="O1279" i="5"/>
  <c r="L1260" i="5"/>
  <c r="L1261" i="5" s="1"/>
  <c r="Y838" i="5"/>
  <c r="X833" i="5"/>
  <c r="Z838" i="5"/>
  <c r="L957" i="5"/>
  <c r="L1279" i="5"/>
  <c r="L1013" i="5"/>
  <c r="X838" i="5"/>
  <c r="U1279" i="5"/>
  <c r="D1276" i="5"/>
  <c r="D1278" i="5"/>
  <c r="D1271" i="5"/>
  <c r="G1301" i="5"/>
  <c r="AP1279" i="5"/>
  <c r="AD834" i="5"/>
  <c r="D1277" i="5"/>
  <c r="X834" i="5"/>
  <c r="R1279" i="5"/>
  <c r="E1198" i="5"/>
  <c r="E65" i="8" s="1"/>
  <c r="V833" i="5"/>
  <c r="AC833" i="5"/>
  <c r="T833" i="5"/>
  <c r="AF833" i="5"/>
  <c r="AG833" i="5"/>
  <c r="I1279" i="5"/>
  <c r="E1199" i="5"/>
  <c r="E66" i="8" s="1"/>
  <c r="P1237" i="5"/>
  <c r="AE838" i="5"/>
  <c r="AD811" i="5"/>
  <c r="T811" i="5"/>
  <c r="AF838" i="5"/>
  <c r="AD838" i="5"/>
  <c r="AC811" i="5"/>
  <c r="S811" i="5"/>
  <c r="G567" i="5"/>
  <c r="E1122" i="5"/>
  <c r="Y841" i="5"/>
  <c r="AG841" i="5"/>
  <c r="Z841" i="5"/>
  <c r="S845" i="5"/>
  <c r="AD845" i="5"/>
  <c r="AJ845" i="5"/>
  <c r="X839" i="5"/>
  <c r="AE839" i="5"/>
  <c r="Y839" i="5"/>
  <c r="AJ842" i="5"/>
  <c r="X842" i="5"/>
  <c r="BD809" i="5"/>
  <c r="BJ791" i="5" s="1"/>
  <c r="F186" i="5" s="1" a="1"/>
  <c r="F186" i="5" s="1"/>
  <c r="AC844" i="5"/>
  <c r="AH844" i="5"/>
  <c r="AD842" i="5"/>
  <c r="AI841" i="5"/>
  <c r="AA840" i="5"/>
  <c r="AB840" i="5"/>
  <c r="I926" i="5"/>
  <c r="V838" i="5"/>
  <c r="T838" i="5"/>
  <c r="AA838" i="5"/>
  <c r="AG838" i="5"/>
  <c r="W838" i="5"/>
  <c r="U838" i="5"/>
  <c r="AB838" i="5"/>
  <c r="AH838" i="5"/>
  <c r="AC838" i="5"/>
  <c r="AI838" i="5"/>
  <c r="X837" i="5"/>
  <c r="U837" i="5"/>
  <c r="AG837" i="5"/>
  <c r="Y837" i="5"/>
  <c r="W837" i="5"/>
  <c r="AH837" i="5"/>
  <c r="AI837" i="5"/>
  <c r="Y811" i="5"/>
  <c r="R811" i="5"/>
  <c r="X811" i="5"/>
  <c r="Q811" i="5"/>
  <c r="AE832" i="5"/>
  <c r="T836" i="5"/>
  <c r="AA836" i="5"/>
  <c r="AD836" i="5"/>
  <c r="AA845" i="5"/>
  <c r="W844" i="5"/>
  <c r="AI844" i="5"/>
  <c r="Y844" i="5"/>
  <c r="S844" i="5"/>
  <c r="AE844" i="5"/>
  <c r="X843" i="5"/>
  <c r="AF839" i="5"/>
  <c r="AF832" i="5"/>
  <c r="AG835" i="5"/>
  <c r="Z835" i="5"/>
  <c r="I918" i="5"/>
  <c r="I919" i="5"/>
  <c r="AG845" i="5"/>
  <c r="U845" i="5"/>
  <c r="AB844" i="5"/>
  <c r="AF843" i="5"/>
  <c r="AC831" i="5"/>
  <c r="T832" i="5"/>
  <c r="AC832" i="5"/>
  <c r="U832" i="5"/>
  <c r="AD832" i="5"/>
  <c r="Y832" i="5"/>
  <c r="AI832" i="5"/>
  <c r="AA832" i="5"/>
  <c r="AJ832" i="5"/>
  <c r="X832" i="5"/>
  <c r="AE845" i="5"/>
  <c r="V844" i="5"/>
  <c r="X841" i="5"/>
  <c r="T841" i="5"/>
  <c r="U841" i="5"/>
  <c r="AE841" i="5"/>
  <c r="W841" i="5"/>
  <c r="AF841" i="5"/>
  <c r="S841" i="5"/>
  <c r="AA841" i="5"/>
  <c r="AC841" i="5"/>
  <c r="X840" i="5"/>
  <c r="U840" i="5"/>
  <c r="AH840" i="5"/>
  <c r="V840" i="5"/>
  <c r="AD840" i="5"/>
  <c r="AG840" i="5"/>
  <c r="U843" i="5"/>
  <c r="V843" i="5"/>
  <c r="AC843" i="5"/>
  <c r="AJ843" i="5"/>
  <c r="W843" i="5"/>
  <c r="AD843" i="5"/>
  <c r="S843" i="5"/>
  <c r="Z843" i="5"/>
  <c r="AH843" i="5"/>
  <c r="T843" i="5"/>
  <c r="AB843" i="5"/>
  <c r="AG831" i="5"/>
  <c r="V831" i="5"/>
  <c r="AJ831" i="5"/>
  <c r="W831" i="5"/>
  <c r="AD831" i="5"/>
  <c r="V845" i="5"/>
  <c r="AB845" i="5"/>
  <c r="AH845" i="5"/>
  <c r="W845" i="5"/>
  <c r="AI845" i="5"/>
  <c r="AC845" i="5"/>
  <c r="T845" i="5"/>
  <c r="Z845" i="5"/>
  <c r="AF845" i="5"/>
  <c r="Y843" i="5"/>
  <c r="AA839" i="5"/>
  <c r="U839" i="5"/>
  <c r="AC839" i="5"/>
  <c r="AI839" i="5"/>
  <c r="W839" i="5"/>
  <c r="AD839" i="5"/>
  <c r="AJ839" i="5"/>
  <c r="S839" i="5"/>
  <c r="Z839" i="5"/>
  <c r="AG839" i="5"/>
  <c r="T839" i="5"/>
  <c r="AH839" i="5"/>
  <c r="AA842" i="5"/>
  <c r="AJ837" i="5"/>
  <c r="AC837" i="5"/>
  <c r="V837" i="5"/>
  <c r="AJ833" i="5"/>
  <c r="AA833" i="5"/>
  <c r="AB811" i="5"/>
  <c r="V811" i="5"/>
  <c r="AE837" i="5"/>
  <c r="AD833" i="5"/>
  <c r="I846" i="5"/>
  <c r="V842" i="5"/>
  <c r="AB842" i="5"/>
  <c r="AH842" i="5"/>
  <c r="W842" i="5"/>
  <c r="AC842" i="5"/>
  <c r="AI842" i="5"/>
  <c r="T842" i="5"/>
  <c r="Z842" i="5"/>
  <c r="AF842" i="5"/>
  <c r="V836" i="5"/>
  <c r="X835" i="5"/>
  <c r="Z836" i="5"/>
  <c r="T844" i="5"/>
  <c r="Z844" i="5"/>
  <c r="AF844" i="5"/>
  <c r="U844" i="5"/>
  <c r="AA844" i="5"/>
  <c r="AG844" i="5"/>
  <c r="X844" i="5"/>
  <c r="AD844" i="5"/>
  <c r="AJ844" i="5"/>
  <c r="AG842" i="5"/>
  <c r="U842" i="5"/>
  <c r="AJ840" i="5"/>
  <c r="AH836" i="5"/>
  <c r="S835" i="5"/>
  <c r="Y835" i="5"/>
  <c r="AE835" i="5"/>
  <c r="V835" i="5"/>
  <c r="AC835" i="5"/>
  <c r="AJ835" i="5"/>
  <c r="W835" i="5"/>
  <c r="AD835" i="5"/>
  <c r="T835" i="5"/>
  <c r="AA835" i="5"/>
  <c r="AH835" i="5"/>
  <c r="U835" i="5"/>
  <c r="AB835" i="5"/>
  <c r="AI835" i="5"/>
  <c r="W836" i="5"/>
  <c r="AC836" i="5"/>
  <c r="AI836" i="5"/>
  <c r="X836" i="5"/>
  <c r="AE836" i="5"/>
  <c r="Y836" i="5"/>
  <c r="AF836" i="5"/>
  <c r="U836" i="5"/>
  <c r="AB836" i="5"/>
  <c r="AJ836" i="5"/>
  <c r="AE842" i="5"/>
  <c r="S842" i="5"/>
  <c r="S840" i="5"/>
  <c r="Y840" i="5"/>
  <c r="AE840" i="5"/>
  <c r="T840" i="5"/>
  <c r="Z840" i="5"/>
  <c r="AF840" i="5"/>
  <c r="W840" i="5"/>
  <c r="AC840" i="5"/>
  <c r="AI840" i="5"/>
  <c r="AG836" i="5"/>
  <c r="S836" i="5"/>
  <c r="AF835" i="5"/>
  <c r="V834" i="5"/>
  <c r="AB834" i="5"/>
  <c r="AH834" i="5"/>
  <c r="T834" i="5"/>
  <c r="AA834" i="5"/>
  <c r="AI834" i="5"/>
  <c r="U834" i="5"/>
  <c r="AC834" i="5"/>
  <c r="AJ834" i="5"/>
  <c r="Y834" i="5"/>
  <c r="AF834" i="5"/>
  <c r="S834" i="5"/>
  <c r="Z834" i="5"/>
  <c r="AG834" i="5"/>
  <c r="S831" i="5"/>
  <c r="Y831" i="5"/>
  <c r="AE831" i="5"/>
  <c r="AH841" i="5"/>
  <c r="AB841" i="5"/>
  <c r="V841" i="5"/>
  <c r="S833" i="5"/>
  <c r="Y833" i="5"/>
  <c r="AE833" i="5"/>
  <c r="V832" i="5"/>
  <c r="AB832" i="5"/>
  <c r="AH832" i="5"/>
  <c r="AF831" i="5"/>
  <c r="X831" i="5"/>
  <c r="H182" i="5" a="1"/>
  <c r="H182" i="5" s="1"/>
  <c r="H188" i="5" a="1"/>
  <c r="H188" i="5" s="1"/>
  <c r="H180" i="5" a="1"/>
  <c r="H180" i="5" s="1"/>
  <c r="H184" i="5" a="1"/>
  <c r="H184" i="5" s="1"/>
  <c r="AI831" i="5"/>
  <c r="AB831" i="5"/>
  <c r="U831" i="5"/>
  <c r="AG843" i="5"/>
  <c r="AA843" i="5"/>
  <c r="AJ841" i="5"/>
  <c r="AD841" i="5"/>
  <c r="V839" i="5"/>
  <c r="AB839" i="5"/>
  <c r="T837" i="5"/>
  <c r="Z837" i="5"/>
  <c r="AF837" i="5"/>
  <c r="AI833" i="5"/>
  <c r="AB833" i="5"/>
  <c r="U833" i="5"/>
  <c r="AG832" i="5"/>
  <c r="Z832" i="5"/>
  <c r="S832" i="5"/>
  <c r="AH831" i="5"/>
  <c r="AA831" i="5"/>
  <c r="T831" i="5"/>
  <c r="F182" i="5" a="1"/>
  <c r="F182" i="5" s="1"/>
  <c r="F184" i="5" a="1"/>
  <c r="F184" i="5" s="1"/>
  <c r="E1687" i="5"/>
  <c r="F1687" i="5" s="1"/>
  <c r="F1689" i="5" s="1"/>
  <c r="E1123" i="5" l="1"/>
  <c r="E1125" i="5"/>
  <c r="M874" i="5"/>
  <c r="W846" i="5"/>
  <c r="U846" i="5"/>
  <c r="Z846" i="5"/>
  <c r="T813" i="5"/>
  <c r="U813" i="5"/>
  <c r="AB846" i="5"/>
  <c r="X846" i="5"/>
  <c r="Y846" i="5"/>
  <c r="AJ846" i="5"/>
  <c r="Y813" i="5"/>
  <c r="AD813" i="5"/>
  <c r="O813" i="5"/>
  <c r="AA813" i="5"/>
  <c r="AI846" i="5"/>
  <c r="S846" i="5"/>
  <c r="V846" i="5"/>
  <c r="S813" i="5"/>
  <c r="N813" i="5"/>
  <c r="Z813" i="5"/>
  <c r="T846" i="5"/>
  <c r="AG846" i="5"/>
  <c r="AC846" i="5"/>
  <c r="AC813" i="5"/>
  <c r="P813" i="5"/>
  <c r="AA846" i="5"/>
  <c r="Q813" i="5"/>
  <c r="AH846" i="5"/>
  <c r="V813" i="5"/>
  <c r="AD846" i="5"/>
  <c r="X813" i="5"/>
  <c r="W813" i="5"/>
  <c r="AE846" i="5"/>
  <c r="AB813" i="5"/>
  <c r="R813" i="5"/>
  <c r="AF846" i="5"/>
  <c r="H15" i="11"/>
  <c r="BJ796" i="5"/>
  <c r="BJ804" i="5"/>
  <c r="L1676" i="5"/>
  <c r="M1684" i="5" s="1"/>
  <c r="M1687" i="5" s="1"/>
  <c r="O1696" i="5" s="1"/>
  <c r="D1279" i="5"/>
  <c r="D1281" i="5" s="1"/>
  <c r="L926" i="5"/>
  <c r="I927" i="5"/>
  <c r="I936" i="5"/>
  <c r="L918" i="5"/>
  <c r="I943" i="5"/>
  <c r="I944" i="5"/>
  <c r="I847" i="5"/>
  <c r="E1689" i="5"/>
  <c r="E169" i="5" l="1"/>
  <c r="D1270" i="5"/>
  <c r="E153" i="5" s="1"/>
  <c r="I937" i="5"/>
  <c r="I945" i="5" s="1"/>
  <c r="I946" i="5" s="1"/>
  <c r="I947" i="5" s="1"/>
  <c r="I1007" i="5" s="1"/>
  <c r="M1676" i="5"/>
  <c r="F510" i="5" s="1"/>
  <c r="E155" i="5"/>
  <c r="BF1278" i="5"/>
  <c r="AQ1278" i="5"/>
  <c r="E167" i="5"/>
  <c r="E163" i="5"/>
  <c r="E159" i="5"/>
  <c r="E161" i="5"/>
  <c r="E165" i="5"/>
  <c r="M1678" i="5"/>
  <c r="I929" i="5"/>
  <c r="L927" i="5"/>
  <c r="L929" i="5" s="1"/>
  <c r="I987" i="5"/>
  <c r="I1001" i="5"/>
  <c r="L943" i="5"/>
  <c r="BF1270" i="5" l="1"/>
  <c r="AZ1270" i="5"/>
  <c r="AN1270" i="5"/>
  <c r="AH1270" i="5"/>
  <c r="S1270" i="5"/>
  <c r="M1270" i="5"/>
  <c r="BC1270" i="5"/>
  <c r="AT1270" i="5"/>
  <c r="Y1270" i="5"/>
  <c r="AE1270" i="5"/>
  <c r="AK1270" i="5"/>
  <c r="V1270" i="5"/>
  <c r="AB1270" i="5"/>
  <c r="G1270" i="5"/>
  <c r="AW1270" i="5"/>
  <c r="P1270" i="5"/>
  <c r="J1270" i="5"/>
  <c r="BC1271" i="5"/>
  <c r="AT1271" i="5"/>
  <c r="AK1271" i="5"/>
  <c r="V1271" i="5"/>
  <c r="AW1271" i="5"/>
  <c r="AB1271" i="5"/>
  <c r="G1271" i="5"/>
  <c r="AN1271" i="5"/>
  <c r="P1271" i="5"/>
  <c r="Y1271" i="5"/>
  <c r="AE1271" i="5"/>
  <c r="AZ1271" i="5"/>
  <c r="J1271" i="5"/>
  <c r="AH1271" i="5"/>
  <c r="S1271" i="5"/>
  <c r="M1271" i="5"/>
  <c r="AZ1273" i="5"/>
  <c r="AN1273" i="5"/>
  <c r="AB1273" i="5"/>
  <c r="G1273" i="5"/>
  <c r="BC1273" i="5"/>
  <c r="AT1273" i="5"/>
  <c r="P1273" i="5"/>
  <c r="J1273" i="5"/>
  <c r="AW1273" i="5"/>
  <c r="Y1273" i="5"/>
  <c r="AH1273" i="5"/>
  <c r="S1273" i="5"/>
  <c r="M1273" i="5"/>
  <c r="AK1273" i="5"/>
  <c r="V1273" i="5"/>
  <c r="AE1273" i="5"/>
  <c r="AW1275" i="5"/>
  <c r="P1275" i="5"/>
  <c r="J1275" i="5"/>
  <c r="AZ1275" i="5"/>
  <c r="AN1275" i="5"/>
  <c r="AK1275" i="5"/>
  <c r="V1275" i="5"/>
  <c r="G1275" i="5"/>
  <c r="AE1275" i="5"/>
  <c r="M1275" i="5"/>
  <c r="Y1275" i="5"/>
  <c r="BC1275" i="5"/>
  <c r="AT1275" i="5"/>
  <c r="AB1275" i="5"/>
  <c r="AH1275" i="5"/>
  <c r="S1275" i="5"/>
  <c r="BC1277" i="5"/>
  <c r="AT1277" i="5"/>
  <c r="AK1277" i="5"/>
  <c r="V1277" i="5"/>
  <c r="AW1277" i="5"/>
  <c r="AB1277" i="5"/>
  <c r="G1277" i="5"/>
  <c r="AN1277" i="5"/>
  <c r="J1277" i="5"/>
  <c r="AH1277" i="5"/>
  <c r="S1277" i="5"/>
  <c r="M1277" i="5"/>
  <c r="AE1277" i="5"/>
  <c r="AZ1277" i="5"/>
  <c r="P1277" i="5"/>
  <c r="Y1277" i="5"/>
  <c r="AZ1276" i="5"/>
  <c r="AN1276" i="5"/>
  <c r="AH1276" i="5"/>
  <c r="S1276" i="5"/>
  <c r="M1276" i="5"/>
  <c r="BC1276" i="5"/>
  <c r="AT1276" i="5"/>
  <c r="Y1276" i="5"/>
  <c r="P1276" i="5"/>
  <c r="J1276" i="5"/>
  <c r="AB1276" i="5"/>
  <c r="G1276" i="5"/>
  <c r="AW1276" i="5"/>
  <c r="AE1276" i="5"/>
  <c r="AK1276" i="5"/>
  <c r="V1276" i="5"/>
  <c r="BC1274" i="5"/>
  <c r="AT1274" i="5"/>
  <c r="AE1274" i="5"/>
  <c r="AW1274" i="5"/>
  <c r="AH1274" i="5"/>
  <c r="S1274" i="5"/>
  <c r="M1274" i="5"/>
  <c r="AZ1274" i="5"/>
  <c r="Y1274" i="5"/>
  <c r="G1274" i="5"/>
  <c r="AK1274" i="5"/>
  <c r="V1274" i="5"/>
  <c r="AN1274" i="5"/>
  <c r="AB1274" i="5"/>
  <c r="P1274" i="5"/>
  <c r="J1274" i="5"/>
  <c r="AW1278" i="5"/>
  <c r="Y1278" i="5"/>
  <c r="AZ1278" i="5"/>
  <c r="AN1278" i="5"/>
  <c r="AE1278" i="5"/>
  <c r="AT1278" i="5"/>
  <c r="AH1278" i="5"/>
  <c r="S1278" i="5"/>
  <c r="AB1278" i="5"/>
  <c r="G1278" i="5"/>
  <c r="P1278" i="5"/>
  <c r="J1278" i="5"/>
  <c r="BC1278" i="5"/>
  <c r="M1278" i="5"/>
  <c r="AK1278" i="5"/>
  <c r="V1278" i="5"/>
  <c r="AQ1271" i="5"/>
  <c r="BF1271" i="5"/>
  <c r="BF1274" i="5"/>
  <c r="AQ1274" i="5"/>
  <c r="AQ1273" i="5"/>
  <c r="BF1273" i="5"/>
  <c r="BF1276" i="5"/>
  <c r="AQ1276" i="5"/>
  <c r="AQ1270" i="5"/>
  <c r="AQ1275" i="5"/>
  <c r="BF1275" i="5"/>
  <c r="AQ1277" i="5"/>
  <c r="BF1277" i="5"/>
  <c r="I962" i="5"/>
  <c r="I965" i="5" s="1"/>
  <c r="I967" i="5" s="1"/>
  <c r="I951" i="5"/>
  <c r="I952" i="5" s="1"/>
  <c r="M1279" i="5" l="1"/>
  <c r="M1280" i="5" s="1"/>
  <c r="AK1279" i="5"/>
  <c r="AE1279" i="5"/>
  <c r="AW1279" i="5"/>
  <c r="Y1279" i="5"/>
  <c r="AN1279" i="5"/>
  <c r="G1279" i="5"/>
  <c r="AT1279" i="5"/>
  <c r="AZ1279" i="5"/>
  <c r="AB1279" i="5"/>
  <c r="BC1279" i="5"/>
  <c r="I968" i="5"/>
  <c r="AQ1279" i="5"/>
  <c r="AQ1280" i="5" s="1"/>
  <c r="V1279" i="5"/>
  <c r="V1281" i="5" s="1"/>
  <c r="BF1279" i="5"/>
  <c r="BF1280" i="5" s="1"/>
  <c r="P1279" i="5"/>
  <c r="J1279" i="5"/>
  <c r="AH1279" i="5"/>
  <c r="S1279" i="5"/>
  <c r="I974" i="5"/>
  <c r="I976" i="5"/>
  <c r="I977" i="5" s="1"/>
  <c r="F74" i="5"/>
  <c r="F92" i="5"/>
  <c r="F90" i="5"/>
  <c r="F88" i="5"/>
  <c r="F86" i="5"/>
  <c r="F84" i="5"/>
  <c r="F82" i="5"/>
  <c r="F80" i="5"/>
  <c r="F78" i="5"/>
  <c r="F76" i="5"/>
  <c r="F70" i="5"/>
  <c r="AN1280" i="5" l="1"/>
  <c r="P751" i="5" s="1"/>
  <c r="AN1281" i="5"/>
  <c r="G1281" i="5"/>
  <c r="G1280" i="5"/>
  <c r="E751" i="5" s="1"/>
  <c r="BC1281" i="5"/>
  <c r="BC1280" i="5"/>
  <c r="U751" i="5" s="1"/>
  <c r="Y1281" i="5"/>
  <c r="Y1280" i="5"/>
  <c r="K751" i="5" s="1"/>
  <c r="AB1280" i="5"/>
  <c r="L751" i="5" s="1"/>
  <c r="AB1281" i="5"/>
  <c r="AW1281" i="5"/>
  <c r="AW1280" i="5"/>
  <c r="S751" i="5" s="1"/>
  <c r="AZ1281" i="5"/>
  <c r="AZ1280" i="5"/>
  <c r="T751" i="5" s="1"/>
  <c r="AE1280" i="5"/>
  <c r="AE1281" i="5"/>
  <c r="AT1280" i="5"/>
  <c r="R751" i="5" s="1"/>
  <c r="AT1281" i="5"/>
  <c r="AK1280" i="5"/>
  <c r="O751" i="5" s="1"/>
  <c r="AK1281" i="5"/>
  <c r="V751" i="5"/>
  <c r="Q751" i="5"/>
  <c r="F1327" i="5"/>
  <c r="F1310" i="5"/>
  <c r="F1344" i="5"/>
  <c r="F1361" i="5"/>
  <c r="F1417" i="5"/>
  <c r="F1311" i="5"/>
  <c r="F1328" i="5"/>
  <c r="F1362" i="5"/>
  <c r="F1345" i="5"/>
  <c r="F1418" i="5"/>
  <c r="F1317" i="5"/>
  <c r="F1334" i="5"/>
  <c r="F1368" i="5"/>
  <c r="F1424" i="5"/>
  <c r="F1351" i="5"/>
  <c r="F1333" i="5"/>
  <c r="F1316" i="5"/>
  <c r="F1350" i="5"/>
  <c r="F1367" i="5"/>
  <c r="F1423" i="5"/>
  <c r="F1323" i="5"/>
  <c r="F1340" i="5"/>
  <c r="F1357" i="5"/>
  <c r="F1413" i="5"/>
  <c r="F1330" i="5"/>
  <c r="F1313" i="5"/>
  <c r="F1364" i="5"/>
  <c r="F1347" i="5"/>
  <c r="F1420" i="5"/>
  <c r="F1312" i="5"/>
  <c r="F1329" i="5"/>
  <c r="F1346" i="5"/>
  <c r="F1363" i="5"/>
  <c r="F1419" i="5"/>
  <c r="F1324" i="5"/>
  <c r="F1307" i="5"/>
  <c r="F1358" i="5"/>
  <c r="F1341" i="5"/>
  <c r="F1414" i="5"/>
  <c r="F1314" i="5"/>
  <c r="F1331" i="5"/>
  <c r="F1348" i="5"/>
  <c r="F1365" i="5"/>
  <c r="F1421" i="5"/>
  <c r="F1308" i="5"/>
  <c r="F1325" i="5"/>
  <c r="F1359" i="5"/>
  <c r="F1415" i="5"/>
  <c r="F1342" i="5"/>
  <c r="F1309" i="5"/>
  <c r="F1360" i="5"/>
  <c r="F1326" i="5"/>
  <c r="F1343" i="5"/>
  <c r="F1416" i="5"/>
  <c r="F1315" i="5"/>
  <c r="F1366" i="5"/>
  <c r="F1349" i="5"/>
  <c r="F1422" i="5"/>
  <c r="F1332" i="5"/>
  <c r="AQ1281" i="5"/>
  <c r="V1280" i="5"/>
  <c r="P1604" i="5"/>
  <c r="I975" i="5"/>
  <c r="I981" i="5" s="1"/>
  <c r="I982" i="5" s="1"/>
  <c r="I983" i="5" s="1"/>
  <c r="S1280" i="5"/>
  <c r="S1281" i="5"/>
  <c r="J1280" i="5"/>
  <c r="J1281" i="5"/>
  <c r="M1281" i="5"/>
  <c r="G751" i="5"/>
  <c r="P1280" i="5"/>
  <c r="P1281" i="5"/>
  <c r="AH1281" i="5"/>
  <c r="AH1280" i="5"/>
  <c r="BF1281" i="5"/>
  <c r="I1008" i="5"/>
  <c r="I988" i="5"/>
  <c r="I1002" i="5"/>
  <c r="I1003" i="5" s="1"/>
  <c r="F751" i="5" l="1"/>
  <c r="H751" i="5"/>
  <c r="I751" i="5"/>
  <c r="M751" i="5"/>
  <c r="J751" i="5"/>
  <c r="N751" i="5"/>
  <c r="E32" i="41"/>
  <c r="I1010" i="5"/>
  <c r="I1012" i="5" s="1"/>
  <c r="I1009" i="5"/>
  <c r="P1607" i="5" l="1"/>
  <c r="P1606" i="5"/>
  <c r="P1605" i="5"/>
  <c r="E33" i="41" l="1"/>
  <c r="E34" i="41"/>
  <c r="E35" i="41"/>
  <c r="F50" i="5"/>
  <c r="F60" i="5"/>
  <c r="AH43" i="5"/>
  <c r="AH44" i="5" s="1"/>
  <c r="BK9" i="5" l="1"/>
  <c r="BK6" i="5"/>
  <c r="AJ13" i="5" l="1"/>
  <c r="AI14" i="5"/>
  <c r="F56" i="5" l="1"/>
  <c r="F44" i="5" l="1"/>
  <c r="F48" i="5" s="1"/>
  <c r="F58" i="5" s="1"/>
  <c r="F54" i="5" l="1"/>
  <c r="I990" i="5" l="1" a="1"/>
  <c r="I990" i="5" s="1"/>
  <c r="I991" i="5" a="1"/>
  <c r="I991" i="5" s="1"/>
  <c r="I992" i="5" a="1"/>
  <c r="I992" i="5" s="1"/>
  <c r="I1000" i="5" a="1"/>
  <c r="I1000" i="5" s="1"/>
  <c r="I1006" i="5" a="1"/>
  <c r="I1006" i="5" s="1"/>
  <c r="BJ849" i="5" l="1"/>
  <c r="BK849" i="5"/>
  <c r="BL849" i="5"/>
  <c r="BM849" i="5"/>
  <c r="BN849" i="5"/>
  <c r="BO849" i="5"/>
  <c r="BP849" i="5"/>
  <c r="BQ849" i="5"/>
  <c r="BR849" i="5"/>
  <c r="BJ850" i="5"/>
  <c r="BK850" i="5"/>
  <c r="BL850" i="5"/>
  <c r="BM850" i="5"/>
  <c r="BN850" i="5"/>
  <c r="BO850" i="5"/>
  <c r="BP850" i="5"/>
  <c r="BQ850" i="5"/>
  <c r="BR850" i="5"/>
  <c r="BJ851" i="5"/>
  <c r="BK851" i="5"/>
  <c r="BL851" i="5"/>
  <c r="BM851" i="5"/>
  <c r="BN851" i="5"/>
  <c r="BO851" i="5"/>
  <c r="BP851" i="5"/>
  <c r="BQ851" i="5"/>
  <c r="BR851" i="5"/>
  <c r="BJ852" i="5"/>
  <c r="BK852" i="5"/>
  <c r="BL852" i="5"/>
  <c r="BM852" i="5"/>
  <c r="BN852" i="5"/>
  <c r="BO852" i="5"/>
  <c r="BP852" i="5"/>
  <c r="BQ852" i="5"/>
  <c r="BR852" i="5"/>
  <c r="BJ853" i="5"/>
  <c r="BK853" i="5"/>
  <c r="BL853" i="5"/>
  <c r="BM853" i="5"/>
  <c r="BN853" i="5"/>
  <c r="BO853" i="5"/>
  <c r="BP853" i="5"/>
  <c r="BQ853" i="5"/>
  <c r="BR853" i="5"/>
  <c r="BJ854" i="5"/>
  <c r="BK854" i="5"/>
  <c r="BL854" i="5"/>
  <c r="BM854" i="5"/>
  <c r="BN854" i="5"/>
  <c r="BO854" i="5"/>
  <c r="BP854" i="5"/>
  <c r="BQ854" i="5"/>
  <c r="BR854" i="5"/>
  <c r="BJ855" i="5"/>
  <c r="BK855" i="5"/>
  <c r="BL855" i="5"/>
  <c r="BM855" i="5"/>
  <c r="BN855" i="5"/>
  <c r="BO855" i="5"/>
  <c r="BP855" i="5"/>
  <c r="BQ855" i="5"/>
  <c r="BR855" i="5"/>
  <c r="BJ856" i="5"/>
  <c r="BK856" i="5"/>
  <c r="BL856" i="5"/>
  <c r="BM856" i="5"/>
  <c r="BN856" i="5"/>
  <c r="BO856" i="5"/>
  <c r="BP856" i="5"/>
  <c r="BQ856" i="5"/>
  <c r="BR856" i="5"/>
  <c r="BJ857" i="5"/>
  <c r="BK857" i="5"/>
  <c r="BL857" i="5"/>
  <c r="BM857" i="5"/>
  <c r="BN857" i="5"/>
  <c r="BO857" i="5"/>
  <c r="BP857" i="5"/>
  <c r="BQ857" i="5"/>
  <c r="BR857" i="5"/>
  <c r="BJ858" i="5"/>
  <c r="BK858" i="5"/>
  <c r="BL858" i="5"/>
  <c r="BM858" i="5"/>
  <c r="BN858" i="5"/>
  <c r="BO858" i="5"/>
  <c r="BP858" i="5"/>
  <c r="BQ858" i="5"/>
  <c r="BR858" i="5"/>
  <c r="BJ859" i="5"/>
  <c r="BK859" i="5"/>
  <c r="BL859" i="5"/>
  <c r="BM859" i="5"/>
  <c r="BN859" i="5"/>
  <c r="BO859" i="5"/>
  <c r="BP859" i="5"/>
  <c r="BQ859" i="5"/>
  <c r="BR859" i="5"/>
  <c r="BJ860" i="5"/>
  <c r="BK860" i="5"/>
  <c r="BL860" i="5"/>
  <c r="BM860" i="5"/>
  <c r="BN860" i="5"/>
  <c r="BO860" i="5"/>
  <c r="BP860" i="5"/>
  <c r="BQ860" i="5"/>
  <c r="BR860" i="5"/>
  <c r="BJ861" i="5"/>
  <c r="BK861" i="5"/>
  <c r="BL861" i="5"/>
  <c r="BM861" i="5"/>
  <c r="BN861" i="5"/>
  <c r="BO861" i="5"/>
  <c r="BP861" i="5"/>
  <c r="BQ861" i="5"/>
  <c r="BR861" i="5"/>
  <c r="F246" i="7" l="1" a="1"/>
  <c r="F246" i="7"/>
  <c r="F370" i="7"/>
  <c r="F451" i="7"/>
  <c r="F457" i="7"/>
  <c r="F461" i="7"/>
  <c r="F463" i="7"/>
  <c r="F465" i="7"/>
  <c r="F524" i="7"/>
  <c r="F526" i="7"/>
  <c r="F548" i="7"/>
  <c r="F550" i="7"/>
  <c r="F557" i="7"/>
  <c r="G557" i="7"/>
  <c r="H557" i="7"/>
  <c r="G559" i="7"/>
  <c r="H559" i="7"/>
  <c r="F561" i="7"/>
  <c r="G561" i="7"/>
  <c r="H561" i="7"/>
  <c r="F573" i="7"/>
  <c r="G573" i="7"/>
  <c r="H573" i="7"/>
  <c r="G575" i="7"/>
  <c r="H575" i="7"/>
  <c r="F577" i="7"/>
  <c r="G577" i="7"/>
  <c r="H577" i="7"/>
  <c r="F579" i="7"/>
  <c r="G579" i="7"/>
  <c r="H579" i="7"/>
  <c r="F581" i="7"/>
  <c r="G581" i="7"/>
  <c r="H581" i="7"/>
  <c r="F583" i="7"/>
  <c r="G583" i="7"/>
  <c r="H583" i="7"/>
  <c r="F589" i="7"/>
  <c r="F601" i="7"/>
  <c r="F631" i="7"/>
  <c r="F637" i="7"/>
  <c r="F641" i="7"/>
  <c r="F643" i="7"/>
  <c r="E769" i="7"/>
  <c r="E772" i="7"/>
  <c r="F772" i="7"/>
  <c r="G772" i="7"/>
  <c r="H772" i="7"/>
  <c r="I772" i="7"/>
  <c r="J772" i="7"/>
  <c r="K772" i="7"/>
  <c r="L772" i="7"/>
  <c r="M772" i="7"/>
  <c r="N772" i="7"/>
  <c r="O772" i="7"/>
  <c r="P772" i="7"/>
  <c r="Q772" i="7"/>
  <c r="R772" i="7"/>
  <c r="S772" i="7"/>
  <c r="T772" i="7"/>
  <c r="U772" i="7"/>
  <c r="V772" i="7"/>
  <c r="E786" i="7"/>
  <c r="F786" i="7"/>
  <c r="G786" i="7"/>
  <c r="H786" i="7"/>
  <c r="K786" i="7"/>
  <c r="L786" i="7"/>
  <c r="M786" i="7"/>
  <c r="O786" i="7"/>
  <c r="P786" i="7"/>
  <c r="Q786" i="7"/>
  <c r="R786" i="7"/>
  <c r="T786" i="7"/>
  <c r="V786" i="7"/>
  <c r="X786" i="7"/>
  <c r="Y786" i="7"/>
  <c r="Z786" i="7"/>
  <c r="AA786" i="7"/>
  <c r="AB786" i="7"/>
  <c r="AC786" i="7"/>
  <c r="AD786" i="7"/>
  <c r="AE786" i="7"/>
  <c r="AF786" i="7"/>
  <c r="AG786" i="7"/>
  <c r="AH786" i="7"/>
  <c r="AI786" i="7"/>
  <c r="AJ786" i="7"/>
  <c r="AK786" i="7"/>
  <c r="AL786" i="7"/>
  <c r="AM786" i="7"/>
  <c r="AN786" i="7"/>
  <c r="AO786" i="7"/>
  <c r="AP786" i="7"/>
  <c r="AQ786" i="7"/>
  <c r="E787" i="7"/>
  <c r="F787" i="7"/>
  <c r="G787" i="7"/>
  <c r="H787" i="7"/>
  <c r="K787" i="7"/>
  <c r="L787" i="7"/>
  <c r="M787" i="7"/>
  <c r="O787" i="7"/>
  <c r="P787" i="7"/>
  <c r="Q787" i="7"/>
  <c r="R787" i="7"/>
  <c r="T787" i="7"/>
  <c r="V787" i="7"/>
  <c r="X787" i="7"/>
  <c r="Y787" i="7"/>
  <c r="Z787" i="7"/>
  <c r="AA787" i="7"/>
  <c r="AB787" i="7"/>
  <c r="AC787" i="7"/>
  <c r="AD787" i="7"/>
  <c r="AE787" i="7"/>
  <c r="AF787" i="7"/>
  <c r="AG787" i="7"/>
  <c r="AH787" i="7"/>
  <c r="AI787" i="7"/>
  <c r="AJ787" i="7"/>
  <c r="AK787" i="7"/>
  <c r="AL787" i="7"/>
  <c r="AM787" i="7"/>
  <c r="AN787" i="7"/>
  <c r="AO787" i="7"/>
  <c r="AP787" i="7"/>
  <c r="AQ787" i="7"/>
  <c r="E788" i="7"/>
  <c r="F788" i="7"/>
  <c r="G788" i="7"/>
  <c r="H788" i="7"/>
  <c r="K788" i="7"/>
  <c r="L788" i="7"/>
  <c r="M788" i="7"/>
  <c r="O788" i="7"/>
  <c r="P788" i="7"/>
  <c r="Q788" i="7"/>
  <c r="R788" i="7"/>
  <c r="T788" i="7"/>
  <c r="V788" i="7"/>
  <c r="X788" i="7"/>
  <c r="Y788" i="7"/>
  <c r="Z788" i="7"/>
  <c r="AA788" i="7"/>
  <c r="AB788" i="7"/>
  <c r="AC788" i="7"/>
  <c r="AD788" i="7"/>
  <c r="AE788" i="7"/>
  <c r="AF788" i="7"/>
  <c r="AG788" i="7"/>
  <c r="AH788" i="7"/>
  <c r="AI788" i="7"/>
  <c r="AJ788" i="7"/>
  <c r="AK788" i="7"/>
  <c r="AL788" i="7"/>
  <c r="AM788" i="7"/>
  <c r="AN788" i="7"/>
  <c r="AO788" i="7"/>
  <c r="AP788" i="7"/>
  <c r="AQ788" i="7"/>
  <c r="E789" i="7"/>
  <c r="F789" i="7"/>
  <c r="G789" i="7"/>
  <c r="H789" i="7"/>
  <c r="K789" i="7"/>
  <c r="L789" i="7"/>
  <c r="M789" i="7"/>
  <c r="O789" i="7"/>
  <c r="P789" i="7"/>
  <c r="Q789" i="7"/>
  <c r="R789" i="7"/>
  <c r="T789" i="7"/>
  <c r="V789" i="7"/>
  <c r="X789" i="7"/>
  <c r="Y789" i="7"/>
  <c r="Z789" i="7"/>
  <c r="AA789" i="7"/>
  <c r="AB789" i="7"/>
  <c r="AC789" i="7"/>
  <c r="AD789" i="7"/>
  <c r="AE789" i="7"/>
  <c r="AF789" i="7"/>
  <c r="AG789" i="7"/>
  <c r="AH789" i="7"/>
  <c r="AI789" i="7"/>
  <c r="AJ789" i="7"/>
  <c r="AK789" i="7"/>
  <c r="AL789" i="7"/>
  <c r="AM789" i="7"/>
  <c r="AN789" i="7"/>
  <c r="AO789" i="7"/>
  <c r="AP789" i="7"/>
  <c r="AQ789" i="7"/>
  <c r="E790" i="7"/>
  <c r="F790" i="7"/>
  <c r="G790" i="7"/>
  <c r="H790" i="7"/>
  <c r="K790" i="7"/>
  <c r="L790" i="7"/>
  <c r="M790" i="7"/>
  <c r="O790" i="7"/>
  <c r="P790" i="7"/>
  <c r="Q790" i="7"/>
  <c r="R790" i="7"/>
  <c r="T790" i="7"/>
  <c r="V790" i="7"/>
  <c r="X790" i="7"/>
  <c r="Y790" i="7"/>
  <c r="Z790" i="7"/>
  <c r="AA790" i="7"/>
  <c r="AB790" i="7"/>
  <c r="AC790" i="7"/>
  <c r="AD790" i="7"/>
  <c r="AE790" i="7"/>
  <c r="AF790" i="7"/>
  <c r="AG790" i="7"/>
  <c r="AH790" i="7"/>
  <c r="AI790" i="7"/>
  <c r="AJ790" i="7"/>
  <c r="AK790" i="7"/>
  <c r="AL790" i="7"/>
  <c r="AM790" i="7"/>
  <c r="AN790" i="7"/>
  <c r="AO790" i="7"/>
  <c r="AP790" i="7"/>
  <c r="AQ790" i="7"/>
  <c r="Z791" i="7"/>
  <c r="AA791" i="7"/>
  <c r="AB791" i="7"/>
  <c r="AC791" i="7"/>
  <c r="AD791" i="7"/>
  <c r="AE791" i="7"/>
  <c r="AF791" i="7"/>
  <c r="AG791" i="7"/>
  <c r="AH791" i="7"/>
  <c r="AI791" i="7"/>
  <c r="AJ791" i="7"/>
  <c r="AK791" i="7"/>
  <c r="AL791" i="7"/>
  <c r="AM791" i="7"/>
  <c r="AN791" i="7"/>
  <c r="AO791" i="7"/>
  <c r="AP791" i="7"/>
  <c r="AQ791" i="7"/>
  <c r="E792" i="7"/>
  <c r="F792" i="7"/>
  <c r="G792" i="7"/>
  <c r="H792" i="7"/>
  <c r="K792" i="7"/>
  <c r="L792" i="7"/>
  <c r="M792" i="7"/>
  <c r="O792" i="7"/>
  <c r="P792" i="7"/>
  <c r="Q792" i="7"/>
  <c r="R792" i="7"/>
  <c r="T792" i="7"/>
  <c r="V792" i="7"/>
  <c r="X792" i="7"/>
  <c r="E793" i="7"/>
  <c r="F793" i="7"/>
  <c r="G793" i="7"/>
  <c r="H793" i="7"/>
  <c r="K793" i="7"/>
  <c r="L793" i="7"/>
  <c r="M793" i="7"/>
  <c r="O793" i="7"/>
  <c r="P793" i="7"/>
  <c r="Q793" i="7"/>
  <c r="R793" i="7"/>
  <c r="T793" i="7"/>
  <c r="V793" i="7"/>
  <c r="X793" i="7"/>
  <c r="E797" i="7"/>
  <c r="E798" i="7"/>
  <c r="E799" i="7"/>
  <c r="E803" i="7"/>
  <c r="E811" i="7"/>
  <c r="E812" i="7"/>
  <c r="E816" i="7"/>
  <c r="F816" i="7"/>
  <c r="E817" i="7"/>
  <c r="F817" i="7"/>
  <c r="E818" i="7"/>
  <c r="F818" i="7"/>
  <c r="E819" i="7"/>
  <c r="F819" i="7"/>
  <c r="E820" i="7"/>
  <c r="F820" i="7"/>
  <c r="E821" i="7"/>
  <c r="F821" i="7"/>
  <c r="E822" i="7"/>
  <c r="F822" i="7"/>
  <c r="E823" i="7"/>
  <c r="F823" i="7"/>
  <c r="E824" i="7"/>
  <c r="F824" i="7"/>
  <c r="E825" i="7"/>
  <c r="F825" i="7"/>
  <c r="E826" i="7"/>
  <c r="F826" i="7"/>
  <c r="M831" i="7"/>
  <c r="O831" i="7"/>
  <c r="Q831" i="7"/>
  <c r="R831" i="7"/>
  <c r="M832" i="7"/>
  <c r="O832" i="7"/>
  <c r="Q832" i="7"/>
  <c r="R832" i="7"/>
  <c r="M833" i="7"/>
  <c r="O833" i="7"/>
  <c r="Q833" i="7"/>
  <c r="R833" i="7"/>
  <c r="M834" i="7"/>
  <c r="O834" i="7"/>
  <c r="Q834" i="7"/>
  <c r="R834" i="7"/>
  <c r="M835" i="7"/>
  <c r="O835" i="7"/>
  <c r="Q835" i="7"/>
  <c r="R835" i="7"/>
  <c r="L836" i="7"/>
  <c r="M836" i="7"/>
  <c r="N836" i="7"/>
  <c r="O836" i="7"/>
  <c r="Q836" i="7"/>
  <c r="R836" i="7"/>
  <c r="L837" i="7"/>
  <c r="M837" i="7"/>
  <c r="N837" i="7"/>
  <c r="O837" i="7"/>
  <c r="Q837" i="7"/>
  <c r="R837" i="7"/>
  <c r="L838" i="7"/>
  <c r="M838" i="7"/>
  <c r="N838" i="7"/>
  <c r="O838" i="7"/>
  <c r="Q838" i="7"/>
  <c r="R838" i="7"/>
  <c r="L839" i="7"/>
  <c r="M839" i="7"/>
  <c r="O839" i="7"/>
  <c r="Q839" i="7"/>
  <c r="R839" i="7"/>
  <c r="M840" i="7"/>
  <c r="O840" i="7"/>
  <c r="Q840" i="7"/>
  <c r="R840" i="7"/>
  <c r="M841" i="7"/>
  <c r="O841" i="7"/>
  <c r="Q841" i="7"/>
  <c r="R841" i="7"/>
  <c r="M842" i="7"/>
  <c r="O842" i="7"/>
  <c r="Q842" i="7"/>
  <c r="R842" i="7"/>
  <c r="M843" i="7"/>
  <c r="O843" i="7"/>
  <c r="Q843" i="7"/>
  <c r="R843" i="7"/>
  <c r="M844" i="7"/>
  <c r="O844" i="7"/>
  <c r="Q844" i="7"/>
  <c r="R844" i="7"/>
  <c r="L845" i="7"/>
  <c r="M845" i="7"/>
  <c r="N845" i="7"/>
  <c r="O845" i="7"/>
  <c r="Q845" i="7"/>
  <c r="R845" i="7"/>
  <c r="O846" i="7"/>
  <c r="Q846" i="7"/>
  <c r="R846" i="7"/>
  <c r="E852" i="7"/>
  <c r="F852" i="7"/>
  <c r="G852" i="7"/>
  <c r="H852" i="7"/>
  <c r="I852" i="7"/>
  <c r="J852" i="7"/>
  <c r="K852" i="7"/>
  <c r="L852" i="7"/>
  <c r="M852" i="7"/>
  <c r="N852" i="7"/>
  <c r="O852" i="7"/>
  <c r="P852" i="7"/>
  <c r="Q852" i="7"/>
  <c r="R852" i="7"/>
  <c r="S852" i="7"/>
  <c r="T852" i="7"/>
  <c r="U852" i="7"/>
  <c r="V852" i="7"/>
  <c r="W852" i="7"/>
  <c r="E853" i="7"/>
  <c r="F853" i="7"/>
  <c r="G853" i="7"/>
  <c r="H853" i="7"/>
  <c r="I853" i="7"/>
  <c r="J853" i="7"/>
  <c r="K853" i="7"/>
  <c r="L853" i="7"/>
  <c r="M853" i="7"/>
  <c r="N853" i="7"/>
  <c r="O853" i="7"/>
  <c r="P853" i="7"/>
  <c r="Q853" i="7"/>
  <c r="R853" i="7"/>
  <c r="S853" i="7"/>
  <c r="T853" i="7"/>
  <c r="U853" i="7"/>
  <c r="V853" i="7"/>
  <c r="W853" i="7"/>
  <c r="E854" i="7"/>
  <c r="F854" i="7"/>
  <c r="G854" i="7"/>
  <c r="H854" i="7"/>
  <c r="I854" i="7"/>
  <c r="J854" i="7"/>
  <c r="K854" i="7"/>
  <c r="L854" i="7"/>
  <c r="M854" i="7"/>
  <c r="N854" i="7"/>
  <c r="O854" i="7"/>
  <c r="P854" i="7"/>
  <c r="Q854" i="7"/>
  <c r="R854" i="7"/>
  <c r="S854" i="7"/>
  <c r="T854" i="7"/>
  <c r="U854" i="7"/>
  <c r="V854" i="7"/>
  <c r="W854" i="7"/>
  <c r="F855" i="7"/>
  <c r="G855" i="7"/>
  <c r="H855" i="7"/>
  <c r="I855" i="7"/>
  <c r="J855" i="7"/>
  <c r="K855" i="7"/>
  <c r="L855" i="7"/>
  <c r="M855" i="7"/>
  <c r="N855" i="7"/>
  <c r="O855" i="7"/>
  <c r="P855" i="7"/>
  <c r="Q855" i="7"/>
  <c r="R855" i="7"/>
  <c r="S855" i="7"/>
  <c r="T855" i="7"/>
  <c r="U855" i="7"/>
  <c r="V855" i="7"/>
  <c r="W855" i="7"/>
  <c r="E858" i="7"/>
  <c r="F858" i="7"/>
  <c r="G858" i="7"/>
  <c r="H858" i="7"/>
  <c r="I858" i="7"/>
  <c r="J858" i="7"/>
  <c r="K858" i="7"/>
  <c r="L858" i="7"/>
  <c r="M858" i="7"/>
  <c r="N858" i="7"/>
  <c r="O858" i="7"/>
  <c r="P858" i="7"/>
  <c r="Q858" i="7"/>
  <c r="R858" i="7"/>
  <c r="S858" i="7"/>
  <c r="T858" i="7"/>
  <c r="U858" i="7"/>
  <c r="V858" i="7"/>
  <c r="E859" i="7"/>
  <c r="F859" i="7"/>
  <c r="G859" i="7"/>
  <c r="H859" i="7"/>
  <c r="I859" i="7"/>
  <c r="J859" i="7"/>
  <c r="K859" i="7"/>
  <c r="L859" i="7"/>
  <c r="M859" i="7"/>
  <c r="N859" i="7"/>
  <c r="O859" i="7"/>
  <c r="P859" i="7"/>
  <c r="Q859" i="7"/>
  <c r="R859" i="7"/>
  <c r="S859" i="7"/>
  <c r="T859" i="7"/>
  <c r="U859" i="7"/>
  <c r="V859" i="7"/>
  <c r="O872" i="7"/>
  <c r="I874" i="7"/>
  <c r="K874" i="7"/>
  <c r="E875" i="7"/>
  <c r="G875" i="7"/>
  <c r="I875" i="7"/>
  <c r="K875" i="7"/>
  <c r="M875" i="7"/>
  <c r="E876" i="7"/>
  <c r="G876" i="7"/>
  <c r="I876" i="7"/>
  <c r="K876" i="7"/>
  <c r="M876" i="7"/>
  <c r="E877" i="7"/>
  <c r="G877" i="7"/>
  <c r="I877" i="7"/>
  <c r="K877" i="7"/>
  <c r="M877" i="7"/>
  <c r="E878" i="7"/>
  <c r="G878" i="7"/>
  <c r="I878" i="7"/>
  <c r="K878" i="7"/>
  <c r="M878" i="7"/>
  <c r="E879" i="7"/>
  <c r="G879" i="7"/>
  <c r="I879" i="7"/>
  <c r="K879" i="7"/>
  <c r="M879" i="7"/>
  <c r="E880" i="7"/>
  <c r="G880" i="7"/>
  <c r="I880" i="7"/>
  <c r="K880" i="7"/>
  <c r="M880" i="7"/>
  <c r="E881" i="7"/>
  <c r="G881" i="7"/>
  <c r="I881" i="7"/>
  <c r="K881" i="7"/>
  <c r="M881" i="7"/>
  <c r="E883" i="7"/>
  <c r="G883" i="7"/>
  <c r="I883" i="7"/>
  <c r="K883" i="7"/>
  <c r="M883" i="7"/>
  <c r="E885" i="7"/>
  <c r="G885" i="7"/>
  <c r="I885" i="7"/>
  <c r="K885" i="7"/>
  <c r="M885" i="7"/>
  <c r="O887" i="7"/>
  <c r="O888" i="7"/>
  <c r="O890" i="7"/>
  <c r="I898" i="7"/>
  <c r="L898" i="7" a="1"/>
  <c r="L898" i="7"/>
  <c r="I899" i="7"/>
  <c r="L899" i="7" a="1"/>
  <c r="L899" i="7"/>
  <c r="L900" i="7" a="1"/>
  <c r="L900" i="7"/>
  <c r="I901" i="7"/>
  <c r="L901" i="7" a="1"/>
  <c r="L901" i="7"/>
  <c r="I902" i="7"/>
  <c r="I903" i="7"/>
  <c r="I904" i="7"/>
  <c r="L904" i="7"/>
  <c r="L905" i="7"/>
  <c r="I906" i="7"/>
  <c r="L906" i="7"/>
  <c r="I907" i="7"/>
  <c r="L907" i="7"/>
  <c r="I908" i="7"/>
  <c r="L908" i="7"/>
  <c r="I909" i="7"/>
  <c r="L909" i="7"/>
  <c r="I910" i="7"/>
  <c r="I911" i="7"/>
  <c r="I912" i="7"/>
  <c r="L916" i="7"/>
  <c r="L919" i="7"/>
  <c r="L933" i="7"/>
  <c r="L934" i="7"/>
  <c r="L935" i="7"/>
  <c r="L936" i="7"/>
  <c r="L937" i="7"/>
  <c r="L944" i="7"/>
  <c r="L945" i="7"/>
  <c r="L946" i="7"/>
  <c r="L947" i="7"/>
  <c r="L951" i="7"/>
  <c r="L952" i="7"/>
  <c r="L962" i="7"/>
  <c r="L965" i="7"/>
  <c r="L967" i="7"/>
  <c r="L968" i="7"/>
  <c r="L974" i="7"/>
  <c r="L975" i="7"/>
  <c r="L976" i="7"/>
  <c r="L977" i="7"/>
  <c r="L978" i="7"/>
  <c r="L981" i="7"/>
  <c r="L982" i="7"/>
  <c r="L987" i="7"/>
  <c r="L988" i="7"/>
  <c r="L990" i="7" a="1"/>
  <c r="L990" i="7"/>
  <c r="L991" i="7" a="1"/>
  <c r="L991" i="7"/>
  <c r="L992" i="7" a="1"/>
  <c r="L992" i="7"/>
  <c r="I993" i="7"/>
  <c r="L993" i="7"/>
  <c r="I994" i="7"/>
  <c r="L994" i="7"/>
  <c r="I995" i="7"/>
  <c r="L995" i="7"/>
  <c r="I996" i="7"/>
  <c r="L996" i="7"/>
  <c r="I997" i="7"/>
  <c r="L997" i="7"/>
  <c r="I998" i="7"/>
  <c r="L998" i="7"/>
  <c r="I999" i="7"/>
  <c r="L999" i="7"/>
  <c r="L1000" i="7" a="1"/>
  <c r="L1000" i="7"/>
  <c r="L1001" i="7" a="1"/>
  <c r="L1001" i="7"/>
  <c r="L1002" i="7"/>
  <c r="L1003" i="7"/>
  <c r="L1004" i="7"/>
  <c r="L1009" i="7"/>
  <c r="L1010" i="7"/>
  <c r="L1011" i="7"/>
  <c r="L1012" i="7"/>
  <c r="L1014" i="7"/>
  <c r="I1017" i="7"/>
  <c r="I1018" i="7"/>
  <c r="I1019" i="7"/>
  <c r="L1019" i="7"/>
  <c r="I1020" i="7"/>
  <c r="L1020" i="7"/>
  <c r="L1021" i="7"/>
  <c r="L1022" i="7"/>
  <c r="I1023" i="7"/>
  <c r="L1023" i="7"/>
  <c r="I1024" i="7"/>
  <c r="L1024" i="7"/>
  <c r="I1025" i="7"/>
  <c r="L1027" i="7"/>
  <c r="I1028" i="7"/>
  <c r="L1028" i="7"/>
  <c r="I1029" i="7"/>
  <c r="L1029" i="7"/>
  <c r="I1030" i="7"/>
  <c r="I1031" i="7"/>
  <c r="I1032" i="7"/>
  <c r="L1032" i="7"/>
  <c r="I1033" i="7"/>
  <c r="L1033" i="7"/>
  <c r="L1034" i="7"/>
  <c r="L1035" i="7"/>
  <c r="I1036" i="7"/>
  <c r="L1036" i="7"/>
  <c r="I1037" i="7"/>
  <c r="L1037" i="7"/>
  <c r="I1038" i="7"/>
  <c r="L1038" i="7"/>
  <c r="I1039" i="7"/>
  <c r="L1039" i="7"/>
  <c r="I1040" i="7"/>
  <c r="I1042" i="7"/>
  <c r="L1042" i="7"/>
  <c r="I1043" i="7"/>
  <c r="L1043" i="7"/>
  <c r="I1044" i="7"/>
  <c r="L1044" i="7" a="1"/>
  <c r="L1044" i="7"/>
  <c r="L1045" i="7" a="1"/>
  <c r="L1045" i="7"/>
  <c r="L1046" i="7" a="1"/>
  <c r="L1046" i="7"/>
  <c r="L1047" i="7"/>
  <c r="L1048" i="7"/>
  <c r="L1049" i="7"/>
  <c r="L1050" i="7"/>
  <c r="L1051" i="7"/>
  <c r="L1053" i="7"/>
  <c r="L1054" i="7"/>
  <c r="L1055" i="7"/>
  <c r="K1062" i="7"/>
  <c r="H1063" i="7"/>
  <c r="K1063" i="7" a="1"/>
  <c r="K1063" i="7"/>
  <c r="H1064" i="7"/>
  <c r="K1064" i="7"/>
  <c r="H1065" i="7"/>
  <c r="K1065" i="7" a="1"/>
  <c r="K1065" i="7"/>
  <c r="K1066" i="7"/>
  <c r="H1067" i="7"/>
  <c r="K1067" i="7"/>
  <c r="H1068" i="7"/>
  <c r="K1068" i="7"/>
  <c r="H1069" i="7"/>
  <c r="K1069" i="7"/>
  <c r="H1070" i="7"/>
  <c r="K1070" i="7"/>
  <c r="H1071" i="7"/>
  <c r="K1071" i="7" a="1"/>
  <c r="K1071" i="7"/>
  <c r="K1072" i="7" a="1"/>
  <c r="K1072" i="7"/>
  <c r="K1073" i="7"/>
  <c r="K1074" i="7"/>
  <c r="K1075" i="7"/>
  <c r="K1076" i="7"/>
  <c r="H1080" i="7"/>
  <c r="K1080" i="7"/>
  <c r="N1080" i="7"/>
  <c r="Q1080" i="7"/>
  <c r="H1081" i="7"/>
  <c r="K1081" i="7"/>
  <c r="N1081" i="7"/>
  <c r="Q1081" i="7"/>
  <c r="H1082" i="7"/>
  <c r="K1082" i="7"/>
  <c r="N1082" i="7"/>
  <c r="Q1082" i="7"/>
  <c r="H1083" i="7"/>
  <c r="K1083" i="7"/>
  <c r="N1083" i="7"/>
  <c r="Q1083" i="7"/>
  <c r="H1084" i="7"/>
  <c r="K1084" i="7"/>
  <c r="Q1084" i="7"/>
  <c r="H1085" i="7"/>
  <c r="K1085" i="7"/>
  <c r="H1086" i="7"/>
  <c r="K1086" i="7"/>
  <c r="H1087" i="7"/>
  <c r="K1087" i="7"/>
  <c r="K1088" i="7"/>
  <c r="K1089" i="7"/>
  <c r="K1090" i="7"/>
  <c r="K1091" i="7"/>
  <c r="K1092" i="7"/>
  <c r="E1106" i="7"/>
  <c r="H1106" i="7"/>
  <c r="K1106" i="7"/>
  <c r="N1106" i="7"/>
  <c r="H1107" i="7"/>
  <c r="K1107" i="7"/>
  <c r="N1107" i="7"/>
  <c r="E1108" i="7"/>
  <c r="H1108" i="7"/>
  <c r="K1108" i="7"/>
  <c r="N1108" i="7"/>
  <c r="E1109" i="7"/>
  <c r="H1109" i="7"/>
  <c r="K1109" i="7"/>
  <c r="N1109" i="7"/>
  <c r="E1110" i="7"/>
  <c r="H1110" i="7"/>
  <c r="K1110" i="7"/>
  <c r="N1110" i="7"/>
  <c r="E1111" i="7"/>
  <c r="H1111" i="7"/>
  <c r="K1111" i="7"/>
  <c r="N1111" i="7"/>
  <c r="E1112" i="7"/>
  <c r="H1112" i="7"/>
  <c r="K1112" i="7"/>
  <c r="N1112" i="7"/>
  <c r="E1113" i="7"/>
  <c r="H1113" i="7"/>
  <c r="K1113" i="7"/>
  <c r="N1113" i="7"/>
  <c r="H1114" i="7"/>
  <c r="K1114" i="7"/>
  <c r="E1115" i="7"/>
  <c r="H1115" i="7"/>
  <c r="H1116" i="7"/>
  <c r="K1116" i="7"/>
  <c r="E1117" i="7"/>
  <c r="H1117" i="7"/>
  <c r="K1117" i="7"/>
  <c r="E1118" i="7"/>
  <c r="H1118" i="7"/>
  <c r="K1118" i="7"/>
  <c r="E1119" i="7"/>
  <c r="H1119" i="7"/>
  <c r="K1119" i="7"/>
  <c r="H1120" i="7"/>
  <c r="K1120" i="7"/>
  <c r="H1121" i="7"/>
  <c r="K1121" i="7"/>
  <c r="H1122" i="7"/>
  <c r="K1122" i="7"/>
  <c r="H1123" i="7"/>
  <c r="K1123" i="7"/>
  <c r="H1124" i="7"/>
  <c r="K1124" i="7"/>
  <c r="H1125" i="7"/>
  <c r="H1126" i="7"/>
  <c r="E1127" i="7"/>
  <c r="H1127" i="7"/>
  <c r="E1128" i="7"/>
  <c r="H1128" i="7"/>
  <c r="E1129" i="7"/>
  <c r="H1129" i="7"/>
  <c r="K1129" i="7"/>
  <c r="N1129" i="7"/>
  <c r="E1130" i="7"/>
  <c r="H1130" i="7"/>
  <c r="K1130" i="7"/>
  <c r="N1130" i="7"/>
  <c r="E1131" i="7"/>
  <c r="H1131" i="7"/>
  <c r="K1131" i="7"/>
  <c r="N1131" i="7"/>
  <c r="E1132" i="7"/>
  <c r="H1132" i="7"/>
  <c r="K1132" i="7"/>
  <c r="N1132" i="7"/>
  <c r="E1133" i="7"/>
  <c r="H1133" i="7"/>
  <c r="K1133" i="7"/>
  <c r="N1133" i="7"/>
  <c r="E1134" i="7"/>
  <c r="H1134" i="7"/>
  <c r="K1134" i="7"/>
  <c r="N1134" i="7"/>
  <c r="E1135" i="7"/>
  <c r="H1135" i="7"/>
  <c r="K1135" i="7"/>
  <c r="N1135" i="7"/>
  <c r="E1136" i="7"/>
  <c r="H1136" i="7"/>
  <c r="N1136" i="7"/>
  <c r="E1137" i="7"/>
  <c r="N1137" i="7"/>
  <c r="N1138" i="7"/>
  <c r="N1139" i="7"/>
  <c r="N1140" i="7"/>
  <c r="N1141" i="7"/>
  <c r="N1142" i="7"/>
  <c r="K1147" i="7"/>
  <c r="N1147" i="7"/>
  <c r="K1148" i="7"/>
  <c r="N1148" i="7"/>
  <c r="K1149" i="7"/>
  <c r="N1149" i="7"/>
  <c r="K1150" i="7"/>
  <c r="N1150" i="7"/>
  <c r="N1151" i="7"/>
  <c r="K1155" i="7"/>
  <c r="N1155" i="7"/>
  <c r="K1156" i="7"/>
  <c r="N1156" i="7"/>
  <c r="K1157" i="7"/>
  <c r="N1157" i="7"/>
  <c r="K1158" i="7"/>
  <c r="N1158" i="7"/>
  <c r="K1159" i="7"/>
  <c r="K1160" i="7"/>
  <c r="Q1161" i="7"/>
  <c r="T1161" i="7"/>
  <c r="Q1162" i="7"/>
  <c r="T1162" i="7"/>
  <c r="Q1163" i="7"/>
  <c r="T1163" i="7"/>
  <c r="K1164" i="7"/>
  <c r="N1164" i="7"/>
  <c r="Q1164" i="7"/>
  <c r="T1164" i="7"/>
  <c r="K1165" i="7"/>
  <c r="N1165" i="7"/>
  <c r="K1166" i="7"/>
  <c r="N1166" i="7"/>
  <c r="K1167" i="7"/>
  <c r="N1167" i="7"/>
  <c r="K1168" i="7"/>
  <c r="N1168" i="7"/>
  <c r="Q1170" i="7"/>
  <c r="T1170" i="7"/>
  <c r="K1172" i="7"/>
  <c r="N1172" i="7"/>
  <c r="K1173" i="7"/>
  <c r="N1173" i="7"/>
  <c r="N1174" i="7"/>
  <c r="K1178" i="7"/>
  <c r="N1178" i="7"/>
  <c r="E1183" i="7"/>
  <c r="E1184" i="7"/>
  <c r="E1185" i="7"/>
  <c r="E1186" i="7"/>
  <c r="E1188" i="7"/>
  <c r="E1189" i="7"/>
  <c r="E1190" i="7"/>
  <c r="E1191" i="7"/>
  <c r="E1193" i="7"/>
  <c r="E1195" i="7"/>
  <c r="E1196" i="7"/>
  <c r="E1197" i="7"/>
  <c r="E1200" i="7"/>
  <c r="E1201" i="7"/>
  <c r="E1202" i="7"/>
  <c r="E1204" i="7"/>
  <c r="E1205" i="7" a="1"/>
  <c r="E1205" i="7"/>
  <c r="E1206" i="7"/>
  <c r="E1209" i="7"/>
  <c r="E1210" i="7"/>
  <c r="E1211" i="7"/>
  <c r="E1212" i="7"/>
  <c r="E1213" i="7"/>
  <c r="E1214" i="7"/>
  <c r="E1216" i="7"/>
  <c r="E1217" i="7"/>
  <c r="E1219" i="7"/>
  <c r="E1220" i="7"/>
  <c r="E1223" i="7"/>
  <c r="E1227" i="7"/>
  <c r="E1228" i="7"/>
  <c r="E1229" i="7"/>
  <c r="E1231" i="7"/>
  <c r="E1232" i="7"/>
  <c r="E1233" i="7"/>
  <c r="E1234" i="7"/>
  <c r="E1235" i="7"/>
  <c r="E1236" i="7"/>
  <c r="E1237" i="7"/>
  <c r="E1238" i="7"/>
  <c r="E1239" i="7"/>
  <c r="E1240" i="7"/>
  <c r="E1241" i="7"/>
  <c r="E1243" i="7"/>
  <c r="E1244" i="7"/>
  <c r="E1246" i="7"/>
  <c r="E1247" i="7"/>
  <c r="E1248" i="7"/>
  <c r="E1249" i="7"/>
  <c r="E1252" i="7"/>
  <c r="H1306" i="7"/>
  <c r="I1306" i="7"/>
  <c r="J1306" i="7"/>
  <c r="K1306" i="7"/>
  <c r="L1306" i="7"/>
  <c r="M1306" i="7"/>
  <c r="N1306" i="7"/>
  <c r="P1306" i="7"/>
  <c r="Q1306" i="7"/>
  <c r="S1306" i="7"/>
  <c r="W1306" i="7"/>
  <c r="X1306" i="7"/>
  <c r="Y1306" i="7"/>
  <c r="Z1306" i="7"/>
  <c r="H1307" i="7"/>
  <c r="I1307" i="7"/>
  <c r="J1307" i="7"/>
  <c r="K1307" i="7"/>
  <c r="L1307" i="7"/>
  <c r="M1307" i="7"/>
  <c r="N1307" i="7"/>
  <c r="P1307" i="7"/>
  <c r="Q1307" i="7"/>
  <c r="S1307" i="7"/>
  <c r="W1307" i="7"/>
  <c r="X1307" i="7"/>
  <c r="Y1307" i="7"/>
  <c r="Z1307" i="7"/>
  <c r="H1308" i="7"/>
  <c r="I1308" i="7"/>
  <c r="J1308" i="7"/>
  <c r="K1308" i="7"/>
  <c r="L1308" i="7"/>
  <c r="M1308" i="7"/>
  <c r="N1308" i="7"/>
  <c r="P1308" i="7"/>
  <c r="Q1308" i="7"/>
  <c r="S1308" i="7"/>
  <c r="W1308" i="7"/>
  <c r="X1308" i="7"/>
  <c r="Y1308" i="7"/>
  <c r="Z1308" i="7"/>
  <c r="H1309" i="7"/>
  <c r="I1309" i="7"/>
  <c r="J1309" i="7"/>
  <c r="K1309" i="7"/>
  <c r="L1309" i="7"/>
  <c r="M1309" i="7"/>
  <c r="N1309" i="7"/>
  <c r="P1309" i="7"/>
  <c r="Q1309" i="7"/>
  <c r="S1309" i="7"/>
  <c r="W1309" i="7"/>
  <c r="X1309" i="7"/>
  <c r="Y1309" i="7"/>
  <c r="Z1309" i="7"/>
  <c r="H1310" i="7"/>
  <c r="I1310" i="7"/>
  <c r="J1310" i="7"/>
  <c r="K1310" i="7"/>
  <c r="L1310" i="7"/>
  <c r="M1310" i="7"/>
  <c r="N1310" i="7"/>
  <c r="P1310" i="7"/>
  <c r="Q1310" i="7"/>
  <c r="S1310" i="7"/>
  <c r="W1310" i="7"/>
  <c r="X1310" i="7"/>
  <c r="Y1310" i="7"/>
  <c r="Z1310" i="7"/>
  <c r="H1311" i="7"/>
  <c r="I1311" i="7"/>
  <c r="J1311" i="7"/>
  <c r="K1311" i="7"/>
  <c r="L1311" i="7"/>
  <c r="M1311" i="7"/>
  <c r="N1311" i="7"/>
  <c r="P1311" i="7"/>
  <c r="Q1311" i="7"/>
  <c r="S1311" i="7"/>
  <c r="W1311" i="7"/>
  <c r="X1311" i="7"/>
  <c r="Y1311" i="7"/>
  <c r="Z1311" i="7"/>
  <c r="H1312" i="7"/>
  <c r="I1312" i="7"/>
  <c r="J1312" i="7"/>
  <c r="K1312" i="7"/>
  <c r="L1312" i="7"/>
  <c r="M1312" i="7"/>
  <c r="N1312" i="7"/>
  <c r="P1312" i="7"/>
  <c r="Q1312" i="7"/>
  <c r="S1312" i="7"/>
  <c r="W1312" i="7"/>
  <c r="X1312" i="7"/>
  <c r="Y1312" i="7"/>
  <c r="Z1312" i="7"/>
  <c r="H1313" i="7"/>
  <c r="I1313" i="7"/>
  <c r="J1313" i="7"/>
  <c r="K1313" i="7"/>
  <c r="L1313" i="7"/>
  <c r="M1313" i="7"/>
  <c r="N1313" i="7"/>
  <c r="P1313" i="7"/>
  <c r="Q1313" i="7"/>
  <c r="S1313" i="7"/>
  <c r="W1313" i="7"/>
  <c r="X1313" i="7"/>
  <c r="Y1313" i="7"/>
  <c r="Z1313" i="7"/>
  <c r="H1314" i="7"/>
  <c r="I1314" i="7"/>
  <c r="J1314" i="7"/>
  <c r="K1314" i="7"/>
  <c r="L1314" i="7"/>
  <c r="M1314" i="7"/>
  <c r="N1314" i="7"/>
  <c r="P1314" i="7"/>
  <c r="Q1314" i="7"/>
  <c r="S1314" i="7"/>
  <c r="W1314" i="7"/>
  <c r="X1314" i="7"/>
  <c r="Y1314" i="7"/>
  <c r="Z1314" i="7"/>
  <c r="H1315" i="7"/>
  <c r="I1315" i="7"/>
  <c r="J1315" i="7"/>
  <c r="K1315" i="7"/>
  <c r="L1315" i="7"/>
  <c r="M1315" i="7"/>
  <c r="N1315" i="7"/>
  <c r="P1315" i="7"/>
  <c r="Q1315" i="7"/>
  <c r="S1315" i="7"/>
  <c r="W1315" i="7"/>
  <c r="X1315" i="7"/>
  <c r="Y1315" i="7"/>
  <c r="Z1315" i="7"/>
  <c r="H1316" i="7"/>
  <c r="I1316" i="7"/>
  <c r="J1316" i="7"/>
  <c r="K1316" i="7"/>
  <c r="L1316" i="7"/>
  <c r="M1316" i="7"/>
  <c r="N1316" i="7"/>
  <c r="P1316" i="7"/>
  <c r="Q1316" i="7"/>
  <c r="S1316" i="7"/>
  <c r="W1316" i="7"/>
  <c r="X1316" i="7"/>
  <c r="Y1316" i="7"/>
  <c r="Z1316" i="7"/>
  <c r="H1317" i="7"/>
  <c r="I1317" i="7"/>
  <c r="J1317" i="7"/>
  <c r="K1317" i="7"/>
  <c r="L1317" i="7"/>
  <c r="M1317" i="7"/>
  <c r="N1317" i="7"/>
  <c r="P1317" i="7"/>
  <c r="Q1317" i="7"/>
  <c r="S1317" i="7"/>
  <c r="W1317" i="7"/>
  <c r="X1317" i="7"/>
  <c r="Y1317" i="7"/>
  <c r="Z1317" i="7"/>
  <c r="Z1318" i="7"/>
  <c r="AA1318" i="7"/>
  <c r="X1319" i="7"/>
  <c r="Z1319" i="7"/>
  <c r="Z1320" i="7"/>
  <c r="H1323" i="7"/>
  <c r="I1323" i="7"/>
  <c r="J1323" i="7"/>
  <c r="K1323" i="7"/>
  <c r="L1323" i="7"/>
  <c r="M1323" i="7"/>
  <c r="N1323" i="7"/>
  <c r="P1323" i="7"/>
  <c r="Q1323" i="7"/>
  <c r="R1323" i="7"/>
  <c r="T1323" i="7"/>
  <c r="X1323" i="7"/>
  <c r="Y1323" i="7"/>
  <c r="Z1323" i="7"/>
  <c r="AA1323" i="7"/>
  <c r="AC1323" i="7"/>
  <c r="AF1323" i="7"/>
  <c r="AL1323" i="7"/>
  <c r="AM1323" i="7"/>
  <c r="H1324" i="7"/>
  <c r="I1324" i="7"/>
  <c r="J1324" i="7"/>
  <c r="K1324" i="7"/>
  <c r="L1324" i="7"/>
  <c r="M1324" i="7"/>
  <c r="N1324" i="7"/>
  <c r="P1324" i="7"/>
  <c r="Q1324" i="7"/>
  <c r="R1324" i="7"/>
  <c r="T1324" i="7"/>
  <c r="X1324" i="7"/>
  <c r="Y1324" i="7"/>
  <c r="Z1324" i="7"/>
  <c r="AA1324" i="7"/>
  <c r="AC1324" i="7"/>
  <c r="AQ1324" i="7"/>
  <c r="H1325" i="7"/>
  <c r="I1325" i="7"/>
  <c r="J1325" i="7"/>
  <c r="K1325" i="7"/>
  <c r="L1325" i="7"/>
  <c r="M1325" i="7"/>
  <c r="N1325" i="7"/>
  <c r="P1325" i="7"/>
  <c r="Q1325" i="7"/>
  <c r="R1325" i="7"/>
  <c r="T1325" i="7"/>
  <c r="X1325" i="7"/>
  <c r="Y1325" i="7"/>
  <c r="Z1325" i="7"/>
  <c r="AA1325" i="7"/>
  <c r="AC1325" i="7"/>
  <c r="AQ1325" i="7"/>
  <c r="H1326" i="7"/>
  <c r="I1326" i="7"/>
  <c r="J1326" i="7"/>
  <c r="K1326" i="7"/>
  <c r="L1326" i="7"/>
  <c r="M1326" i="7"/>
  <c r="N1326" i="7"/>
  <c r="P1326" i="7"/>
  <c r="Q1326" i="7"/>
  <c r="R1326" i="7"/>
  <c r="T1326" i="7"/>
  <c r="X1326" i="7"/>
  <c r="Y1326" i="7"/>
  <c r="Z1326" i="7"/>
  <c r="AA1326" i="7"/>
  <c r="AC1326" i="7"/>
  <c r="AQ1326" i="7"/>
  <c r="H1327" i="7"/>
  <c r="I1327" i="7"/>
  <c r="J1327" i="7"/>
  <c r="K1327" i="7"/>
  <c r="L1327" i="7"/>
  <c r="M1327" i="7"/>
  <c r="N1327" i="7"/>
  <c r="P1327" i="7"/>
  <c r="Q1327" i="7"/>
  <c r="R1327" i="7"/>
  <c r="T1327" i="7"/>
  <c r="X1327" i="7"/>
  <c r="Y1327" i="7"/>
  <c r="Z1327" i="7"/>
  <c r="AA1327" i="7"/>
  <c r="AC1327" i="7"/>
  <c r="H1328" i="7"/>
  <c r="I1328" i="7"/>
  <c r="J1328" i="7"/>
  <c r="K1328" i="7"/>
  <c r="L1328" i="7"/>
  <c r="M1328" i="7"/>
  <c r="N1328" i="7"/>
  <c r="P1328" i="7"/>
  <c r="Q1328" i="7"/>
  <c r="R1328" i="7"/>
  <c r="T1328" i="7"/>
  <c r="X1328" i="7"/>
  <c r="Y1328" i="7"/>
  <c r="Z1328" i="7"/>
  <c r="AA1328" i="7"/>
  <c r="AC1328" i="7"/>
  <c r="H1329" i="7"/>
  <c r="I1329" i="7"/>
  <c r="J1329" i="7"/>
  <c r="K1329" i="7"/>
  <c r="L1329" i="7"/>
  <c r="M1329" i="7"/>
  <c r="N1329" i="7"/>
  <c r="P1329" i="7"/>
  <c r="Q1329" i="7"/>
  <c r="R1329" i="7"/>
  <c r="T1329" i="7"/>
  <c r="X1329" i="7"/>
  <c r="Y1329" i="7"/>
  <c r="Z1329" i="7"/>
  <c r="AA1329" i="7"/>
  <c r="AC1329" i="7"/>
  <c r="AM1329" i="7"/>
  <c r="H1330" i="7"/>
  <c r="I1330" i="7"/>
  <c r="J1330" i="7"/>
  <c r="K1330" i="7"/>
  <c r="L1330" i="7"/>
  <c r="M1330" i="7"/>
  <c r="N1330" i="7"/>
  <c r="P1330" i="7"/>
  <c r="Q1330" i="7"/>
  <c r="R1330" i="7"/>
  <c r="T1330" i="7"/>
  <c r="X1330" i="7"/>
  <c r="Y1330" i="7"/>
  <c r="Z1330" i="7"/>
  <c r="AA1330" i="7"/>
  <c r="AC1330" i="7"/>
  <c r="H1331" i="7"/>
  <c r="I1331" i="7"/>
  <c r="J1331" i="7"/>
  <c r="K1331" i="7"/>
  <c r="L1331" i="7"/>
  <c r="M1331" i="7"/>
  <c r="N1331" i="7"/>
  <c r="P1331" i="7"/>
  <c r="Q1331" i="7"/>
  <c r="R1331" i="7"/>
  <c r="T1331" i="7"/>
  <c r="X1331" i="7"/>
  <c r="Y1331" i="7"/>
  <c r="Z1331" i="7"/>
  <c r="AA1331" i="7"/>
  <c r="AC1331" i="7"/>
  <c r="AM1331" i="7"/>
  <c r="H1332" i="7"/>
  <c r="I1332" i="7"/>
  <c r="J1332" i="7"/>
  <c r="K1332" i="7"/>
  <c r="L1332" i="7"/>
  <c r="M1332" i="7"/>
  <c r="N1332" i="7"/>
  <c r="P1332" i="7"/>
  <c r="Q1332" i="7"/>
  <c r="R1332" i="7"/>
  <c r="T1332" i="7"/>
  <c r="X1332" i="7"/>
  <c r="Y1332" i="7"/>
  <c r="Z1332" i="7"/>
  <c r="AA1332" i="7"/>
  <c r="AC1332" i="7"/>
  <c r="AM1332" i="7"/>
  <c r="H1333" i="7"/>
  <c r="I1333" i="7"/>
  <c r="J1333" i="7"/>
  <c r="K1333" i="7"/>
  <c r="L1333" i="7"/>
  <c r="M1333" i="7"/>
  <c r="N1333" i="7"/>
  <c r="P1333" i="7"/>
  <c r="Q1333" i="7"/>
  <c r="R1333" i="7"/>
  <c r="T1333" i="7"/>
  <c r="X1333" i="7"/>
  <c r="Y1333" i="7"/>
  <c r="Z1333" i="7"/>
  <c r="AA1333" i="7"/>
  <c r="AC1333" i="7"/>
  <c r="AG1333" i="7"/>
  <c r="H1334" i="7"/>
  <c r="I1334" i="7"/>
  <c r="J1334" i="7"/>
  <c r="K1334" i="7"/>
  <c r="L1334" i="7"/>
  <c r="M1334" i="7"/>
  <c r="N1334" i="7"/>
  <c r="P1334" i="7"/>
  <c r="Q1334" i="7"/>
  <c r="R1334" i="7"/>
  <c r="T1334" i="7"/>
  <c r="X1334" i="7"/>
  <c r="Y1334" i="7"/>
  <c r="Z1334" i="7"/>
  <c r="AA1334" i="7"/>
  <c r="AC1334" i="7"/>
  <c r="AA1335" i="7"/>
  <c r="AA1336" i="7"/>
  <c r="H1340" i="7"/>
  <c r="I1340" i="7"/>
  <c r="J1340" i="7"/>
  <c r="K1340" i="7"/>
  <c r="L1340" i="7"/>
  <c r="M1340" i="7"/>
  <c r="N1340" i="7"/>
  <c r="P1340" i="7"/>
  <c r="Q1340" i="7"/>
  <c r="R1340" i="7"/>
  <c r="S1340" i="7"/>
  <c r="T1340" i="7"/>
  <c r="H1341" i="7"/>
  <c r="I1341" i="7"/>
  <c r="J1341" i="7"/>
  <c r="K1341" i="7"/>
  <c r="L1341" i="7"/>
  <c r="M1341" i="7"/>
  <c r="N1341" i="7"/>
  <c r="P1341" i="7"/>
  <c r="Q1341" i="7"/>
  <c r="R1341" i="7"/>
  <c r="S1341" i="7"/>
  <c r="T1341" i="7"/>
  <c r="H1342" i="7"/>
  <c r="I1342" i="7"/>
  <c r="J1342" i="7"/>
  <c r="K1342" i="7"/>
  <c r="L1342" i="7"/>
  <c r="M1342" i="7"/>
  <c r="N1342" i="7"/>
  <c r="P1342" i="7"/>
  <c r="Q1342" i="7"/>
  <c r="R1342" i="7"/>
  <c r="S1342" i="7"/>
  <c r="T1342" i="7"/>
  <c r="H1343" i="7"/>
  <c r="I1343" i="7"/>
  <c r="J1343" i="7"/>
  <c r="K1343" i="7"/>
  <c r="L1343" i="7"/>
  <c r="M1343" i="7"/>
  <c r="N1343" i="7"/>
  <c r="P1343" i="7"/>
  <c r="Q1343" i="7"/>
  <c r="R1343" i="7"/>
  <c r="S1343" i="7"/>
  <c r="T1343" i="7"/>
  <c r="H1344" i="7"/>
  <c r="I1344" i="7"/>
  <c r="J1344" i="7"/>
  <c r="K1344" i="7"/>
  <c r="L1344" i="7"/>
  <c r="M1344" i="7"/>
  <c r="N1344" i="7"/>
  <c r="P1344" i="7"/>
  <c r="Q1344" i="7"/>
  <c r="R1344" i="7"/>
  <c r="S1344" i="7"/>
  <c r="T1344" i="7"/>
  <c r="H1345" i="7"/>
  <c r="I1345" i="7"/>
  <c r="J1345" i="7"/>
  <c r="K1345" i="7"/>
  <c r="L1345" i="7"/>
  <c r="M1345" i="7"/>
  <c r="N1345" i="7"/>
  <c r="P1345" i="7"/>
  <c r="Q1345" i="7"/>
  <c r="R1345" i="7"/>
  <c r="S1345" i="7"/>
  <c r="T1345" i="7"/>
  <c r="H1346" i="7"/>
  <c r="I1346" i="7"/>
  <c r="J1346" i="7"/>
  <c r="K1346" i="7"/>
  <c r="L1346" i="7"/>
  <c r="M1346" i="7"/>
  <c r="N1346" i="7"/>
  <c r="P1346" i="7"/>
  <c r="Q1346" i="7"/>
  <c r="R1346" i="7"/>
  <c r="S1346" i="7"/>
  <c r="T1346" i="7"/>
  <c r="H1347" i="7"/>
  <c r="I1347" i="7"/>
  <c r="J1347" i="7"/>
  <c r="K1347" i="7"/>
  <c r="L1347" i="7"/>
  <c r="M1347" i="7"/>
  <c r="N1347" i="7"/>
  <c r="P1347" i="7"/>
  <c r="Q1347" i="7"/>
  <c r="R1347" i="7"/>
  <c r="S1347" i="7"/>
  <c r="T1347" i="7"/>
  <c r="H1348" i="7"/>
  <c r="I1348" i="7"/>
  <c r="J1348" i="7"/>
  <c r="K1348" i="7"/>
  <c r="L1348" i="7"/>
  <c r="M1348" i="7"/>
  <c r="N1348" i="7"/>
  <c r="P1348" i="7"/>
  <c r="Q1348" i="7"/>
  <c r="R1348" i="7"/>
  <c r="S1348" i="7"/>
  <c r="T1348" i="7"/>
  <c r="H1349" i="7"/>
  <c r="I1349" i="7"/>
  <c r="J1349" i="7"/>
  <c r="K1349" i="7"/>
  <c r="L1349" i="7"/>
  <c r="M1349" i="7"/>
  <c r="N1349" i="7"/>
  <c r="P1349" i="7"/>
  <c r="Q1349" i="7"/>
  <c r="R1349" i="7"/>
  <c r="S1349" i="7"/>
  <c r="T1349" i="7"/>
  <c r="H1350" i="7"/>
  <c r="I1350" i="7"/>
  <c r="J1350" i="7"/>
  <c r="K1350" i="7"/>
  <c r="L1350" i="7"/>
  <c r="M1350" i="7"/>
  <c r="N1350" i="7"/>
  <c r="P1350" i="7"/>
  <c r="Q1350" i="7"/>
  <c r="R1350" i="7"/>
  <c r="S1350" i="7"/>
  <c r="T1350" i="7"/>
  <c r="H1351" i="7"/>
  <c r="I1351" i="7"/>
  <c r="J1351" i="7"/>
  <c r="K1351" i="7"/>
  <c r="L1351" i="7"/>
  <c r="M1351" i="7"/>
  <c r="N1351" i="7"/>
  <c r="P1351" i="7"/>
  <c r="Q1351" i="7"/>
  <c r="R1351" i="7"/>
  <c r="S1351" i="7"/>
  <c r="T1351" i="7"/>
  <c r="T1352" i="7"/>
  <c r="H1357" i="7"/>
  <c r="I1357" i="7"/>
  <c r="J1357" i="7"/>
  <c r="K1357" i="7"/>
  <c r="L1357" i="7"/>
  <c r="M1357" i="7"/>
  <c r="N1357" i="7"/>
  <c r="P1357" i="7"/>
  <c r="Q1357" i="7"/>
  <c r="R1357" i="7"/>
  <c r="S1357" i="7"/>
  <c r="T1357" i="7"/>
  <c r="H1358" i="7"/>
  <c r="I1358" i="7"/>
  <c r="J1358" i="7"/>
  <c r="K1358" i="7"/>
  <c r="L1358" i="7"/>
  <c r="M1358" i="7"/>
  <c r="N1358" i="7"/>
  <c r="P1358" i="7"/>
  <c r="Q1358" i="7"/>
  <c r="R1358" i="7"/>
  <c r="S1358" i="7"/>
  <c r="T1358" i="7"/>
  <c r="H1359" i="7"/>
  <c r="I1359" i="7"/>
  <c r="J1359" i="7"/>
  <c r="K1359" i="7"/>
  <c r="L1359" i="7"/>
  <c r="M1359" i="7"/>
  <c r="N1359" i="7"/>
  <c r="P1359" i="7"/>
  <c r="Q1359" i="7"/>
  <c r="R1359" i="7"/>
  <c r="S1359" i="7"/>
  <c r="T1359" i="7"/>
  <c r="H1360" i="7"/>
  <c r="I1360" i="7"/>
  <c r="J1360" i="7"/>
  <c r="K1360" i="7"/>
  <c r="L1360" i="7"/>
  <c r="M1360" i="7"/>
  <c r="N1360" i="7"/>
  <c r="P1360" i="7"/>
  <c r="Q1360" i="7"/>
  <c r="R1360" i="7"/>
  <c r="S1360" i="7"/>
  <c r="T1360" i="7"/>
  <c r="H1361" i="7"/>
  <c r="I1361" i="7"/>
  <c r="J1361" i="7"/>
  <c r="K1361" i="7"/>
  <c r="L1361" i="7"/>
  <c r="M1361" i="7"/>
  <c r="N1361" i="7"/>
  <c r="P1361" i="7"/>
  <c r="Q1361" i="7"/>
  <c r="R1361" i="7"/>
  <c r="S1361" i="7"/>
  <c r="T1361" i="7"/>
  <c r="H1362" i="7"/>
  <c r="I1362" i="7"/>
  <c r="J1362" i="7"/>
  <c r="K1362" i="7"/>
  <c r="L1362" i="7"/>
  <c r="M1362" i="7"/>
  <c r="N1362" i="7"/>
  <c r="P1362" i="7"/>
  <c r="Q1362" i="7"/>
  <c r="R1362" i="7"/>
  <c r="S1362" i="7"/>
  <c r="T1362" i="7"/>
  <c r="H1363" i="7"/>
  <c r="I1363" i="7"/>
  <c r="J1363" i="7"/>
  <c r="K1363" i="7"/>
  <c r="L1363" i="7"/>
  <c r="M1363" i="7"/>
  <c r="N1363" i="7"/>
  <c r="P1363" i="7"/>
  <c r="Q1363" i="7"/>
  <c r="R1363" i="7"/>
  <c r="S1363" i="7"/>
  <c r="T1363" i="7"/>
  <c r="H1364" i="7"/>
  <c r="I1364" i="7"/>
  <c r="J1364" i="7"/>
  <c r="K1364" i="7"/>
  <c r="L1364" i="7"/>
  <c r="M1364" i="7"/>
  <c r="N1364" i="7"/>
  <c r="P1364" i="7"/>
  <c r="Q1364" i="7"/>
  <c r="R1364" i="7"/>
  <c r="S1364" i="7"/>
  <c r="T1364" i="7"/>
  <c r="H1365" i="7"/>
  <c r="I1365" i="7"/>
  <c r="J1365" i="7"/>
  <c r="K1365" i="7"/>
  <c r="L1365" i="7"/>
  <c r="M1365" i="7"/>
  <c r="N1365" i="7"/>
  <c r="P1365" i="7"/>
  <c r="Q1365" i="7"/>
  <c r="R1365" i="7"/>
  <c r="S1365" i="7"/>
  <c r="T1365" i="7"/>
  <c r="H1366" i="7"/>
  <c r="I1366" i="7"/>
  <c r="J1366" i="7"/>
  <c r="K1366" i="7"/>
  <c r="L1366" i="7"/>
  <c r="M1366" i="7"/>
  <c r="N1366" i="7"/>
  <c r="P1366" i="7"/>
  <c r="Q1366" i="7"/>
  <c r="R1366" i="7"/>
  <c r="S1366" i="7"/>
  <c r="T1366" i="7"/>
  <c r="H1367" i="7"/>
  <c r="I1367" i="7"/>
  <c r="J1367" i="7"/>
  <c r="K1367" i="7"/>
  <c r="L1367" i="7"/>
  <c r="M1367" i="7"/>
  <c r="N1367" i="7"/>
  <c r="P1367" i="7"/>
  <c r="Q1367" i="7"/>
  <c r="R1367" i="7"/>
  <c r="S1367" i="7"/>
  <c r="T1367" i="7"/>
  <c r="H1368" i="7"/>
  <c r="I1368" i="7"/>
  <c r="J1368" i="7"/>
  <c r="K1368" i="7"/>
  <c r="L1368" i="7"/>
  <c r="M1368" i="7"/>
  <c r="N1368" i="7"/>
  <c r="P1368" i="7"/>
  <c r="Q1368" i="7"/>
  <c r="R1368" i="7"/>
  <c r="S1368" i="7"/>
  <c r="T1368" i="7"/>
  <c r="T1369" i="7"/>
  <c r="G1373" i="7"/>
  <c r="H1373" i="7"/>
  <c r="I1373" i="7"/>
  <c r="J1373" i="7"/>
  <c r="K1373" i="7"/>
  <c r="L1373" i="7"/>
  <c r="M1373" i="7"/>
  <c r="O1373" i="7"/>
  <c r="P1373" i="7"/>
  <c r="Q1373" i="7"/>
  <c r="U1373" i="7"/>
  <c r="V1373" i="7"/>
  <c r="W1373" i="7"/>
  <c r="X1373" i="7"/>
  <c r="G1374" i="7"/>
  <c r="H1374" i="7"/>
  <c r="I1374" i="7"/>
  <c r="J1374" i="7"/>
  <c r="K1374" i="7"/>
  <c r="L1374" i="7"/>
  <c r="M1374" i="7"/>
  <c r="O1374" i="7"/>
  <c r="P1374" i="7"/>
  <c r="Q1374" i="7"/>
  <c r="U1374" i="7"/>
  <c r="V1374" i="7"/>
  <c r="W1374" i="7"/>
  <c r="X1374" i="7"/>
  <c r="G1375" i="7"/>
  <c r="H1375" i="7"/>
  <c r="I1375" i="7"/>
  <c r="J1375" i="7"/>
  <c r="K1375" i="7"/>
  <c r="L1375" i="7"/>
  <c r="M1375" i="7"/>
  <c r="O1375" i="7"/>
  <c r="P1375" i="7"/>
  <c r="Q1375" i="7"/>
  <c r="U1375" i="7"/>
  <c r="V1375" i="7"/>
  <c r="W1375" i="7"/>
  <c r="X1375" i="7"/>
  <c r="G1376" i="7"/>
  <c r="H1376" i="7"/>
  <c r="I1376" i="7"/>
  <c r="J1376" i="7"/>
  <c r="K1376" i="7"/>
  <c r="L1376" i="7"/>
  <c r="M1376" i="7"/>
  <c r="O1376" i="7"/>
  <c r="P1376" i="7"/>
  <c r="Q1376" i="7"/>
  <c r="U1376" i="7"/>
  <c r="V1376" i="7"/>
  <c r="W1376" i="7"/>
  <c r="X1376" i="7"/>
  <c r="G1377" i="7"/>
  <c r="H1377" i="7"/>
  <c r="I1377" i="7"/>
  <c r="J1377" i="7"/>
  <c r="K1377" i="7"/>
  <c r="L1377" i="7"/>
  <c r="M1377" i="7"/>
  <c r="O1377" i="7"/>
  <c r="P1377" i="7"/>
  <c r="Q1377" i="7"/>
  <c r="U1377" i="7"/>
  <c r="V1377" i="7"/>
  <c r="W1377" i="7"/>
  <c r="X1377" i="7"/>
  <c r="G1378" i="7"/>
  <c r="H1378" i="7"/>
  <c r="I1378" i="7"/>
  <c r="J1378" i="7"/>
  <c r="K1378" i="7"/>
  <c r="L1378" i="7"/>
  <c r="M1378" i="7"/>
  <c r="O1378" i="7"/>
  <c r="P1378" i="7"/>
  <c r="Q1378" i="7"/>
  <c r="U1378" i="7"/>
  <c r="V1378" i="7"/>
  <c r="W1378" i="7"/>
  <c r="X1378" i="7"/>
  <c r="G1379" i="7"/>
  <c r="H1379" i="7"/>
  <c r="I1379" i="7"/>
  <c r="J1379" i="7"/>
  <c r="K1379" i="7"/>
  <c r="L1379" i="7"/>
  <c r="M1379" i="7"/>
  <c r="O1379" i="7"/>
  <c r="P1379" i="7"/>
  <c r="Q1379" i="7"/>
  <c r="U1379" i="7"/>
  <c r="V1379" i="7"/>
  <c r="W1379" i="7"/>
  <c r="X1379" i="7"/>
  <c r="G1380" i="7"/>
  <c r="H1380" i="7"/>
  <c r="I1380" i="7"/>
  <c r="J1380" i="7"/>
  <c r="K1380" i="7"/>
  <c r="L1380" i="7"/>
  <c r="M1380" i="7"/>
  <c r="O1380" i="7"/>
  <c r="P1380" i="7"/>
  <c r="Q1380" i="7"/>
  <c r="U1380" i="7"/>
  <c r="V1380" i="7"/>
  <c r="W1380" i="7"/>
  <c r="X1380" i="7"/>
  <c r="G1381" i="7"/>
  <c r="H1381" i="7"/>
  <c r="I1381" i="7"/>
  <c r="J1381" i="7"/>
  <c r="K1381" i="7"/>
  <c r="L1381" i="7"/>
  <c r="M1381" i="7"/>
  <c r="O1381" i="7"/>
  <c r="P1381" i="7"/>
  <c r="Q1381" i="7"/>
  <c r="U1381" i="7"/>
  <c r="V1381" i="7"/>
  <c r="W1381" i="7"/>
  <c r="X1381" i="7"/>
  <c r="G1382" i="7"/>
  <c r="H1382" i="7"/>
  <c r="I1382" i="7"/>
  <c r="J1382" i="7"/>
  <c r="K1382" i="7"/>
  <c r="L1382" i="7"/>
  <c r="M1382" i="7"/>
  <c r="O1382" i="7"/>
  <c r="P1382" i="7"/>
  <c r="Q1382" i="7"/>
  <c r="U1382" i="7"/>
  <c r="V1382" i="7"/>
  <c r="W1382" i="7"/>
  <c r="X1382" i="7"/>
  <c r="G1383" i="7"/>
  <c r="H1383" i="7"/>
  <c r="I1383" i="7"/>
  <c r="J1383" i="7"/>
  <c r="K1383" i="7"/>
  <c r="L1383" i="7"/>
  <c r="M1383" i="7"/>
  <c r="O1383" i="7"/>
  <c r="P1383" i="7"/>
  <c r="Q1383" i="7"/>
  <c r="U1383" i="7"/>
  <c r="V1383" i="7"/>
  <c r="W1383" i="7"/>
  <c r="X1383" i="7"/>
  <c r="G1384" i="7"/>
  <c r="H1384" i="7"/>
  <c r="I1384" i="7"/>
  <c r="J1384" i="7"/>
  <c r="K1384" i="7"/>
  <c r="L1384" i="7"/>
  <c r="M1384" i="7"/>
  <c r="O1384" i="7"/>
  <c r="P1384" i="7"/>
  <c r="Q1384" i="7"/>
  <c r="U1384" i="7"/>
  <c r="V1384" i="7"/>
  <c r="W1384" i="7"/>
  <c r="X1384" i="7"/>
  <c r="X1385" i="7"/>
  <c r="E1389" i="7" a="1"/>
  <c r="E1389" i="7"/>
  <c r="F1389" i="7"/>
  <c r="G1389" i="7"/>
  <c r="I1389" i="7" a="1"/>
  <c r="I1389" i="7"/>
  <c r="J1389" i="7"/>
  <c r="E1390" i="7"/>
  <c r="F1390" i="7"/>
  <c r="G1390" i="7"/>
  <c r="I1390" i="7"/>
  <c r="J1390" i="7"/>
  <c r="E1391" i="7"/>
  <c r="F1391" i="7"/>
  <c r="G1391" i="7"/>
  <c r="J1391" i="7"/>
  <c r="E1392" i="7"/>
  <c r="F1392" i="7"/>
  <c r="G1392" i="7"/>
  <c r="I1392" i="7"/>
  <c r="J1392" i="7"/>
  <c r="E1393" i="7"/>
  <c r="F1393" i="7"/>
  <c r="G1393" i="7"/>
  <c r="I1393" i="7"/>
  <c r="J1393" i="7"/>
  <c r="E1394" i="7"/>
  <c r="F1394" i="7"/>
  <c r="G1394" i="7"/>
  <c r="J1394" i="7"/>
  <c r="E1395" i="7"/>
  <c r="F1395" i="7"/>
  <c r="G1395" i="7"/>
  <c r="J1395" i="7"/>
  <c r="E1396" i="7"/>
  <c r="F1396" i="7"/>
  <c r="G1396" i="7"/>
  <c r="I1396" i="7"/>
  <c r="J1396" i="7"/>
  <c r="E1397" i="7"/>
  <c r="F1397" i="7"/>
  <c r="G1397" i="7"/>
  <c r="J1397" i="7"/>
  <c r="E1398" i="7"/>
  <c r="F1398" i="7"/>
  <c r="G1398" i="7"/>
  <c r="H1398" i="7"/>
  <c r="I1398" i="7"/>
  <c r="J1398" i="7"/>
  <c r="E1399" i="7"/>
  <c r="F1399" i="7"/>
  <c r="G1399" i="7"/>
  <c r="J1399" i="7"/>
  <c r="E1400" i="7"/>
  <c r="F1400" i="7"/>
  <c r="G1400" i="7"/>
  <c r="H1400" i="7"/>
  <c r="I1400" i="7"/>
  <c r="J1400" i="7"/>
  <c r="E1401" i="7"/>
  <c r="F1401" i="7"/>
  <c r="G1401" i="7"/>
  <c r="J1401" i="7"/>
  <c r="E1402" i="7"/>
  <c r="F1402" i="7"/>
  <c r="G1402" i="7"/>
  <c r="J1402" i="7"/>
  <c r="E1403" i="7"/>
  <c r="F1403" i="7"/>
  <c r="G1403" i="7"/>
  <c r="J1403" i="7"/>
  <c r="E1404" i="7"/>
  <c r="F1404" i="7"/>
  <c r="G1404" i="7"/>
  <c r="H1404" i="7"/>
  <c r="I1404" i="7"/>
  <c r="J1404" i="7"/>
  <c r="E1405" i="7"/>
  <c r="F1405" i="7"/>
  <c r="H1405" i="7"/>
  <c r="I1405" i="7"/>
  <c r="J1405" i="7"/>
  <c r="E1406" i="7"/>
  <c r="G1406" i="7"/>
  <c r="I1406" i="7"/>
  <c r="H1413" i="7"/>
  <c r="I1413" i="7"/>
  <c r="J1413" i="7"/>
  <c r="K1413" i="7"/>
  <c r="L1413" i="7"/>
  <c r="M1413" i="7"/>
  <c r="N1413" i="7"/>
  <c r="P1413" i="7"/>
  <c r="Q1413" i="7"/>
  <c r="R1413" i="7"/>
  <c r="T1413" i="7"/>
  <c r="X1413" i="7"/>
  <c r="Y1413" i="7"/>
  <c r="Z1413" i="7"/>
  <c r="AA1413" i="7"/>
  <c r="AC1413" i="7"/>
  <c r="H1414" i="7"/>
  <c r="I1414" i="7"/>
  <c r="J1414" i="7"/>
  <c r="K1414" i="7"/>
  <c r="L1414" i="7"/>
  <c r="M1414" i="7"/>
  <c r="N1414" i="7"/>
  <c r="P1414" i="7"/>
  <c r="Q1414" i="7"/>
  <c r="R1414" i="7"/>
  <c r="T1414" i="7"/>
  <c r="X1414" i="7"/>
  <c r="Y1414" i="7"/>
  <c r="Z1414" i="7"/>
  <c r="AA1414" i="7"/>
  <c r="AC1414" i="7"/>
  <c r="H1415" i="7"/>
  <c r="I1415" i="7"/>
  <c r="J1415" i="7"/>
  <c r="K1415" i="7"/>
  <c r="L1415" i="7"/>
  <c r="M1415" i="7"/>
  <c r="N1415" i="7"/>
  <c r="P1415" i="7"/>
  <c r="Q1415" i="7"/>
  <c r="R1415" i="7"/>
  <c r="T1415" i="7"/>
  <c r="X1415" i="7"/>
  <c r="Y1415" i="7"/>
  <c r="Z1415" i="7"/>
  <c r="AA1415" i="7"/>
  <c r="AC1415" i="7"/>
  <c r="H1416" i="7"/>
  <c r="I1416" i="7"/>
  <c r="J1416" i="7"/>
  <c r="K1416" i="7"/>
  <c r="L1416" i="7"/>
  <c r="M1416" i="7"/>
  <c r="N1416" i="7"/>
  <c r="P1416" i="7"/>
  <c r="Q1416" i="7"/>
  <c r="R1416" i="7"/>
  <c r="T1416" i="7"/>
  <c r="X1416" i="7"/>
  <c r="Y1416" i="7"/>
  <c r="Z1416" i="7"/>
  <c r="AA1416" i="7"/>
  <c r="AC1416" i="7"/>
  <c r="H1417" i="7"/>
  <c r="I1417" i="7"/>
  <c r="J1417" i="7"/>
  <c r="K1417" i="7"/>
  <c r="L1417" i="7"/>
  <c r="M1417" i="7"/>
  <c r="N1417" i="7"/>
  <c r="P1417" i="7"/>
  <c r="Q1417" i="7"/>
  <c r="R1417" i="7"/>
  <c r="T1417" i="7"/>
  <c r="X1417" i="7"/>
  <c r="Y1417" i="7"/>
  <c r="Z1417" i="7"/>
  <c r="AA1417" i="7"/>
  <c r="AC1417" i="7"/>
  <c r="H1418" i="7"/>
  <c r="I1418" i="7"/>
  <c r="J1418" i="7"/>
  <c r="K1418" i="7"/>
  <c r="L1418" i="7"/>
  <c r="M1418" i="7"/>
  <c r="N1418" i="7"/>
  <c r="P1418" i="7"/>
  <c r="Q1418" i="7"/>
  <c r="R1418" i="7"/>
  <c r="T1418" i="7"/>
  <c r="X1418" i="7"/>
  <c r="Y1418" i="7"/>
  <c r="Z1418" i="7"/>
  <c r="AA1418" i="7"/>
  <c r="AC1418" i="7"/>
  <c r="H1419" i="7"/>
  <c r="I1419" i="7"/>
  <c r="J1419" i="7"/>
  <c r="K1419" i="7"/>
  <c r="L1419" i="7"/>
  <c r="M1419" i="7"/>
  <c r="N1419" i="7"/>
  <c r="P1419" i="7"/>
  <c r="Q1419" i="7"/>
  <c r="R1419" i="7"/>
  <c r="T1419" i="7"/>
  <c r="X1419" i="7"/>
  <c r="Y1419" i="7"/>
  <c r="Z1419" i="7"/>
  <c r="AA1419" i="7"/>
  <c r="AC1419" i="7"/>
  <c r="H1420" i="7"/>
  <c r="I1420" i="7"/>
  <c r="J1420" i="7"/>
  <c r="K1420" i="7"/>
  <c r="L1420" i="7"/>
  <c r="M1420" i="7"/>
  <c r="N1420" i="7"/>
  <c r="P1420" i="7"/>
  <c r="Q1420" i="7"/>
  <c r="R1420" i="7"/>
  <c r="T1420" i="7"/>
  <c r="X1420" i="7"/>
  <c r="Y1420" i="7"/>
  <c r="Z1420" i="7"/>
  <c r="AA1420" i="7"/>
  <c r="AC1420" i="7"/>
  <c r="H1421" i="7"/>
  <c r="I1421" i="7"/>
  <c r="J1421" i="7"/>
  <c r="K1421" i="7"/>
  <c r="L1421" i="7"/>
  <c r="M1421" i="7"/>
  <c r="N1421" i="7"/>
  <c r="P1421" i="7"/>
  <c r="Q1421" i="7"/>
  <c r="R1421" i="7"/>
  <c r="T1421" i="7"/>
  <c r="X1421" i="7"/>
  <c r="Y1421" i="7"/>
  <c r="Z1421" i="7"/>
  <c r="AA1421" i="7"/>
  <c r="AC1421" i="7"/>
  <c r="H1422" i="7"/>
  <c r="I1422" i="7"/>
  <c r="J1422" i="7"/>
  <c r="K1422" i="7"/>
  <c r="L1422" i="7"/>
  <c r="M1422" i="7"/>
  <c r="N1422" i="7"/>
  <c r="P1422" i="7"/>
  <c r="Q1422" i="7"/>
  <c r="R1422" i="7"/>
  <c r="T1422" i="7"/>
  <c r="X1422" i="7"/>
  <c r="Y1422" i="7"/>
  <c r="Z1422" i="7"/>
  <c r="AA1422" i="7"/>
  <c r="AC1422" i="7"/>
  <c r="H1423" i="7"/>
  <c r="I1423" i="7"/>
  <c r="J1423" i="7"/>
  <c r="K1423" i="7"/>
  <c r="L1423" i="7"/>
  <c r="M1423" i="7"/>
  <c r="N1423" i="7"/>
  <c r="P1423" i="7"/>
  <c r="Q1423" i="7"/>
  <c r="R1423" i="7"/>
  <c r="T1423" i="7"/>
  <c r="X1423" i="7"/>
  <c r="Y1423" i="7"/>
  <c r="Z1423" i="7"/>
  <c r="AA1423" i="7"/>
  <c r="AC1423" i="7"/>
  <c r="H1424" i="7"/>
  <c r="I1424" i="7"/>
  <c r="J1424" i="7"/>
  <c r="K1424" i="7"/>
  <c r="L1424" i="7"/>
  <c r="M1424" i="7"/>
  <c r="N1424" i="7"/>
  <c r="P1424" i="7"/>
  <c r="Q1424" i="7"/>
  <c r="R1424" i="7"/>
  <c r="T1424" i="7"/>
  <c r="X1424" i="7"/>
  <c r="Y1424" i="7"/>
  <c r="Z1424" i="7"/>
  <c r="AA1424" i="7"/>
  <c r="AC1424" i="7"/>
  <c r="AA1425" i="7"/>
  <c r="E1426" i="7"/>
  <c r="AC1426" i="7"/>
  <c r="E1427" i="7"/>
  <c r="E1428" i="7"/>
  <c r="E1429" i="7"/>
  <c r="M1432" i="7"/>
  <c r="N1432" i="7"/>
  <c r="P1432" i="7"/>
  <c r="Q1432" i="7"/>
  <c r="R1432" i="7"/>
  <c r="S1432" i="7"/>
  <c r="T1432" i="7"/>
  <c r="M1433" i="7"/>
  <c r="N1433" i="7"/>
  <c r="P1433" i="7"/>
  <c r="Q1433" i="7"/>
  <c r="R1433" i="7"/>
  <c r="S1433" i="7"/>
  <c r="T1433" i="7"/>
  <c r="M1434" i="7"/>
  <c r="N1434" i="7"/>
  <c r="P1434" i="7"/>
  <c r="Q1434" i="7"/>
  <c r="R1434" i="7"/>
  <c r="S1434" i="7"/>
  <c r="T1434" i="7"/>
  <c r="M1435" i="7"/>
  <c r="N1435" i="7"/>
  <c r="P1435" i="7"/>
  <c r="Q1435" i="7"/>
  <c r="R1435" i="7"/>
  <c r="S1435" i="7"/>
  <c r="T1435" i="7"/>
  <c r="M1436" i="7"/>
  <c r="N1436" i="7"/>
  <c r="P1436" i="7"/>
  <c r="Q1436" i="7"/>
  <c r="R1436" i="7"/>
  <c r="S1436" i="7"/>
  <c r="T1436" i="7"/>
  <c r="M1437" i="7"/>
  <c r="N1437" i="7"/>
  <c r="P1437" i="7"/>
  <c r="Q1437" i="7"/>
  <c r="R1437" i="7"/>
  <c r="S1437" i="7"/>
  <c r="T1437" i="7"/>
  <c r="M1438" i="7"/>
  <c r="N1438" i="7"/>
  <c r="P1438" i="7"/>
  <c r="Q1438" i="7"/>
  <c r="R1438" i="7"/>
  <c r="S1438" i="7"/>
  <c r="T1438" i="7"/>
  <c r="M1439" i="7"/>
  <c r="N1439" i="7"/>
  <c r="P1439" i="7"/>
  <c r="Q1439" i="7"/>
  <c r="R1439" i="7"/>
  <c r="S1439" i="7"/>
  <c r="T1439" i="7"/>
  <c r="M1440" i="7"/>
  <c r="N1440" i="7"/>
  <c r="P1440" i="7"/>
  <c r="Q1440" i="7"/>
  <c r="R1440" i="7"/>
  <c r="S1440" i="7"/>
  <c r="T1440" i="7"/>
  <c r="M1441" i="7"/>
  <c r="N1441" i="7"/>
  <c r="P1441" i="7"/>
  <c r="Q1441" i="7"/>
  <c r="R1441" i="7"/>
  <c r="S1441" i="7"/>
  <c r="T1441" i="7"/>
  <c r="M1442" i="7"/>
  <c r="N1442" i="7"/>
  <c r="P1442" i="7"/>
  <c r="Q1442" i="7"/>
  <c r="R1442" i="7"/>
  <c r="S1442" i="7"/>
  <c r="T1442" i="7"/>
  <c r="M1443" i="7"/>
  <c r="N1443" i="7"/>
  <c r="P1443" i="7"/>
  <c r="Q1443" i="7"/>
  <c r="R1443" i="7"/>
  <c r="S1443" i="7"/>
  <c r="T1443" i="7"/>
  <c r="R1444" i="7"/>
  <c r="S1444" i="7"/>
  <c r="T1444" i="7"/>
  <c r="E1480" i="7"/>
  <c r="E1482" i="7"/>
  <c r="E1483" i="7"/>
  <c r="E1485" i="7"/>
  <c r="E1486" i="7"/>
  <c r="E1487" i="7"/>
  <c r="E1488" i="7"/>
  <c r="E1489" i="7"/>
  <c r="E1490" i="7"/>
  <c r="E1491" i="7"/>
  <c r="E1492" i="7"/>
  <c r="E1494" i="7"/>
  <c r="E1495" i="7"/>
  <c r="E1496" i="7"/>
  <c r="E1497" i="7"/>
  <c r="E1499" i="7"/>
  <c r="E1500" i="7"/>
  <c r="E1501" i="7"/>
  <c r="E1502" i="7"/>
  <c r="E1504" i="7"/>
  <c r="E1505" i="7"/>
  <c r="E1506" i="7"/>
  <c r="E1507" i="7"/>
  <c r="E1514" i="7"/>
  <c r="E1515" i="7"/>
  <c r="E1516" i="7"/>
  <c r="E1517" i="7"/>
  <c r="E1519" i="7"/>
  <c r="E1520" i="7"/>
  <c r="E1521" i="7"/>
  <c r="E1522" i="7"/>
  <c r="J1529" i="7"/>
  <c r="K1529" i="7"/>
  <c r="M1529" i="7" a="1"/>
  <c r="M1529" i="7"/>
  <c r="N1529" i="7"/>
  <c r="J1530" i="7"/>
  <c r="K1530" i="7"/>
  <c r="M1530" i="7" a="1"/>
  <c r="M1530" i="7"/>
  <c r="J1531" i="7"/>
  <c r="K1531" i="7"/>
  <c r="M1531" i="7" a="1"/>
  <c r="M1531" i="7"/>
  <c r="J1532" i="7"/>
  <c r="K1532" i="7"/>
  <c r="M1532" i="7" a="1"/>
  <c r="M1532" i="7"/>
  <c r="J1533" i="7"/>
  <c r="K1533" i="7"/>
  <c r="M1533" i="7" a="1"/>
  <c r="M1533" i="7"/>
  <c r="J1534" i="7"/>
  <c r="K1534" i="7"/>
  <c r="M1534" i="7" a="1"/>
  <c r="M1534" i="7"/>
  <c r="J1535" i="7"/>
  <c r="K1535" i="7"/>
  <c r="M1535" i="7" a="1"/>
  <c r="M1535" i="7"/>
  <c r="J1536" i="7"/>
  <c r="K1536" i="7"/>
  <c r="M1536" i="7" a="1"/>
  <c r="M1536" i="7"/>
  <c r="J1537" i="7"/>
  <c r="J1538" i="7"/>
  <c r="M1540" i="7"/>
  <c r="G1541" i="7"/>
  <c r="G1542" i="7"/>
  <c r="O1542" i="7"/>
  <c r="G1543" i="7"/>
  <c r="O1543" i="7"/>
  <c r="G1544" i="7"/>
  <c r="O1544" i="7"/>
  <c r="G1545" i="7"/>
  <c r="G1546" i="7"/>
  <c r="G1547" i="7"/>
  <c r="O1547" i="7"/>
  <c r="G1548" i="7"/>
  <c r="O1548" i="7"/>
  <c r="G1550" i="7"/>
  <c r="I1560" i="7"/>
  <c r="J1560" i="7"/>
  <c r="K1560" i="7"/>
  <c r="I1561" i="7"/>
  <c r="J1561" i="7"/>
  <c r="K1561" i="7"/>
  <c r="H1562" i="7"/>
  <c r="I1562" i="7"/>
  <c r="J1562" i="7"/>
  <c r="K1562" i="7"/>
  <c r="F1563" i="7"/>
  <c r="I1563" i="7"/>
  <c r="J1563" i="7"/>
  <c r="K1563" i="7"/>
  <c r="I1564" i="7"/>
  <c r="J1564" i="7"/>
  <c r="K1564" i="7"/>
  <c r="I1565" i="7"/>
  <c r="J1565" i="7"/>
  <c r="K1565" i="7"/>
  <c r="I1566" i="7"/>
  <c r="J1566" i="7"/>
  <c r="K1566" i="7"/>
  <c r="I1567" i="7"/>
  <c r="J1567" i="7"/>
  <c r="K1567" i="7"/>
  <c r="I1568" i="7"/>
  <c r="J1568" i="7"/>
  <c r="K1568" i="7"/>
  <c r="J1569" i="7"/>
  <c r="K1569" i="7"/>
  <c r="I1570" i="7"/>
  <c r="J1570" i="7"/>
  <c r="K1570" i="7"/>
  <c r="I1571" i="7"/>
  <c r="J1571" i="7"/>
  <c r="K1571" i="7"/>
  <c r="E1572" i="7"/>
  <c r="E1573" i="7"/>
  <c r="J1573" i="7"/>
  <c r="E1580" i="7"/>
  <c r="G1580" i="7"/>
  <c r="L1580" i="7"/>
  <c r="P1580" i="7"/>
  <c r="L1581" i="7"/>
  <c r="P1581" i="7"/>
  <c r="E1582" i="7"/>
  <c r="L1582" i="7"/>
  <c r="P1582" i="7"/>
  <c r="L1583" i="7"/>
  <c r="P1583" i="7"/>
  <c r="E1584" i="7"/>
  <c r="L1584" i="7"/>
  <c r="P1584" i="7"/>
  <c r="L1585" i="7"/>
  <c r="E1586" i="7"/>
  <c r="L1587" i="7"/>
  <c r="E1588" i="7"/>
  <c r="L1588" i="7"/>
  <c r="P1588" i="7"/>
  <c r="L1589" i="7"/>
  <c r="P1589" i="7"/>
  <c r="E1590" i="7"/>
  <c r="P1590" i="7"/>
  <c r="E1592" i="7"/>
  <c r="L1592" i="7"/>
  <c r="P1592" i="7"/>
  <c r="L1593" i="7"/>
  <c r="P1593" i="7"/>
  <c r="E1594" i="7"/>
  <c r="P1594" i="7"/>
  <c r="E1595" i="7"/>
  <c r="L1595" i="7"/>
  <c r="E1596" i="7"/>
  <c r="L1596" i="7" a="1"/>
  <c r="L1596" i="7"/>
  <c r="P1596" i="7"/>
  <c r="E1597" i="7"/>
  <c r="L1597" i="7"/>
  <c r="P1597" i="7"/>
  <c r="L1598" i="7"/>
  <c r="P1598" i="7"/>
  <c r="L1599" i="7"/>
  <c r="P1599" i="7"/>
  <c r="L1600" i="7"/>
  <c r="E1601" i="7"/>
  <c r="P1601" i="7"/>
  <c r="L1602" i="7"/>
  <c r="P1602" i="7"/>
  <c r="E1603" i="7"/>
  <c r="L1603" i="7"/>
  <c r="P1603" i="7"/>
  <c r="E1604" i="7"/>
  <c r="L1604" i="7"/>
  <c r="E1605" i="7"/>
  <c r="L1605" i="7"/>
  <c r="E1606" i="7"/>
  <c r="L1606" i="7"/>
  <c r="E1607" i="7"/>
  <c r="L1607" i="7"/>
  <c r="E1608" i="7"/>
  <c r="L1608" i="7"/>
  <c r="P1608" i="7"/>
  <c r="E1609" i="7"/>
  <c r="E1610" i="7"/>
  <c r="P1612" i="7"/>
  <c r="E1613" i="7"/>
  <c r="E1614" i="7"/>
  <c r="P1614" i="7"/>
  <c r="P1615" i="7"/>
  <c r="P1616" i="7"/>
  <c r="P1617" i="7"/>
  <c r="E1618" i="7"/>
  <c r="F1618" i="7"/>
  <c r="P1618" i="7"/>
  <c r="E1619" i="7"/>
  <c r="F1619" i="7"/>
  <c r="P1619" i="7"/>
  <c r="E1620" i="7"/>
  <c r="F1620" i="7"/>
  <c r="P1620" i="7"/>
  <c r="E1621" i="7"/>
  <c r="F1621" i="7"/>
  <c r="P1621" i="7"/>
  <c r="P1622" i="7"/>
  <c r="E1624" i="7"/>
  <c r="F1624" i="7"/>
  <c r="E1625" i="7"/>
  <c r="F1625" i="7"/>
  <c r="E1626" i="7"/>
  <c r="F1626" i="7"/>
  <c r="E1627" i="7"/>
  <c r="F1627" i="7"/>
  <c r="E1628" i="7"/>
  <c r="F1628" i="7"/>
  <c r="E1629" i="7"/>
  <c r="F1629" i="7"/>
  <c r="E1630" i="7"/>
  <c r="F1630" i="7"/>
  <c r="E1633" i="7"/>
  <c r="F1633" i="7"/>
  <c r="G1633" i="7"/>
  <c r="H1633" i="7"/>
  <c r="I1633" i="7"/>
  <c r="J1633" i="7"/>
  <c r="K1633" i="7"/>
  <c r="L1633" i="7"/>
  <c r="M1633" i="7"/>
  <c r="N1633" i="7"/>
  <c r="O1633" i="7"/>
  <c r="P1633" i="7"/>
  <c r="Q1633" i="7"/>
  <c r="R1633" i="7"/>
  <c r="S1633" i="7"/>
  <c r="T1633" i="7"/>
  <c r="U1633" i="7"/>
  <c r="V1633" i="7"/>
  <c r="Y1633" i="7"/>
  <c r="Z1633" i="7"/>
  <c r="AA1633" i="7"/>
  <c r="AB1633" i="7"/>
  <c r="AC1633" i="7"/>
  <c r="AD1633" i="7"/>
  <c r="AE1633" i="7"/>
  <c r="AF1633" i="7"/>
  <c r="AG1633" i="7"/>
  <c r="AH1633" i="7"/>
  <c r="AI1633" i="7"/>
  <c r="AJ1633" i="7"/>
  <c r="AK1633" i="7"/>
  <c r="AL1633" i="7"/>
  <c r="AM1633" i="7"/>
  <c r="AN1633" i="7"/>
  <c r="AO1633" i="7"/>
  <c r="AP1633" i="7"/>
  <c r="E1634" i="7"/>
  <c r="F1634" i="7"/>
  <c r="G1634" i="7"/>
  <c r="H1634" i="7"/>
  <c r="I1634" i="7"/>
  <c r="J1634" i="7"/>
  <c r="K1634" i="7"/>
  <c r="L1634" i="7"/>
  <c r="M1634" i="7"/>
  <c r="N1634" i="7"/>
  <c r="O1634" i="7"/>
  <c r="P1634" i="7"/>
  <c r="Q1634" i="7"/>
  <c r="R1634" i="7"/>
  <c r="S1634" i="7"/>
  <c r="T1634" i="7"/>
  <c r="U1634" i="7"/>
  <c r="V1634" i="7"/>
  <c r="Y1634" i="7"/>
  <c r="Z1634" i="7"/>
  <c r="AA1634" i="7"/>
  <c r="AB1634" i="7"/>
  <c r="AC1634" i="7"/>
  <c r="AD1634" i="7"/>
  <c r="AE1634" i="7"/>
  <c r="AF1634" i="7"/>
  <c r="AG1634" i="7"/>
  <c r="AH1634" i="7"/>
  <c r="AI1634" i="7"/>
  <c r="AJ1634" i="7"/>
  <c r="AK1634" i="7"/>
  <c r="AL1634" i="7"/>
  <c r="AM1634" i="7"/>
  <c r="AN1634" i="7"/>
  <c r="AO1634" i="7"/>
  <c r="AP1634" i="7"/>
  <c r="Y1635" i="7"/>
  <c r="Z1635" i="7"/>
  <c r="AA1635" i="7"/>
  <c r="AB1635" i="7"/>
  <c r="AC1635" i="7"/>
  <c r="AD1635" i="7"/>
  <c r="AE1635" i="7"/>
  <c r="AF1635" i="7"/>
  <c r="AG1635" i="7"/>
  <c r="AH1635" i="7"/>
  <c r="AI1635" i="7"/>
  <c r="AJ1635" i="7"/>
  <c r="AK1635" i="7"/>
  <c r="AL1635" i="7"/>
  <c r="AM1635" i="7"/>
  <c r="AN1635" i="7"/>
  <c r="AO1635" i="7"/>
  <c r="AP1635" i="7"/>
  <c r="E1636" i="7" a="1"/>
  <c r="E1636" i="7"/>
  <c r="F1636" i="7" a="1"/>
  <c r="F1636" i="7"/>
  <c r="G1636" i="7" a="1"/>
  <c r="G1636" i="7"/>
  <c r="H1636" i="7" a="1"/>
  <c r="H1636" i="7"/>
  <c r="I1636" i="7" a="1"/>
  <c r="I1636" i="7"/>
  <c r="J1636" i="7" a="1"/>
  <c r="J1636" i="7"/>
  <c r="K1636" i="7" a="1"/>
  <c r="K1636" i="7"/>
  <c r="L1636" i="7" a="1"/>
  <c r="L1636" i="7"/>
  <c r="M1636" i="7" a="1"/>
  <c r="M1636" i="7"/>
  <c r="N1636" i="7" a="1"/>
  <c r="N1636" i="7"/>
  <c r="O1636" i="7" a="1"/>
  <c r="O1636" i="7"/>
  <c r="P1636" i="7" a="1"/>
  <c r="P1636" i="7"/>
  <c r="Q1636" i="7" a="1"/>
  <c r="Q1636" i="7"/>
  <c r="R1636" i="7" a="1"/>
  <c r="R1636" i="7"/>
  <c r="S1636" i="7" a="1"/>
  <c r="S1636" i="7"/>
  <c r="T1636" i="7" a="1"/>
  <c r="T1636" i="7"/>
  <c r="U1636" i="7" a="1"/>
  <c r="U1636" i="7"/>
  <c r="V1636" i="7" a="1"/>
  <c r="V1636" i="7"/>
  <c r="Y1636" i="7"/>
  <c r="Z1636" i="7"/>
  <c r="AA1636" i="7"/>
  <c r="AB1636" i="7"/>
  <c r="AC1636" i="7"/>
  <c r="AD1636" i="7"/>
  <c r="AE1636" i="7"/>
  <c r="AF1636" i="7"/>
  <c r="AG1636" i="7"/>
  <c r="AH1636" i="7"/>
  <c r="AI1636" i="7"/>
  <c r="AJ1636" i="7"/>
  <c r="AK1636" i="7"/>
  <c r="AL1636" i="7"/>
  <c r="AM1636" i="7"/>
  <c r="AN1636" i="7"/>
  <c r="AO1636" i="7"/>
  <c r="AP1636" i="7"/>
  <c r="E1637" i="7" a="1"/>
  <c r="E1637" i="7"/>
  <c r="F1637" i="7" a="1"/>
  <c r="F1637" i="7"/>
  <c r="G1637" i="7" a="1"/>
  <c r="G1637" i="7"/>
  <c r="H1637" i="7" a="1"/>
  <c r="H1637" i="7"/>
  <c r="I1637" i="7" a="1"/>
  <c r="I1637" i="7"/>
  <c r="J1637" i="7" a="1"/>
  <c r="J1637" i="7"/>
  <c r="K1637" i="7" a="1"/>
  <c r="K1637" i="7"/>
  <c r="L1637" i="7" a="1"/>
  <c r="L1637" i="7"/>
  <c r="M1637" i="7" a="1"/>
  <c r="M1637" i="7"/>
  <c r="N1637" i="7" a="1"/>
  <c r="N1637" i="7"/>
  <c r="O1637" i="7" a="1"/>
  <c r="O1637" i="7"/>
  <c r="P1637" i="7" a="1"/>
  <c r="P1637" i="7"/>
  <c r="Q1637" i="7" a="1"/>
  <c r="Q1637" i="7"/>
  <c r="R1637" i="7" a="1"/>
  <c r="R1637" i="7"/>
  <c r="S1637" i="7" a="1"/>
  <c r="S1637" i="7"/>
  <c r="T1637" i="7" a="1"/>
  <c r="T1637" i="7"/>
  <c r="U1637" i="7" a="1"/>
  <c r="U1637" i="7"/>
  <c r="V1637" i="7" a="1"/>
  <c r="V1637" i="7"/>
  <c r="Y1637" i="7"/>
  <c r="Z1637" i="7"/>
  <c r="AA1637" i="7"/>
  <c r="AB1637" i="7"/>
  <c r="AC1637" i="7"/>
  <c r="AD1637" i="7"/>
  <c r="AE1637" i="7"/>
  <c r="AF1637" i="7"/>
  <c r="AG1637" i="7"/>
  <c r="AH1637" i="7"/>
  <c r="AI1637" i="7"/>
  <c r="AJ1637" i="7"/>
  <c r="AK1637" i="7"/>
  <c r="AL1637" i="7"/>
  <c r="AM1637" i="7"/>
  <c r="AN1637" i="7"/>
  <c r="AO1637" i="7"/>
  <c r="AP1637" i="7"/>
  <c r="E1638" i="7"/>
  <c r="F1638" i="7"/>
  <c r="G1638" i="7"/>
  <c r="H1638" i="7"/>
  <c r="I1638" i="7"/>
  <c r="J1638" i="7"/>
  <c r="K1638" i="7"/>
  <c r="L1638" i="7"/>
  <c r="M1638" i="7"/>
  <c r="N1638" i="7"/>
  <c r="O1638" i="7"/>
  <c r="P1638" i="7"/>
  <c r="Q1638" i="7"/>
  <c r="R1638" i="7"/>
  <c r="S1638" i="7"/>
  <c r="T1638" i="7"/>
  <c r="U1638" i="7"/>
  <c r="V1638" i="7"/>
  <c r="Y1638" i="7"/>
  <c r="Z1638" i="7"/>
  <c r="AA1638" i="7"/>
  <c r="AB1638" i="7"/>
  <c r="AC1638" i="7"/>
  <c r="AD1638" i="7"/>
  <c r="AE1638" i="7"/>
  <c r="AF1638" i="7"/>
  <c r="AG1638" i="7"/>
  <c r="AH1638" i="7"/>
  <c r="AI1638" i="7"/>
  <c r="AJ1638" i="7"/>
  <c r="AK1638" i="7"/>
  <c r="AL1638" i="7"/>
  <c r="AM1638" i="7"/>
  <c r="AN1638" i="7"/>
  <c r="AO1638" i="7"/>
  <c r="AP1638" i="7"/>
  <c r="E1639" i="7"/>
  <c r="F1639" i="7"/>
  <c r="G1639" i="7"/>
  <c r="H1639" i="7"/>
  <c r="I1639" i="7"/>
  <c r="J1639" i="7"/>
  <c r="K1639" i="7"/>
  <c r="L1639" i="7"/>
  <c r="M1639" i="7"/>
  <c r="N1639" i="7"/>
  <c r="O1639" i="7"/>
  <c r="P1639" i="7"/>
  <c r="Q1639" i="7"/>
  <c r="R1639" i="7"/>
  <c r="S1639" i="7"/>
  <c r="T1639" i="7"/>
  <c r="U1639" i="7"/>
  <c r="V1639" i="7"/>
  <c r="Y1639" i="7"/>
  <c r="Z1639" i="7"/>
  <c r="AA1639" i="7"/>
  <c r="AB1639" i="7"/>
  <c r="AC1639" i="7"/>
  <c r="AD1639" i="7"/>
  <c r="AE1639" i="7"/>
  <c r="AF1639" i="7"/>
  <c r="AG1639" i="7"/>
  <c r="AH1639" i="7"/>
  <c r="AI1639" i="7"/>
  <c r="AJ1639" i="7"/>
  <c r="AK1639" i="7"/>
  <c r="AL1639" i="7"/>
  <c r="AM1639" i="7"/>
  <c r="AN1639" i="7"/>
  <c r="AO1639" i="7"/>
  <c r="AP1639" i="7"/>
  <c r="E1640" i="7"/>
  <c r="F1640" i="7"/>
  <c r="G1640" i="7"/>
  <c r="H1640" i="7"/>
  <c r="I1640" i="7"/>
  <c r="J1640" i="7"/>
  <c r="K1640" i="7"/>
  <c r="L1640" i="7"/>
  <c r="M1640" i="7"/>
  <c r="N1640" i="7"/>
  <c r="O1640" i="7"/>
  <c r="P1640" i="7"/>
  <c r="Q1640" i="7"/>
  <c r="R1640" i="7"/>
  <c r="S1640" i="7"/>
  <c r="T1640" i="7"/>
  <c r="U1640" i="7"/>
  <c r="V1640" i="7"/>
  <c r="Y1640" i="7"/>
  <c r="Z1640" i="7"/>
  <c r="AA1640" i="7"/>
  <c r="AB1640" i="7"/>
  <c r="AC1640" i="7"/>
  <c r="AD1640" i="7"/>
  <c r="AE1640" i="7"/>
  <c r="AF1640" i="7"/>
  <c r="AG1640" i="7"/>
  <c r="AH1640" i="7"/>
  <c r="AI1640" i="7"/>
  <c r="AJ1640" i="7"/>
  <c r="AK1640" i="7"/>
  <c r="AL1640" i="7"/>
  <c r="AM1640" i="7"/>
  <c r="AN1640" i="7"/>
  <c r="AO1640" i="7"/>
  <c r="AP1640" i="7"/>
  <c r="E1641" i="7"/>
  <c r="F1641" i="7"/>
  <c r="G1641" i="7"/>
  <c r="H1641" i="7"/>
  <c r="I1641" i="7"/>
  <c r="J1641" i="7"/>
  <c r="K1641" i="7"/>
  <c r="L1641" i="7"/>
  <c r="M1641" i="7"/>
  <c r="N1641" i="7"/>
  <c r="O1641" i="7"/>
  <c r="P1641" i="7"/>
  <c r="Q1641" i="7"/>
  <c r="R1641" i="7"/>
  <c r="S1641" i="7"/>
  <c r="T1641" i="7"/>
  <c r="U1641" i="7"/>
  <c r="V1641" i="7"/>
  <c r="Y1641" i="7"/>
  <c r="Z1641" i="7"/>
  <c r="AA1641" i="7"/>
  <c r="AB1641" i="7"/>
  <c r="AC1641" i="7"/>
  <c r="AD1641" i="7"/>
  <c r="AE1641" i="7"/>
  <c r="AF1641" i="7"/>
  <c r="AG1641" i="7"/>
  <c r="AH1641" i="7"/>
  <c r="AI1641" i="7"/>
  <c r="AJ1641" i="7"/>
  <c r="AK1641" i="7"/>
  <c r="AL1641" i="7"/>
  <c r="AM1641" i="7"/>
  <c r="AN1641" i="7"/>
  <c r="AO1641" i="7"/>
  <c r="AP1641" i="7"/>
  <c r="E1642" i="7" a="1"/>
  <c r="E1642" i="7"/>
  <c r="F1642" i="7" a="1"/>
  <c r="F1642" i="7"/>
  <c r="G1642" i="7" a="1"/>
  <c r="G1642" i="7"/>
  <c r="H1642" i="7" a="1"/>
  <c r="H1642" i="7"/>
  <c r="I1642" i="7" a="1"/>
  <c r="I1642" i="7"/>
  <c r="J1642" i="7" a="1"/>
  <c r="J1642" i="7"/>
  <c r="K1642" i="7" a="1"/>
  <c r="K1642" i="7"/>
  <c r="L1642" i="7" a="1"/>
  <c r="L1642" i="7"/>
  <c r="M1642" i="7" a="1"/>
  <c r="M1642" i="7"/>
  <c r="N1642" i="7" a="1"/>
  <c r="N1642" i="7"/>
  <c r="O1642" i="7" a="1"/>
  <c r="O1642" i="7"/>
  <c r="P1642" i="7" a="1"/>
  <c r="P1642" i="7"/>
  <c r="Q1642" i="7" a="1"/>
  <c r="Q1642" i="7"/>
  <c r="R1642" i="7" a="1"/>
  <c r="R1642" i="7"/>
  <c r="S1642" i="7" a="1"/>
  <c r="S1642" i="7"/>
  <c r="T1642" i="7" a="1"/>
  <c r="T1642" i="7"/>
  <c r="U1642" i="7" a="1"/>
  <c r="U1642" i="7"/>
  <c r="V1642" i="7" a="1"/>
  <c r="V1642" i="7"/>
  <c r="Y1642" i="7"/>
  <c r="Z1642" i="7"/>
  <c r="AA1642" i="7"/>
  <c r="AB1642" i="7"/>
  <c r="AC1642" i="7"/>
  <c r="AD1642" i="7"/>
  <c r="AE1642" i="7"/>
  <c r="AF1642" i="7"/>
  <c r="AG1642" i="7"/>
  <c r="AH1642" i="7"/>
  <c r="AI1642" i="7"/>
  <c r="AJ1642" i="7"/>
  <c r="AK1642" i="7"/>
  <c r="AL1642" i="7"/>
  <c r="AM1642" i="7"/>
  <c r="AN1642" i="7"/>
  <c r="AO1642" i="7"/>
  <c r="AP1642" i="7"/>
  <c r="E1643" i="7"/>
  <c r="F1643" i="7"/>
  <c r="G1643" i="7"/>
  <c r="H1643" i="7"/>
  <c r="I1643" i="7"/>
  <c r="J1643" i="7"/>
  <c r="K1643" i="7"/>
  <c r="L1643" i="7"/>
  <c r="M1643" i="7"/>
  <c r="N1643" i="7"/>
  <c r="O1643" i="7"/>
  <c r="P1643" i="7"/>
  <c r="Q1643" i="7"/>
  <c r="R1643" i="7"/>
  <c r="S1643" i="7"/>
  <c r="T1643" i="7"/>
  <c r="U1643" i="7"/>
  <c r="V1643" i="7"/>
  <c r="Y1643" i="7"/>
  <c r="Z1643" i="7"/>
  <c r="AA1643" i="7"/>
  <c r="AB1643" i="7"/>
  <c r="AC1643" i="7"/>
  <c r="AD1643" i="7"/>
  <c r="AE1643" i="7"/>
  <c r="AF1643" i="7"/>
  <c r="AG1643" i="7"/>
  <c r="AH1643" i="7"/>
  <c r="AI1643" i="7"/>
  <c r="AJ1643" i="7"/>
  <c r="AK1643" i="7"/>
  <c r="AL1643" i="7"/>
  <c r="AM1643" i="7"/>
  <c r="AN1643" i="7"/>
  <c r="AO1643" i="7"/>
  <c r="AP1643" i="7"/>
  <c r="E1644" i="7"/>
  <c r="F1644" i="7"/>
  <c r="G1644" i="7"/>
  <c r="H1644" i="7"/>
  <c r="I1644" i="7"/>
  <c r="J1644" i="7"/>
  <c r="K1644" i="7"/>
  <c r="L1644" i="7"/>
  <c r="M1644" i="7"/>
  <c r="N1644" i="7"/>
  <c r="O1644" i="7"/>
  <c r="P1644" i="7"/>
  <c r="Q1644" i="7"/>
  <c r="R1644" i="7"/>
  <c r="S1644" i="7"/>
  <c r="T1644" i="7"/>
  <c r="U1644" i="7"/>
  <c r="V1644" i="7"/>
  <c r="Y1644" i="7"/>
  <c r="Z1644" i="7"/>
  <c r="AA1644" i="7"/>
  <c r="AB1644" i="7"/>
  <c r="AC1644" i="7"/>
  <c r="AD1644" i="7"/>
  <c r="AE1644" i="7"/>
  <c r="AF1644" i="7"/>
  <c r="AG1644" i="7"/>
  <c r="AH1644" i="7"/>
  <c r="AI1644" i="7"/>
  <c r="AJ1644" i="7"/>
  <c r="AK1644" i="7"/>
  <c r="AL1644" i="7"/>
  <c r="AM1644" i="7"/>
  <c r="AN1644" i="7"/>
  <c r="AO1644" i="7"/>
  <c r="AP1644" i="7"/>
  <c r="E1645" i="7"/>
  <c r="F1645" i="7"/>
  <c r="G1645" i="7"/>
  <c r="H1645" i="7"/>
  <c r="I1645" i="7"/>
  <c r="J1645" i="7"/>
  <c r="K1645" i="7"/>
  <c r="L1645" i="7"/>
  <c r="M1645" i="7"/>
  <c r="N1645" i="7"/>
  <c r="O1645" i="7"/>
  <c r="P1645" i="7"/>
  <c r="Q1645" i="7"/>
  <c r="R1645" i="7"/>
  <c r="S1645" i="7"/>
  <c r="T1645" i="7"/>
  <c r="U1645" i="7"/>
  <c r="V1645" i="7"/>
  <c r="Y1645" i="7"/>
  <c r="Z1645" i="7"/>
  <c r="AA1645" i="7"/>
  <c r="AB1645" i="7"/>
  <c r="AC1645" i="7"/>
  <c r="AD1645" i="7"/>
  <c r="AE1645" i="7"/>
  <c r="AF1645" i="7"/>
  <c r="AG1645" i="7"/>
  <c r="AH1645" i="7"/>
  <c r="AI1645" i="7"/>
  <c r="AJ1645" i="7"/>
  <c r="AK1645" i="7"/>
  <c r="AL1645" i="7"/>
  <c r="AM1645" i="7"/>
  <c r="AN1645" i="7"/>
  <c r="AO1645" i="7"/>
  <c r="AP1645" i="7"/>
  <c r="E1646" i="7"/>
  <c r="F1646" i="7"/>
  <c r="G1646" i="7"/>
  <c r="H1646" i="7"/>
  <c r="I1646" i="7"/>
  <c r="J1646" i="7"/>
  <c r="K1646" i="7"/>
  <c r="L1646" i="7"/>
  <c r="M1646" i="7"/>
  <c r="N1646" i="7"/>
  <c r="O1646" i="7"/>
  <c r="P1646" i="7"/>
  <c r="Q1646" i="7"/>
  <c r="R1646" i="7"/>
  <c r="S1646" i="7"/>
  <c r="T1646" i="7"/>
  <c r="U1646" i="7"/>
  <c r="V1646" i="7"/>
  <c r="Y1646" i="7"/>
  <c r="Z1646" i="7"/>
  <c r="AA1646" i="7"/>
  <c r="AB1646" i="7"/>
  <c r="AC1646" i="7"/>
  <c r="AD1646" i="7"/>
  <c r="AE1646" i="7"/>
  <c r="AF1646" i="7"/>
  <c r="AG1646" i="7"/>
  <c r="AH1646" i="7"/>
  <c r="AI1646" i="7"/>
  <c r="AJ1646" i="7"/>
  <c r="AK1646" i="7"/>
  <c r="AL1646" i="7"/>
  <c r="AM1646" i="7"/>
  <c r="AN1646" i="7"/>
  <c r="AO1646" i="7"/>
  <c r="AP1646" i="7"/>
  <c r="E1647" i="7"/>
  <c r="F1647" i="7"/>
  <c r="G1647" i="7"/>
  <c r="H1647" i="7"/>
  <c r="I1647" i="7"/>
  <c r="J1647" i="7"/>
  <c r="K1647" i="7"/>
  <c r="L1647" i="7"/>
  <c r="M1647" i="7"/>
  <c r="N1647" i="7"/>
  <c r="O1647" i="7"/>
  <c r="P1647" i="7"/>
  <c r="Q1647" i="7"/>
  <c r="R1647" i="7"/>
  <c r="S1647" i="7"/>
  <c r="T1647" i="7"/>
  <c r="U1647" i="7"/>
  <c r="V1647" i="7"/>
  <c r="E1648" i="7"/>
  <c r="F1648" i="7"/>
  <c r="G1648" i="7"/>
  <c r="H1648" i="7"/>
  <c r="I1648" i="7"/>
  <c r="J1648" i="7"/>
  <c r="K1648" i="7"/>
  <c r="L1648" i="7"/>
  <c r="M1648" i="7"/>
  <c r="N1648" i="7"/>
  <c r="O1648" i="7"/>
  <c r="P1648" i="7"/>
  <c r="Q1648" i="7"/>
  <c r="R1648" i="7"/>
  <c r="S1648" i="7"/>
  <c r="T1648" i="7"/>
  <c r="U1648" i="7"/>
  <c r="V1648" i="7"/>
  <c r="E1660" i="7"/>
  <c r="E1661" i="7"/>
  <c r="E1662" i="7"/>
  <c r="I1665" i="7"/>
  <c r="J1665" i="7"/>
  <c r="K1665" i="7"/>
  <c r="N1665" i="7"/>
  <c r="P1665" i="7"/>
  <c r="Q1665" i="7"/>
  <c r="R1665" i="7"/>
  <c r="S1665" i="7"/>
  <c r="T1665" i="7"/>
  <c r="U1665" i="7"/>
  <c r="I1666" i="7"/>
  <c r="J1666" i="7"/>
  <c r="K1666" i="7"/>
  <c r="N1666" i="7"/>
  <c r="P1666" i="7"/>
  <c r="I1667" i="7"/>
  <c r="J1667" i="7"/>
  <c r="K1667" i="7"/>
  <c r="N1667" i="7"/>
  <c r="P1667" i="7"/>
  <c r="I1668" i="7"/>
  <c r="J1668" i="7"/>
  <c r="K1668" i="7"/>
  <c r="N1668" i="7"/>
  <c r="P1668" i="7"/>
  <c r="Q1668" i="7"/>
  <c r="I1670" i="7"/>
  <c r="J1670" i="7"/>
  <c r="K1670" i="7"/>
  <c r="N1670" i="7"/>
  <c r="P1670" i="7"/>
  <c r="Q1670" i="7"/>
  <c r="I1671" i="7"/>
  <c r="J1671" i="7"/>
  <c r="K1671" i="7"/>
  <c r="N1671" i="7"/>
  <c r="P1671" i="7"/>
  <c r="Q1671" i="7"/>
  <c r="J1672" i="7"/>
  <c r="K1672" i="7"/>
  <c r="N1672" i="7"/>
  <c r="P1672" i="7"/>
  <c r="Q1672" i="7"/>
  <c r="P1673" i="7"/>
  <c r="M1688" i="7"/>
  <c r="P1688" i="7"/>
  <c r="M1689" i="7"/>
  <c r="M1691" i="7"/>
  <c r="M1692" i="7"/>
  <c r="M1695" i="7"/>
  <c r="M1696" i="7"/>
  <c r="M1697" i="7"/>
  <c r="E1698" i="7"/>
  <c r="M1698" i="7"/>
  <c r="E1699" i="7"/>
  <c r="F1699" i="7"/>
  <c r="G1699" i="7"/>
  <c r="E1700" i="7"/>
  <c r="F1700" i="7"/>
  <c r="G1700" i="7"/>
  <c r="F1701" i="7"/>
  <c r="G1701" i="7"/>
  <c r="F246" i="5" a="1"/>
  <c r="F246" i="5"/>
  <c r="F370" i="5"/>
  <c r="F451" i="5"/>
  <c r="F457" i="5"/>
  <c r="F461" i="5"/>
  <c r="F463" i="5"/>
  <c r="F465" i="5"/>
  <c r="F524" i="5"/>
  <c r="F526" i="5"/>
  <c r="F548" i="5"/>
  <c r="F550" i="5"/>
  <c r="F557" i="5"/>
  <c r="G557" i="5"/>
  <c r="H557" i="5"/>
  <c r="G559" i="5"/>
  <c r="H559" i="5"/>
  <c r="F561" i="5"/>
  <c r="G561" i="5"/>
  <c r="H561" i="5"/>
  <c r="F573" i="5"/>
  <c r="G573" i="5"/>
  <c r="H573" i="5"/>
  <c r="G575" i="5"/>
  <c r="H575" i="5"/>
  <c r="F577" i="5"/>
  <c r="G577" i="5"/>
  <c r="H577" i="5"/>
  <c r="F579" i="5"/>
  <c r="G579" i="5"/>
  <c r="H579" i="5"/>
  <c r="F581" i="5"/>
  <c r="G581" i="5"/>
  <c r="H581" i="5"/>
  <c r="F583" i="5"/>
  <c r="G583" i="5"/>
  <c r="H583" i="5"/>
  <c r="F589" i="5"/>
  <c r="F601" i="5"/>
  <c r="F631" i="5"/>
  <c r="F637" i="5"/>
  <c r="F641" i="5"/>
  <c r="F643" i="5"/>
  <c r="E769" i="5"/>
  <c r="E772" i="5"/>
  <c r="F772" i="5"/>
  <c r="G772" i="5"/>
  <c r="H772" i="5"/>
  <c r="I772" i="5"/>
  <c r="J772" i="5"/>
  <c r="K772" i="5"/>
  <c r="L772" i="5"/>
  <c r="M772" i="5"/>
  <c r="N772" i="5"/>
  <c r="O772" i="5"/>
  <c r="P772" i="5"/>
  <c r="Q772" i="5"/>
  <c r="R772" i="5"/>
  <c r="S772" i="5"/>
  <c r="T772" i="5"/>
  <c r="U772" i="5"/>
  <c r="V772" i="5"/>
  <c r="E786" i="5"/>
  <c r="F786" i="5"/>
  <c r="G786" i="5"/>
  <c r="H786" i="5"/>
  <c r="K786" i="5"/>
  <c r="L786" i="5"/>
  <c r="M786" i="5"/>
  <c r="O786" i="5"/>
  <c r="P786" i="5"/>
  <c r="Q786" i="5"/>
  <c r="R786" i="5"/>
  <c r="T786" i="5"/>
  <c r="V786" i="5"/>
  <c r="X786" i="5"/>
  <c r="Y786" i="5"/>
  <c r="Z786" i="5"/>
  <c r="AA786" i="5"/>
  <c r="AB786" i="5"/>
  <c r="AC786" i="5"/>
  <c r="AD786" i="5"/>
  <c r="AE786" i="5"/>
  <c r="AF786" i="5"/>
  <c r="AG786" i="5"/>
  <c r="AH786" i="5"/>
  <c r="AI786" i="5"/>
  <c r="AJ786" i="5"/>
  <c r="AK786" i="5"/>
  <c r="AL786" i="5"/>
  <c r="AM786" i="5"/>
  <c r="AN786" i="5"/>
  <c r="AO786" i="5"/>
  <c r="AP786" i="5"/>
  <c r="AQ786" i="5"/>
  <c r="E787" i="5"/>
  <c r="F787" i="5"/>
  <c r="G787" i="5"/>
  <c r="H787" i="5"/>
  <c r="K787" i="5"/>
  <c r="L787" i="5"/>
  <c r="M787" i="5"/>
  <c r="O787" i="5"/>
  <c r="P787" i="5"/>
  <c r="Q787" i="5"/>
  <c r="R787" i="5"/>
  <c r="T787" i="5"/>
  <c r="V787" i="5"/>
  <c r="X787" i="5"/>
  <c r="Y787" i="5"/>
  <c r="Z787" i="5"/>
  <c r="AA787" i="5"/>
  <c r="AB787" i="5"/>
  <c r="AC787" i="5"/>
  <c r="AD787" i="5"/>
  <c r="AE787" i="5"/>
  <c r="AF787" i="5"/>
  <c r="AG787" i="5"/>
  <c r="AH787" i="5"/>
  <c r="AI787" i="5"/>
  <c r="AJ787" i="5"/>
  <c r="AK787" i="5"/>
  <c r="AL787" i="5"/>
  <c r="AM787" i="5"/>
  <c r="AN787" i="5"/>
  <c r="AO787" i="5"/>
  <c r="AP787" i="5"/>
  <c r="AQ787" i="5"/>
  <c r="E788" i="5"/>
  <c r="F788" i="5"/>
  <c r="G788" i="5"/>
  <c r="H788" i="5"/>
  <c r="K788" i="5"/>
  <c r="L788" i="5"/>
  <c r="M788" i="5"/>
  <c r="O788" i="5"/>
  <c r="P788" i="5"/>
  <c r="Q788" i="5"/>
  <c r="R788" i="5"/>
  <c r="T788" i="5"/>
  <c r="V788" i="5"/>
  <c r="X788" i="5"/>
  <c r="Y788" i="5"/>
  <c r="Z788" i="5"/>
  <c r="AA788" i="5"/>
  <c r="AB788" i="5"/>
  <c r="AC788" i="5"/>
  <c r="AD788" i="5"/>
  <c r="AE788" i="5"/>
  <c r="AF788" i="5"/>
  <c r="AG788" i="5"/>
  <c r="AH788" i="5"/>
  <c r="AI788" i="5"/>
  <c r="AJ788" i="5"/>
  <c r="AK788" i="5"/>
  <c r="AL788" i="5"/>
  <c r="AM788" i="5"/>
  <c r="AN788" i="5"/>
  <c r="AO788" i="5"/>
  <c r="AP788" i="5"/>
  <c r="AQ788" i="5"/>
  <c r="E789" i="5"/>
  <c r="F789" i="5"/>
  <c r="G789" i="5"/>
  <c r="H789" i="5"/>
  <c r="K789" i="5"/>
  <c r="L789" i="5"/>
  <c r="M789" i="5"/>
  <c r="O789" i="5"/>
  <c r="P789" i="5"/>
  <c r="Q789" i="5"/>
  <c r="R789" i="5"/>
  <c r="T789" i="5"/>
  <c r="V789" i="5"/>
  <c r="X789" i="5"/>
  <c r="Y789" i="5"/>
  <c r="Z789" i="5"/>
  <c r="AA789" i="5"/>
  <c r="AB789" i="5"/>
  <c r="AC789" i="5"/>
  <c r="AD789" i="5"/>
  <c r="AE789" i="5"/>
  <c r="AF789" i="5"/>
  <c r="AG789" i="5"/>
  <c r="AH789" i="5"/>
  <c r="AI789" i="5"/>
  <c r="AJ789" i="5"/>
  <c r="AK789" i="5"/>
  <c r="AL789" i="5"/>
  <c r="AM789" i="5"/>
  <c r="AN789" i="5"/>
  <c r="AO789" i="5"/>
  <c r="AP789" i="5"/>
  <c r="AQ789" i="5"/>
  <c r="E790" i="5"/>
  <c r="F790" i="5"/>
  <c r="G790" i="5"/>
  <c r="H790" i="5"/>
  <c r="K790" i="5"/>
  <c r="L790" i="5"/>
  <c r="M790" i="5"/>
  <c r="O790" i="5"/>
  <c r="P790" i="5"/>
  <c r="Q790" i="5"/>
  <c r="R790" i="5"/>
  <c r="T790" i="5"/>
  <c r="V790" i="5"/>
  <c r="X790" i="5"/>
  <c r="Y790" i="5"/>
  <c r="Z790" i="5"/>
  <c r="AA790" i="5"/>
  <c r="AB790" i="5"/>
  <c r="AC790" i="5"/>
  <c r="AD790" i="5"/>
  <c r="AE790" i="5"/>
  <c r="AF790" i="5"/>
  <c r="AG790" i="5"/>
  <c r="AH790" i="5"/>
  <c r="AI790" i="5"/>
  <c r="AJ790" i="5"/>
  <c r="AK790" i="5"/>
  <c r="AL790" i="5"/>
  <c r="AM790" i="5"/>
  <c r="AN790" i="5"/>
  <c r="AO790" i="5"/>
  <c r="AP790" i="5"/>
  <c r="AQ790" i="5"/>
  <c r="Z791" i="5"/>
  <c r="AA791" i="5"/>
  <c r="AB791" i="5"/>
  <c r="AC791" i="5"/>
  <c r="AD791" i="5"/>
  <c r="AE791" i="5"/>
  <c r="AF791" i="5"/>
  <c r="AG791" i="5"/>
  <c r="AH791" i="5"/>
  <c r="AI791" i="5"/>
  <c r="AJ791" i="5"/>
  <c r="AK791" i="5"/>
  <c r="AL791" i="5"/>
  <c r="AM791" i="5"/>
  <c r="AN791" i="5"/>
  <c r="AO791" i="5"/>
  <c r="AP791" i="5"/>
  <c r="AQ791" i="5"/>
  <c r="E792" i="5"/>
  <c r="F792" i="5"/>
  <c r="G792" i="5"/>
  <c r="H792" i="5"/>
  <c r="K792" i="5"/>
  <c r="L792" i="5"/>
  <c r="M792" i="5"/>
  <c r="O792" i="5"/>
  <c r="P792" i="5"/>
  <c r="Q792" i="5"/>
  <c r="R792" i="5"/>
  <c r="T792" i="5"/>
  <c r="V792" i="5"/>
  <c r="X792" i="5"/>
  <c r="E793" i="5"/>
  <c r="F793" i="5"/>
  <c r="G793" i="5"/>
  <c r="H793" i="5"/>
  <c r="K793" i="5"/>
  <c r="L793" i="5"/>
  <c r="M793" i="5"/>
  <c r="O793" i="5"/>
  <c r="P793" i="5"/>
  <c r="Q793" i="5"/>
  <c r="R793" i="5"/>
  <c r="T793" i="5"/>
  <c r="V793" i="5"/>
  <c r="X793" i="5"/>
  <c r="E797" i="5"/>
  <c r="E798" i="5"/>
  <c r="E799" i="5"/>
  <c r="E803" i="5"/>
  <c r="E811" i="5"/>
  <c r="E812" i="5"/>
  <c r="E816" i="5"/>
  <c r="F816" i="5"/>
  <c r="E817" i="5"/>
  <c r="F817" i="5"/>
  <c r="E818" i="5"/>
  <c r="F818" i="5"/>
  <c r="E819" i="5"/>
  <c r="F819" i="5"/>
  <c r="E820" i="5"/>
  <c r="F820" i="5"/>
  <c r="E821" i="5"/>
  <c r="F821" i="5"/>
  <c r="E822" i="5"/>
  <c r="F822" i="5"/>
  <c r="E823" i="5"/>
  <c r="F823" i="5"/>
  <c r="E824" i="5"/>
  <c r="F824" i="5"/>
  <c r="E825" i="5"/>
  <c r="F825" i="5"/>
  <c r="E826" i="5"/>
  <c r="F826" i="5"/>
  <c r="M831" i="5"/>
  <c r="O831" i="5"/>
  <c r="Q831" i="5"/>
  <c r="R831" i="5"/>
  <c r="M832" i="5"/>
  <c r="O832" i="5"/>
  <c r="Q832" i="5"/>
  <c r="R832" i="5"/>
  <c r="M833" i="5"/>
  <c r="O833" i="5"/>
  <c r="Q833" i="5"/>
  <c r="R833" i="5"/>
  <c r="M834" i="5"/>
  <c r="O834" i="5"/>
  <c r="Q834" i="5"/>
  <c r="R834" i="5"/>
  <c r="M835" i="5"/>
  <c r="O835" i="5"/>
  <c r="Q835" i="5"/>
  <c r="R835" i="5"/>
  <c r="L836" i="5"/>
  <c r="M836" i="5"/>
  <c r="N836" i="5"/>
  <c r="O836" i="5"/>
  <c r="Q836" i="5"/>
  <c r="R836" i="5"/>
  <c r="L837" i="5"/>
  <c r="M837" i="5"/>
  <c r="N837" i="5"/>
  <c r="O837" i="5"/>
  <c r="Q837" i="5"/>
  <c r="R837" i="5"/>
  <c r="L838" i="5"/>
  <c r="M838" i="5"/>
  <c r="N838" i="5"/>
  <c r="O838" i="5"/>
  <c r="Q838" i="5"/>
  <c r="R838" i="5"/>
  <c r="L839" i="5"/>
  <c r="M839" i="5"/>
  <c r="O839" i="5"/>
  <c r="Q839" i="5"/>
  <c r="R839" i="5"/>
  <c r="M840" i="5"/>
  <c r="O840" i="5"/>
  <c r="Q840" i="5"/>
  <c r="R840" i="5"/>
  <c r="M841" i="5"/>
  <c r="O841" i="5"/>
  <c r="Q841" i="5"/>
  <c r="R841" i="5"/>
  <c r="M842" i="5"/>
  <c r="O842" i="5"/>
  <c r="Q842" i="5"/>
  <c r="R842" i="5"/>
  <c r="M843" i="5"/>
  <c r="O843" i="5"/>
  <c r="Q843" i="5"/>
  <c r="R843" i="5"/>
  <c r="M844" i="5"/>
  <c r="O844" i="5"/>
  <c r="Q844" i="5"/>
  <c r="R844" i="5"/>
  <c r="L845" i="5"/>
  <c r="M845" i="5"/>
  <c r="N845" i="5"/>
  <c r="O845" i="5"/>
  <c r="Q845" i="5"/>
  <c r="R845" i="5"/>
  <c r="O846" i="5"/>
  <c r="Q846" i="5"/>
  <c r="R846" i="5"/>
  <c r="E852" i="5"/>
  <c r="F852" i="5"/>
  <c r="G852" i="5"/>
  <c r="H852" i="5"/>
  <c r="I852" i="5"/>
  <c r="J852" i="5"/>
  <c r="K852" i="5"/>
  <c r="L852" i="5"/>
  <c r="M852" i="5"/>
  <c r="N852" i="5"/>
  <c r="O852" i="5"/>
  <c r="P852" i="5"/>
  <c r="Q852" i="5"/>
  <c r="R852" i="5"/>
  <c r="S852" i="5"/>
  <c r="T852" i="5"/>
  <c r="U852" i="5"/>
  <c r="V852" i="5"/>
  <c r="W852" i="5"/>
  <c r="E853" i="5"/>
  <c r="F853" i="5"/>
  <c r="G853" i="5"/>
  <c r="H853" i="5"/>
  <c r="I853" i="5"/>
  <c r="J853" i="5"/>
  <c r="K853" i="5"/>
  <c r="L853" i="5"/>
  <c r="M853" i="5"/>
  <c r="N853" i="5"/>
  <c r="O853" i="5"/>
  <c r="P853" i="5"/>
  <c r="Q853" i="5"/>
  <c r="R853" i="5"/>
  <c r="S853" i="5"/>
  <c r="T853" i="5"/>
  <c r="U853" i="5"/>
  <c r="V853" i="5"/>
  <c r="W853" i="5"/>
  <c r="E854" i="5"/>
  <c r="F854" i="5"/>
  <c r="G854" i="5"/>
  <c r="H854" i="5"/>
  <c r="I854" i="5"/>
  <c r="J854" i="5"/>
  <c r="K854" i="5"/>
  <c r="L854" i="5"/>
  <c r="M854" i="5"/>
  <c r="N854" i="5"/>
  <c r="O854" i="5"/>
  <c r="P854" i="5"/>
  <c r="Q854" i="5"/>
  <c r="R854" i="5"/>
  <c r="S854" i="5"/>
  <c r="T854" i="5"/>
  <c r="U854" i="5"/>
  <c r="V854" i="5"/>
  <c r="W854" i="5"/>
  <c r="F855" i="5"/>
  <c r="G855" i="5"/>
  <c r="H855" i="5"/>
  <c r="I855" i="5"/>
  <c r="J855" i="5"/>
  <c r="K855" i="5"/>
  <c r="L855" i="5"/>
  <c r="M855" i="5"/>
  <c r="N855" i="5"/>
  <c r="O855" i="5"/>
  <c r="P855" i="5"/>
  <c r="Q855" i="5"/>
  <c r="R855" i="5"/>
  <c r="S855" i="5"/>
  <c r="T855" i="5"/>
  <c r="U855" i="5"/>
  <c r="V855" i="5"/>
  <c r="W855" i="5"/>
  <c r="E858" i="5"/>
  <c r="F858" i="5"/>
  <c r="G858" i="5"/>
  <c r="H858" i="5"/>
  <c r="I858" i="5"/>
  <c r="J858" i="5"/>
  <c r="K858" i="5"/>
  <c r="L858" i="5"/>
  <c r="M858" i="5"/>
  <c r="N858" i="5"/>
  <c r="O858" i="5"/>
  <c r="P858" i="5"/>
  <c r="Q858" i="5"/>
  <c r="R858" i="5"/>
  <c r="S858" i="5"/>
  <c r="T858" i="5"/>
  <c r="U858" i="5"/>
  <c r="V858" i="5"/>
  <c r="E859" i="5"/>
  <c r="F859" i="5"/>
  <c r="G859" i="5"/>
  <c r="H859" i="5"/>
  <c r="I859" i="5"/>
  <c r="J859" i="5"/>
  <c r="K859" i="5"/>
  <c r="L859" i="5"/>
  <c r="M859" i="5"/>
  <c r="N859" i="5"/>
  <c r="O859" i="5"/>
  <c r="P859" i="5"/>
  <c r="Q859" i="5"/>
  <c r="R859" i="5"/>
  <c r="S859" i="5"/>
  <c r="T859" i="5"/>
  <c r="U859" i="5"/>
  <c r="V859" i="5"/>
  <c r="O872" i="5"/>
  <c r="I874" i="5"/>
  <c r="K874" i="5"/>
  <c r="E875" i="5"/>
  <c r="G875" i="5"/>
  <c r="I875" i="5"/>
  <c r="K875" i="5"/>
  <c r="M875" i="5"/>
  <c r="E876" i="5"/>
  <c r="G876" i="5"/>
  <c r="I876" i="5"/>
  <c r="K876" i="5"/>
  <c r="M876" i="5"/>
  <c r="E877" i="5"/>
  <c r="G877" i="5"/>
  <c r="I877" i="5"/>
  <c r="K877" i="5"/>
  <c r="M877" i="5"/>
  <c r="E878" i="5"/>
  <c r="G878" i="5"/>
  <c r="I878" i="5"/>
  <c r="K878" i="5"/>
  <c r="M878" i="5"/>
  <c r="E879" i="5"/>
  <c r="G879" i="5"/>
  <c r="I879" i="5"/>
  <c r="K879" i="5"/>
  <c r="M879" i="5"/>
  <c r="E880" i="5"/>
  <c r="G880" i="5"/>
  <c r="I880" i="5"/>
  <c r="K880" i="5"/>
  <c r="M880" i="5"/>
  <c r="E881" i="5"/>
  <c r="G881" i="5"/>
  <c r="I881" i="5"/>
  <c r="K881" i="5"/>
  <c r="M881" i="5"/>
  <c r="E883" i="5"/>
  <c r="G883" i="5"/>
  <c r="I883" i="5"/>
  <c r="K883" i="5"/>
  <c r="M883" i="5"/>
  <c r="E885" i="5"/>
  <c r="G885" i="5"/>
  <c r="I885" i="5"/>
  <c r="K885" i="5"/>
  <c r="M885" i="5"/>
  <c r="O887" i="5"/>
  <c r="O888" i="5"/>
  <c r="O890" i="5"/>
  <c r="I898" i="5"/>
  <c r="L898" i="5" a="1"/>
  <c r="L898" i="5"/>
  <c r="I899" i="5"/>
  <c r="L899" i="5" a="1"/>
  <c r="L899" i="5"/>
  <c r="L900" i="5" a="1"/>
  <c r="L900" i="5"/>
  <c r="I901" i="5"/>
  <c r="L901" i="5" a="1"/>
  <c r="L901" i="5"/>
  <c r="I902" i="5"/>
  <c r="I903" i="5"/>
  <c r="I904" i="5"/>
  <c r="L904" i="5"/>
  <c r="L905" i="5"/>
  <c r="I906" i="5"/>
  <c r="L906" i="5"/>
  <c r="I907" i="5"/>
  <c r="L907" i="5"/>
  <c r="I908" i="5"/>
  <c r="L908" i="5"/>
  <c r="I909" i="5"/>
  <c r="L909" i="5"/>
  <c r="I910" i="5"/>
  <c r="I911" i="5"/>
  <c r="I912" i="5"/>
  <c r="L916" i="5"/>
  <c r="L919" i="5"/>
  <c r="L933" i="5"/>
  <c r="L934" i="5"/>
  <c r="L935" i="5"/>
  <c r="L936" i="5"/>
  <c r="L937" i="5"/>
  <c r="L944" i="5"/>
  <c r="L945" i="5"/>
  <c r="L946" i="5"/>
  <c r="L947" i="5"/>
  <c r="L951" i="5"/>
  <c r="L952" i="5"/>
  <c r="L962" i="5"/>
  <c r="L965" i="5"/>
  <c r="L967" i="5"/>
  <c r="L968" i="5"/>
  <c r="L974" i="5"/>
  <c r="L975" i="5"/>
  <c r="L976" i="5"/>
  <c r="L977" i="5"/>
  <c r="L978" i="5"/>
  <c r="L981" i="5"/>
  <c r="L982" i="5"/>
  <c r="L987" i="5"/>
  <c r="L988" i="5"/>
  <c r="L990" i="5" a="1"/>
  <c r="L990" i="5"/>
  <c r="L991" i="5" a="1"/>
  <c r="L991" i="5"/>
  <c r="L992" i="5" a="1"/>
  <c r="L992" i="5"/>
  <c r="I993" i="5"/>
  <c r="L993" i="5"/>
  <c r="I994" i="5"/>
  <c r="L994" i="5"/>
  <c r="I995" i="5"/>
  <c r="L995" i="5"/>
  <c r="I996" i="5"/>
  <c r="L996" i="5"/>
  <c r="I997" i="5"/>
  <c r="L997" i="5"/>
  <c r="I998" i="5"/>
  <c r="L998" i="5"/>
  <c r="I999" i="5"/>
  <c r="L999" i="5"/>
  <c r="L1000" i="5" a="1"/>
  <c r="L1000" i="5"/>
  <c r="L1001" i="5" a="1"/>
  <c r="L1001" i="5"/>
  <c r="L1002" i="5"/>
  <c r="L1003" i="5"/>
  <c r="L1004" i="5"/>
  <c r="L1009" i="5"/>
  <c r="L1010" i="5"/>
  <c r="L1011" i="5"/>
  <c r="L1012" i="5"/>
  <c r="L1014" i="5"/>
  <c r="I1017" i="5"/>
  <c r="I1018" i="5"/>
  <c r="I1019" i="5"/>
  <c r="L1019" i="5"/>
  <c r="I1020" i="5"/>
  <c r="L1020" i="5"/>
  <c r="L1021" i="5"/>
  <c r="L1022" i="5"/>
  <c r="I1023" i="5"/>
  <c r="L1023" i="5"/>
  <c r="I1024" i="5"/>
  <c r="L1024" i="5"/>
  <c r="I1025" i="5"/>
  <c r="L1027" i="5"/>
  <c r="I1028" i="5"/>
  <c r="L1028" i="5"/>
  <c r="I1029" i="5"/>
  <c r="L1029" i="5"/>
  <c r="I1030" i="5"/>
  <c r="I1031" i="5"/>
  <c r="I1032" i="5"/>
  <c r="L1032" i="5"/>
  <c r="I1033" i="5"/>
  <c r="L1033" i="5"/>
  <c r="L1034" i="5"/>
  <c r="L1035" i="5"/>
  <c r="I1036" i="5"/>
  <c r="L1036" i="5"/>
  <c r="I1037" i="5"/>
  <c r="L1037" i="5"/>
  <c r="I1038" i="5"/>
  <c r="L1038" i="5"/>
  <c r="I1039" i="5"/>
  <c r="L1039" i="5"/>
  <c r="I1040" i="5"/>
  <c r="I1042" i="5"/>
  <c r="L1042" i="5"/>
  <c r="I1043" i="5"/>
  <c r="L1043" i="5"/>
  <c r="I1044" i="5"/>
  <c r="L1044" i="5" a="1"/>
  <c r="L1044" i="5"/>
  <c r="L1045" i="5" a="1"/>
  <c r="L1045" i="5"/>
  <c r="L1046" i="5" a="1"/>
  <c r="L1046" i="5"/>
  <c r="L1047" i="5"/>
  <c r="L1048" i="5"/>
  <c r="L1049" i="5"/>
  <c r="L1050" i="5"/>
  <c r="L1051" i="5"/>
  <c r="L1053" i="5"/>
  <c r="L1054" i="5"/>
  <c r="L1055" i="5"/>
  <c r="K1062" i="5"/>
  <c r="H1063" i="5"/>
  <c r="K1063" i="5" a="1"/>
  <c r="K1063" i="5"/>
  <c r="H1064" i="5"/>
  <c r="K1064" i="5"/>
  <c r="H1065" i="5"/>
  <c r="K1065" i="5" a="1"/>
  <c r="K1065" i="5"/>
  <c r="K1066" i="5"/>
  <c r="H1067" i="5"/>
  <c r="K1067" i="5"/>
  <c r="H1068" i="5"/>
  <c r="K1068" i="5"/>
  <c r="H1069" i="5"/>
  <c r="K1069" i="5"/>
  <c r="H1070" i="5"/>
  <c r="K1070" i="5"/>
  <c r="H1071" i="5"/>
  <c r="K1071" i="5" a="1"/>
  <c r="K1071" i="5"/>
  <c r="K1072" i="5" a="1"/>
  <c r="K1072" i="5"/>
  <c r="K1073" i="5"/>
  <c r="K1074" i="5"/>
  <c r="K1075" i="5"/>
  <c r="K1076" i="5"/>
  <c r="H1080" i="5"/>
  <c r="K1080" i="5"/>
  <c r="N1080" i="5"/>
  <c r="Q1080" i="5"/>
  <c r="H1081" i="5"/>
  <c r="K1081" i="5"/>
  <c r="N1081" i="5"/>
  <c r="Q1081" i="5"/>
  <c r="H1082" i="5"/>
  <c r="K1082" i="5"/>
  <c r="N1082" i="5"/>
  <c r="Q1082" i="5"/>
  <c r="H1083" i="5"/>
  <c r="K1083" i="5"/>
  <c r="N1083" i="5"/>
  <c r="Q1083" i="5"/>
  <c r="H1084" i="5"/>
  <c r="K1084" i="5"/>
  <c r="Q1084" i="5"/>
  <c r="H1085" i="5"/>
  <c r="K1085" i="5"/>
  <c r="H1086" i="5"/>
  <c r="K1086" i="5"/>
  <c r="H1087" i="5"/>
  <c r="K1087" i="5"/>
  <c r="K1088" i="5"/>
  <c r="K1089" i="5"/>
  <c r="K1090" i="5"/>
  <c r="K1091" i="5"/>
  <c r="K1092" i="5"/>
  <c r="E1106" i="5"/>
  <c r="H1106" i="5"/>
  <c r="K1106" i="5"/>
  <c r="N1106" i="5"/>
  <c r="H1107" i="5"/>
  <c r="K1107" i="5"/>
  <c r="N1107" i="5"/>
  <c r="E1108" i="5"/>
  <c r="H1108" i="5"/>
  <c r="K1108" i="5"/>
  <c r="N1108" i="5"/>
  <c r="E1109" i="5"/>
  <c r="H1109" i="5"/>
  <c r="K1109" i="5"/>
  <c r="N1109" i="5"/>
  <c r="E1110" i="5"/>
  <c r="H1110" i="5"/>
  <c r="K1110" i="5"/>
  <c r="N1110" i="5"/>
  <c r="E1111" i="5"/>
  <c r="H1111" i="5"/>
  <c r="K1111" i="5"/>
  <c r="N1111" i="5"/>
  <c r="E1112" i="5"/>
  <c r="H1112" i="5"/>
  <c r="K1112" i="5"/>
  <c r="N1112" i="5"/>
  <c r="E1113" i="5"/>
  <c r="H1113" i="5"/>
  <c r="K1113" i="5"/>
  <c r="N1113" i="5"/>
  <c r="H1114" i="5"/>
  <c r="K1114" i="5"/>
  <c r="E1115" i="5"/>
  <c r="H1115" i="5"/>
  <c r="H1116" i="5"/>
  <c r="K1116" i="5"/>
  <c r="E1117" i="5"/>
  <c r="H1117" i="5"/>
  <c r="K1117" i="5"/>
  <c r="E1118" i="5"/>
  <c r="H1118" i="5"/>
  <c r="K1118" i="5"/>
  <c r="E1119" i="5"/>
  <c r="H1119" i="5"/>
  <c r="K1119" i="5"/>
  <c r="H1120" i="5"/>
  <c r="K1120" i="5"/>
  <c r="H1121" i="5"/>
  <c r="K1121" i="5"/>
  <c r="H1122" i="5"/>
  <c r="K1122" i="5"/>
  <c r="H1123" i="5"/>
  <c r="K1123" i="5"/>
  <c r="H1124" i="5"/>
  <c r="K1124" i="5"/>
  <c r="H1125" i="5"/>
  <c r="H1126" i="5"/>
  <c r="E1127" i="5"/>
  <c r="H1127" i="5"/>
  <c r="E1128" i="5"/>
  <c r="H1128" i="5"/>
  <c r="E1129" i="5"/>
  <c r="H1129" i="5"/>
  <c r="K1129" i="5"/>
  <c r="N1129" i="5"/>
  <c r="E1130" i="5"/>
  <c r="H1130" i="5"/>
  <c r="K1130" i="5"/>
  <c r="N1130" i="5"/>
  <c r="E1131" i="5"/>
  <c r="H1131" i="5"/>
  <c r="K1131" i="5"/>
  <c r="N1131" i="5"/>
  <c r="E1132" i="5"/>
  <c r="H1132" i="5"/>
  <c r="K1132" i="5"/>
  <c r="N1132" i="5"/>
  <c r="E1133" i="5"/>
  <c r="H1133" i="5"/>
  <c r="K1133" i="5"/>
  <c r="N1133" i="5"/>
  <c r="E1134" i="5"/>
  <c r="H1134" i="5"/>
  <c r="K1134" i="5"/>
  <c r="N1134" i="5"/>
  <c r="E1135" i="5"/>
  <c r="H1135" i="5"/>
  <c r="K1135" i="5"/>
  <c r="N1135" i="5"/>
  <c r="E1136" i="5"/>
  <c r="H1136" i="5"/>
  <c r="N1136" i="5"/>
  <c r="E1137" i="5"/>
  <c r="N1137" i="5"/>
  <c r="N1138" i="5"/>
  <c r="N1139" i="5"/>
  <c r="N1140" i="5"/>
  <c r="N1141" i="5"/>
  <c r="N1142" i="5"/>
  <c r="K1147" i="5"/>
  <c r="N1147" i="5"/>
  <c r="K1148" i="5"/>
  <c r="N1148" i="5"/>
  <c r="K1149" i="5"/>
  <c r="N1149" i="5"/>
  <c r="K1150" i="5"/>
  <c r="N1150" i="5"/>
  <c r="N1151" i="5"/>
  <c r="K1155" i="5"/>
  <c r="N1155" i="5"/>
  <c r="K1156" i="5"/>
  <c r="N1156" i="5"/>
  <c r="K1157" i="5"/>
  <c r="N1157" i="5"/>
  <c r="K1158" i="5"/>
  <c r="N1158" i="5"/>
  <c r="K1159" i="5"/>
  <c r="K1160" i="5"/>
  <c r="Q1161" i="5"/>
  <c r="T1161" i="5"/>
  <c r="Q1162" i="5"/>
  <c r="T1162" i="5"/>
  <c r="Q1163" i="5"/>
  <c r="T1163" i="5"/>
  <c r="K1164" i="5"/>
  <c r="N1164" i="5"/>
  <c r="Q1164" i="5"/>
  <c r="T1164" i="5"/>
  <c r="K1165" i="5"/>
  <c r="N1165" i="5"/>
  <c r="K1166" i="5"/>
  <c r="N1166" i="5"/>
  <c r="K1167" i="5"/>
  <c r="N1167" i="5"/>
  <c r="K1168" i="5"/>
  <c r="N1168" i="5"/>
  <c r="Q1170" i="5"/>
  <c r="T1170" i="5"/>
  <c r="K1172" i="5"/>
  <c r="N1172" i="5"/>
  <c r="K1173" i="5"/>
  <c r="N1173" i="5"/>
  <c r="N1174" i="5"/>
  <c r="K1178" i="5"/>
  <c r="N1178" i="5"/>
  <c r="E1183" i="5"/>
  <c r="E1184" i="5"/>
  <c r="E1185" i="5"/>
  <c r="E1186" i="5"/>
  <c r="E1188" i="5"/>
  <c r="E1189" i="5"/>
  <c r="E1190" i="5"/>
  <c r="E1191" i="5"/>
  <c r="E1193" i="5"/>
  <c r="E1195" i="5"/>
  <c r="E1196" i="5"/>
  <c r="E1197" i="5"/>
  <c r="E1200" i="5"/>
  <c r="E1201" i="5"/>
  <c r="E1202" i="5"/>
  <c r="E1204" i="5"/>
  <c r="E1205" i="5" a="1"/>
  <c r="E1205" i="5"/>
  <c r="E1206" i="5"/>
  <c r="E1209" i="5"/>
  <c r="E1210" i="5"/>
  <c r="E1211" i="5"/>
  <c r="E1212" i="5"/>
  <c r="E1213" i="5"/>
  <c r="E1214" i="5"/>
  <c r="E1216" i="5"/>
  <c r="E1217" i="5"/>
  <c r="E1219" i="5"/>
  <c r="E1220" i="5"/>
  <c r="E1223" i="5"/>
  <c r="E1227" i="5"/>
  <c r="E1228" i="5"/>
  <c r="E1229" i="5"/>
  <c r="E1231" i="5"/>
  <c r="E1232" i="5"/>
  <c r="E1233" i="5"/>
  <c r="E1234" i="5"/>
  <c r="E1235" i="5"/>
  <c r="E1236" i="5"/>
  <c r="E1237" i="5"/>
  <c r="E1238" i="5"/>
  <c r="E1239" i="5"/>
  <c r="E1240" i="5"/>
  <c r="E1241" i="5"/>
  <c r="E1243" i="5"/>
  <c r="E1244" i="5"/>
  <c r="E1246" i="5"/>
  <c r="E1247" i="5"/>
  <c r="E1248" i="5"/>
  <c r="E1249" i="5"/>
  <c r="E1252" i="5"/>
  <c r="H1306" i="5"/>
  <c r="I1306" i="5"/>
  <c r="J1306" i="5"/>
  <c r="K1306" i="5"/>
  <c r="L1306" i="5"/>
  <c r="M1306" i="5"/>
  <c r="N1306" i="5"/>
  <c r="P1306" i="5"/>
  <c r="Q1306" i="5"/>
  <c r="S1306" i="5"/>
  <c r="W1306" i="5"/>
  <c r="X1306" i="5"/>
  <c r="Y1306" i="5"/>
  <c r="Z1306" i="5"/>
  <c r="H1307" i="5"/>
  <c r="I1307" i="5"/>
  <c r="J1307" i="5"/>
  <c r="K1307" i="5"/>
  <c r="L1307" i="5"/>
  <c r="M1307" i="5"/>
  <c r="N1307" i="5"/>
  <c r="P1307" i="5"/>
  <c r="Q1307" i="5"/>
  <c r="S1307" i="5"/>
  <c r="W1307" i="5"/>
  <c r="X1307" i="5"/>
  <c r="Y1307" i="5"/>
  <c r="Z1307" i="5"/>
  <c r="H1308" i="5"/>
  <c r="I1308" i="5"/>
  <c r="J1308" i="5"/>
  <c r="K1308" i="5"/>
  <c r="L1308" i="5"/>
  <c r="M1308" i="5"/>
  <c r="N1308" i="5"/>
  <c r="P1308" i="5"/>
  <c r="Q1308" i="5"/>
  <c r="S1308" i="5"/>
  <c r="W1308" i="5"/>
  <c r="X1308" i="5"/>
  <c r="Y1308" i="5"/>
  <c r="Z1308" i="5"/>
  <c r="H1309" i="5"/>
  <c r="I1309" i="5"/>
  <c r="J1309" i="5"/>
  <c r="K1309" i="5"/>
  <c r="L1309" i="5"/>
  <c r="M1309" i="5"/>
  <c r="N1309" i="5"/>
  <c r="P1309" i="5"/>
  <c r="Q1309" i="5"/>
  <c r="S1309" i="5"/>
  <c r="W1309" i="5"/>
  <c r="X1309" i="5"/>
  <c r="Y1309" i="5"/>
  <c r="Z1309" i="5"/>
  <c r="H1310" i="5"/>
  <c r="I1310" i="5"/>
  <c r="J1310" i="5"/>
  <c r="K1310" i="5"/>
  <c r="L1310" i="5"/>
  <c r="M1310" i="5"/>
  <c r="N1310" i="5"/>
  <c r="P1310" i="5"/>
  <c r="Q1310" i="5"/>
  <c r="S1310" i="5"/>
  <c r="W1310" i="5"/>
  <c r="X1310" i="5"/>
  <c r="Y1310" i="5"/>
  <c r="Z1310" i="5"/>
  <c r="H1311" i="5"/>
  <c r="I1311" i="5"/>
  <c r="J1311" i="5"/>
  <c r="K1311" i="5"/>
  <c r="L1311" i="5"/>
  <c r="M1311" i="5"/>
  <c r="N1311" i="5"/>
  <c r="P1311" i="5"/>
  <c r="Q1311" i="5"/>
  <c r="S1311" i="5"/>
  <c r="W1311" i="5"/>
  <c r="X1311" i="5"/>
  <c r="Y1311" i="5"/>
  <c r="Z1311" i="5"/>
  <c r="H1312" i="5"/>
  <c r="I1312" i="5"/>
  <c r="J1312" i="5"/>
  <c r="K1312" i="5"/>
  <c r="L1312" i="5"/>
  <c r="M1312" i="5"/>
  <c r="N1312" i="5"/>
  <c r="P1312" i="5"/>
  <c r="Q1312" i="5"/>
  <c r="S1312" i="5"/>
  <c r="W1312" i="5"/>
  <c r="X1312" i="5"/>
  <c r="Y1312" i="5"/>
  <c r="Z1312" i="5"/>
  <c r="H1313" i="5"/>
  <c r="I1313" i="5"/>
  <c r="J1313" i="5"/>
  <c r="K1313" i="5"/>
  <c r="L1313" i="5"/>
  <c r="M1313" i="5"/>
  <c r="N1313" i="5"/>
  <c r="P1313" i="5"/>
  <c r="Q1313" i="5"/>
  <c r="S1313" i="5"/>
  <c r="W1313" i="5"/>
  <c r="X1313" i="5"/>
  <c r="Y1313" i="5"/>
  <c r="Z1313" i="5"/>
  <c r="H1314" i="5"/>
  <c r="I1314" i="5"/>
  <c r="J1314" i="5"/>
  <c r="K1314" i="5"/>
  <c r="L1314" i="5"/>
  <c r="M1314" i="5"/>
  <c r="N1314" i="5"/>
  <c r="P1314" i="5"/>
  <c r="Q1314" i="5"/>
  <c r="S1314" i="5"/>
  <c r="W1314" i="5"/>
  <c r="X1314" i="5"/>
  <c r="Y1314" i="5"/>
  <c r="Z1314" i="5"/>
  <c r="H1315" i="5"/>
  <c r="I1315" i="5"/>
  <c r="J1315" i="5"/>
  <c r="K1315" i="5"/>
  <c r="L1315" i="5"/>
  <c r="M1315" i="5"/>
  <c r="N1315" i="5"/>
  <c r="P1315" i="5"/>
  <c r="Q1315" i="5"/>
  <c r="S1315" i="5"/>
  <c r="W1315" i="5"/>
  <c r="X1315" i="5"/>
  <c r="Y1315" i="5"/>
  <c r="Z1315" i="5"/>
  <c r="H1316" i="5"/>
  <c r="I1316" i="5"/>
  <c r="J1316" i="5"/>
  <c r="K1316" i="5"/>
  <c r="L1316" i="5"/>
  <c r="M1316" i="5"/>
  <c r="N1316" i="5"/>
  <c r="P1316" i="5"/>
  <c r="Q1316" i="5"/>
  <c r="S1316" i="5"/>
  <c r="W1316" i="5"/>
  <c r="X1316" i="5"/>
  <c r="Y1316" i="5"/>
  <c r="Z1316" i="5"/>
  <c r="H1317" i="5"/>
  <c r="I1317" i="5"/>
  <c r="J1317" i="5"/>
  <c r="K1317" i="5"/>
  <c r="L1317" i="5"/>
  <c r="M1317" i="5"/>
  <c r="N1317" i="5"/>
  <c r="P1317" i="5"/>
  <c r="Q1317" i="5"/>
  <c r="S1317" i="5"/>
  <c r="W1317" i="5"/>
  <c r="X1317" i="5"/>
  <c r="Y1317" i="5"/>
  <c r="Z1317" i="5"/>
  <c r="Z1318" i="5"/>
  <c r="AA1318" i="5"/>
  <c r="X1319" i="5"/>
  <c r="Z1319" i="5"/>
  <c r="Z1320" i="5"/>
  <c r="H1323" i="5"/>
  <c r="I1323" i="5"/>
  <c r="J1323" i="5"/>
  <c r="K1323" i="5"/>
  <c r="L1323" i="5"/>
  <c r="M1323" i="5"/>
  <c r="N1323" i="5"/>
  <c r="P1323" i="5"/>
  <c r="Q1323" i="5"/>
  <c r="R1323" i="5"/>
  <c r="T1323" i="5"/>
  <c r="X1323" i="5"/>
  <c r="Y1323" i="5"/>
  <c r="Z1323" i="5"/>
  <c r="AA1323" i="5"/>
  <c r="AC1323" i="5"/>
  <c r="AF1323" i="5"/>
  <c r="AL1323" i="5"/>
  <c r="AM1323" i="5"/>
  <c r="H1324" i="5"/>
  <c r="I1324" i="5"/>
  <c r="J1324" i="5"/>
  <c r="K1324" i="5"/>
  <c r="L1324" i="5"/>
  <c r="M1324" i="5"/>
  <c r="N1324" i="5"/>
  <c r="P1324" i="5"/>
  <c r="Q1324" i="5"/>
  <c r="R1324" i="5"/>
  <c r="T1324" i="5"/>
  <c r="X1324" i="5"/>
  <c r="Y1324" i="5"/>
  <c r="Z1324" i="5"/>
  <c r="AA1324" i="5"/>
  <c r="AC1324" i="5"/>
  <c r="AQ1324" i="5"/>
  <c r="H1325" i="5"/>
  <c r="I1325" i="5"/>
  <c r="J1325" i="5"/>
  <c r="K1325" i="5"/>
  <c r="L1325" i="5"/>
  <c r="M1325" i="5"/>
  <c r="N1325" i="5"/>
  <c r="P1325" i="5"/>
  <c r="Q1325" i="5"/>
  <c r="R1325" i="5"/>
  <c r="T1325" i="5"/>
  <c r="X1325" i="5"/>
  <c r="Y1325" i="5"/>
  <c r="Z1325" i="5"/>
  <c r="AA1325" i="5"/>
  <c r="AC1325" i="5"/>
  <c r="AQ1325" i="5"/>
  <c r="H1326" i="5"/>
  <c r="I1326" i="5"/>
  <c r="J1326" i="5"/>
  <c r="K1326" i="5"/>
  <c r="L1326" i="5"/>
  <c r="M1326" i="5"/>
  <c r="N1326" i="5"/>
  <c r="P1326" i="5"/>
  <c r="Q1326" i="5"/>
  <c r="R1326" i="5"/>
  <c r="T1326" i="5"/>
  <c r="X1326" i="5"/>
  <c r="Y1326" i="5"/>
  <c r="Z1326" i="5"/>
  <c r="AA1326" i="5"/>
  <c r="AC1326" i="5"/>
  <c r="AQ1326" i="5"/>
  <c r="H1327" i="5"/>
  <c r="I1327" i="5"/>
  <c r="J1327" i="5"/>
  <c r="K1327" i="5"/>
  <c r="L1327" i="5"/>
  <c r="M1327" i="5"/>
  <c r="N1327" i="5"/>
  <c r="P1327" i="5"/>
  <c r="Q1327" i="5"/>
  <c r="R1327" i="5"/>
  <c r="T1327" i="5"/>
  <c r="X1327" i="5"/>
  <c r="Y1327" i="5"/>
  <c r="Z1327" i="5"/>
  <c r="AA1327" i="5"/>
  <c r="AC1327" i="5"/>
  <c r="H1328" i="5"/>
  <c r="I1328" i="5"/>
  <c r="J1328" i="5"/>
  <c r="K1328" i="5"/>
  <c r="L1328" i="5"/>
  <c r="M1328" i="5"/>
  <c r="N1328" i="5"/>
  <c r="P1328" i="5"/>
  <c r="Q1328" i="5"/>
  <c r="R1328" i="5"/>
  <c r="T1328" i="5"/>
  <c r="X1328" i="5"/>
  <c r="Y1328" i="5"/>
  <c r="Z1328" i="5"/>
  <c r="AA1328" i="5"/>
  <c r="AC1328" i="5"/>
  <c r="H1329" i="5"/>
  <c r="I1329" i="5"/>
  <c r="J1329" i="5"/>
  <c r="K1329" i="5"/>
  <c r="L1329" i="5"/>
  <c r="M1329" i="5"/>
  <c r="N1329" i="5"/>
  <c r="P1329" i="5"/>
  <c r="Q1329" i="5"/>
  <c r="R1329" i="5"/>
  <c r="T1329" i="5"/>
  <c r="X1329" i="5"/>
  <c r="Y1329" i="5"/>
  <c r="Z1329" i="5"/>
  <c r="AA1329" i="5"/>
  <c r="AC1329" i="5"/>
  <c r="AM1329" i="5"/>
  <c r="H1330" i="5"/>
  <c r="I1330" i="5"/>
  <c r="J1330" i="5"/>
  <c r="K1330" i="5"/>
  <c r="L1330" i="5"/>
  <c r="M1330" i="5"/>
  <c r="N1330" i="5"/>
  <c r="P1330" i="5"/>
  <c r="Q1330" i="5"/>
  <c r="R1330" i="5"/>
  <c r="T1330" i="5"/>
  <c r="X1330" i="5"/>
  <c r="Y1330" i="5"/>
  <c r="Z1330" i="5"/>
  <c r="AA1330" i="5"/>
  <c r="AC1330" i="5"/>
  <c r="H1331" i="5"/>
  <c r="I1331" i="5"/>
  <c r="J1331" i="5"/>
  <c r="K1331" i="5"/>
  <c r="L1331" i="5"/>
  <c r="M1331" i="5"/>
  <c r="N1331" i="5"/>
  <c r="P1331" i="5"/>
  <c r="Q1331" i="5"/>
  <c r="R1331" i="5"/>
  <c r="T1331" i="5"/>
  <c r="X1331" i="5"/>
  <c r="Y1331" i="5"/>
  <c r="Z1331" i="5"/>
  <c r="AA1331" i="5"/>
  <c r="AC1331" i="5"/>
  <c r="AM1331" i="5"/>
  <c r="H1332" i="5"/>
  <c r="I1332" i="5"/>
  <c r="J1332" i="5"/>
  <c r="K1332" i="5"/>
  <c r="L1332" i="5"/>
  <c r="M1332" i="5"/>
  <c r="N1332" i="5"/>
  <c r="P1332" i="5"/>
  <c r="Q1332" i="5"/>
  <c r="R1332" i="5"/>
  <c r="T1332" i="5"/>
  <c r="X1332" i="5"/>
  <c r="Y1332" i="5"/>
  <c r="Z1332" i="5"/>
  <c r="AA1332" i="5"/>
  <c r="AC1332" i="5"/>
  <c r="AM1332" i="5"/>
  <c r="H1333" i="5"/>
  <c r="I1333" i="5"/>
  <c r="J1333" i="5"/>
  <c r="K1333" i="5"/>
  <c r="L1333" i="5"/>
  <c r="M1333" i="5"/>
  <c r="N1333" i="5"/>
  <c r="P1333" i="5"/>
  <c r="Q1333" i="5"/>
  <c r="R1333" i="5"/>
  <c r="T1333" i="5"/>
  <c r="X1333" i="5"/>
  <c r="Y1333" i="5"/>
  <c r="Z1333" i="5"/>
  <c r="AA1333" i="5"/>
  <c r="AC1333" i="5"/>
  <c r="AG1333" i="5"/>
  <c r="H1334" i="5"/>
  <c r="I1334" i="5"/>
  <c r="J1334" i="5"/>
  <c r="K1334" i="5"/>
  <c r="L1334" i="5"/>
  <c r="M1334" i="5"/>
  <c r="N1334" i="5"/>
  <c r="P1334" i="5"/>
  <c r="Q1334" i="5"/>
  <c r="R1334" i="5"/>
  <c r="T1334" i="5"/>
  <c r="X1334" i="5"/>
  <c r="Y1334" i="5"/>
  <c r="Z1334" i="5"/>
  <c r="AA1334" i="5"/>
  <c r="AC1334" i="5"/>
  <c r="AA1335" i="5"/>
  <c r="AA1336" i="5"/>
  <c r="H1340" i="5"/>
  <c r="I1340" i="5"/>
  <c r="J1340" i="5"/>
  <c r="K1340" i="5"/>
  <c r="L1340" i="5"/>
  <c r="M1340" i="5"/>
  <c r="N1340" i="5"/>
  <c r="P1340" i="5"/>
  <c r="Q1340" i="5"/>
  <c r="R1340" i="5"/>
  <c r="S1340" i="5"/>
  <c r="T1340" i="5"/>
  <c r="H1341" i="5"/>
  <c r="I1341" i="5"/>
  <c r="J1341" i="5"/>
  <c r="K1341" i="5"/>
  <c r="L1341" i="5"/>
  <c r="M1341" i="5"/>
  <c r="N1341" i="5"/>
  <c r="P1341" i="5"/>
  <c r="Q1341" i="5"/>
  <c r="R1341" i="5"/>
  <c r="S1341" i="5"/>
  <c r="T1341" i="5"/>
  <c r="H1342" i="5"/>
  <c r="I1342" i="5"/>
  <c r="J1342" i="5"/>
  <c r="K1342" i="5"/>
  <c r="L1342" i="5"/>
  <c r="M1342" i="5"/>
  <c r="N1342" i="5"/>
  <c r="P1342" i="5"/>
  <c r="Q1342" i="5"/>
  <c r="R1342" i="5"/>
  <c r="S1342" i="5"/>
  <c r="T1342" i="5"/>
  <c r="H1343" i="5"/>
  <c r="I1343" i="5"/>
  <c r="J1343" i="5"/>
  <c r="K1343" i="5"/>
  <c r="L1343" i="5"/>
  <c r="M1343" i="5"/>
  <c r="N1343" i="5"/>
  <c r="P1343" i="5"/>
  <c r="Q1343" i="5"/>
  <c r="R1343" i="5"/>
  <c r="S1343" i="5"/>
  <c r="T1343" i="5"/>
  <c r="H1344" i="5"/>
  <c r="I1344" i="5"/>
  <c r="J1344" i="5"/>
  <c r="K1344" i="5"/>
  <c r="L1344" i="5"/>
  <c r="M1344" i="5"/>
  <c r="N1344" i="5"/>
  <c r="P1344" i="5"/>
  <c r="Q1344" i="5"/>
  <c r="R1344" i="5"/>
  <c r="S1344" i="5"/>
  <c r="T1344" i="5"/>
  <c r="H1345" i="5"/>
  <c r="I1345" i="5"/>
  <c r="J1345" i="5"/>
  <c r="K1345" i="5"/>
  <c r="L1345" i="5"/>
  <c r="M1345" i="5"/>
  <c r="N1345" i="5"/>
  <c r="P1345" i="5"/>
  <c r="Q1345" i="5"/>
  <c r="R1345" i="5"/>
  <c r="S1345" i="5"/>
  <c r="T1345" i="5"/>
  <c r="H1346" i="5"/>
  <c r="I1346" i="5"/>
  <c r="J1346" i="5"/>
  <c r="K1346" i="5"/>
  <c r="L1346" i="5"/>
  <c r="M1346" i="5"/>
  <c r="N1346" i="5"/>
  <c r="P1346" i="5"/>
  <c r="Q1346" i="5"/>
  <c r="R1346" i="5"/>
  <c r="S1346" i="5"/>
  <c r="T1346" i="5"/>
  <c r="H1347" i="5"/>
  <c r="I1347" i="5"/>
  <c r="J1347" i="5"/>
  <c r="K1347" i="5"/>
  <c r="L1347" i="5"/>
  <c r="M1347" i="5"/>
  <c r="N1347" i="5"/>
  <c r="P1347" i="5"/>
  <c r="Q1347" i="5"/>
  <c r="R1347" i="5"/>
  <c r="S1347" i="5"/>
  <c r="T1347" i="5"/>
  <c r="H1348" i="5"/>
  <c r="I1348" i="5"/>
  <c r="J1348" i="5"/>
  <c r="K1348" i="5"/>
  <c r="L1348" i="5"/>
  <c r="M1348" i="5"/>
  <c r="N1348" i="5"/>
  <c r="P1348" i="5"/>
  <c r="Q1348" i="5"/>
  <c r="R1348" i="5"/>
  <c r="S1348" i="5"/>
  <c r="T1348" i="5"/>
  <c r="H1349" i="5"/>
  <c r="I1349" i="5"/>
  <c r="J1349" i="5"/>
  <c r="K1349" i="5"/>
  <c r="L1349" i="5"/>
  <c r="M1349" i="5"/>
  <c r="N1349" i="5"/>
  <c r="P1349" i="5"/>
  <c r="Q1349" i="5"/>
  <c r="R1349" i="5"/>
  <c r="S1349" i="5"/>
  <c r="T1349" i="5"/>
  <c r="H1350" i="5"/>
  <c r="I1350" i="5"/>
  <c r="J1350" i="5"/>
  <c r="K1350" i="5"/>
  <c r="L1350" i="5"/>
  <c r="M1350" i="5"/>
  <c r="N1350" i="5"/>
  <c r="P1350" i="5"/>
  <c r="Q1350" i="5"/>
  <c r="R1350" i="5"/>
  <c r="S1350" i="5"/>
  <c r="T1350" i="5"/>
  <c r="H1351" i="5"/>
  <c r="I1351" i="5"/>
  <c r="J1351" i="5"/>
  <c r="K1351" i="5"/>
  <c r="L1351" i="5"/>
  <c r="M1351" i="5"/>
  <c r="N1351" i="5"/>
  <c r="P1351" i="5"/>
  <c r="Q1351" i="5"/>
  <c r="R1351" i="5"/>
  <c r="S1351" i="5"/>
  <c r="T1351" i="5"/>
  <c r="T1352" i="5"/>
  <c r="H1357" i="5"/>
  <c r="I1357" i="5"/>
  <c r="J1357" i="5"/>
  <c r="K1357" i="5"/>
  <c r="L1357" i="5"/>
  <c r="M1357" i="5"/>
  <c r="N1357" i="5"/>
  <c r="P1357" i="5"/>
  <c r="Q1357" i="5"/>
  <c r="R1357" i="5"/>
  <c r="S1357" i="5"/>
  <c r="T1357" i="5"/>
  <c r="H1358" i="5"/>
  <c r="I1358" i="5"/>
  <c r="J1358" i="5"/>
  <c r="K1358" i="5"/>
  <c r="L1358" i="5"/>
  <c r="M1358" i="5"/>
  <c r="N1358" i="5"/>
  <c r="P1358" i="5"/>
  <c r="Q1358" i="5"/>
  <c r="R1358" i="5"/>
  <c r="S1358" i="5"/>
  <c r="T1358" i="5"/>
  <c r="H1359" i="5"/>
  <c r="I1359" i="5"/>
  <c r="J1359" i="5"/>
  <c r="K1359" i="5"/>
  <c r="L1359" i="5"/>
  <c r="M1359" i="5"/>
  <c r="N1359" i="5"/>
  <c r="P1359" i="5"/>
  <c r="Q1359" i="5"/>
  <c r="R1359" i="5"/>
  <c r="S1359" i="5"/>
  <c r="T1359" i="5"/>
  <c r="H1360" i="5"/>
  <c r="I1360" i="5"/>
  <c r="J1360" i="5"/>
  <c r="K1360" i="5"/>
  <c r="L1360" i="5"/>
  <c r="M1360" i="5"/>
  <c r="N1360" i="5"/>
  <c r="P1360" i="5"/>
  <c r="Q1360" i="5"/>
  <c r="R1360" i="5"/>
  <c r="S1360" i="5"/>
  <c r="T1360" i="5"/>
  <c r="H1361" i="5"/>
  <c r="I1361" i="5"/>
  <c r="J1361" i="5"/>
  <c r="K1361" i="5"/>
  <c r="L1361" i="5"/>
  <c r="M1361" i="5"/>
  <c r="N1361" i="5"/>
  <c r="P1361" i="5"/>
  <c r="Q1361" i="5"/>
  <c r="R1361" i="5"/>
  <c r="S1361" i="5"/>
  <c r="T1361" i="5"/>
  <c r="H1362" i="5"/>
  <c r="I1362" i="5"/>
  <c r="J1362" i="5"/>
  <c r="K1362" i="5"/>
  <c r="L1362" i="5"/>
  <c r="M1362" i="5"/>
  <c r="N1362" i="5"/>
  <c r="P1362" i="5"/>
  <c r="Q1362" i="5"/>
  <c r="R1362" i="5"/>
  <c r="S1362" i="5"/>
  <c r="T1362" i="5"/>
  <c r="H1363" i="5"/>
  <c r="I1363" i="5"/>
  <c r="J1363" i="5"/>
  <c r="K1363" i="5"/>
  <c r="L1363" i="5"/>
  <c r="M1363" i="5"/>
  <c r="N1363" i="5"/>
  <c r="P1363" i="5"/>
  <c r="Q1363" i="5"/>
  <c r="R1363" i="5"/>
  <c r="S1363" i="5"/>
  <c r="T1363" i="5"/>
  <c r="H1364" i="5"/>
  <c r="I1364" i="5"/>
  <c r="J1364" i="5"/>
  <c r="K1364" i="5"/>
  <c r="L1364" i="5"/>
  <c r="M1364" i="5"/>
  <c r="N1364" i="5"/>
  <c r="P1364" i="5"/>
  <c r="Q1364" i="5"/>
  <c r="R1364" i="5"/>
  <c r="S1364" i="5"/>
  <c r="T1364" i="5"/>
  <c r="H1365" i="5"/>
  <c r="I1365" i="5"/>
  <c r="J1365" i="5"/>
  <c r="K1365" i="5"/>
  <c r="L1365" i="5"/>
  <c r="M1365" i="5"/>
  <c r="N1365" i="5"/>
  <c r="P1365" i="5"/>
  <c r="Q1365" i="5"/>
  <c r="R1365" i="5"/>
  <c r="S1365" i="5"/>
  <c r="T1365" i="5"/>
  <c r="H1366" i="5"/>
  <c r="I1366" i="5"/>
  <c r="J1366" i="5"/>
  <c r="K1366" i="5"/>
  <c r="L1366" i="5"/>
  <c r="M1366" i="5"/>
  <c r="N1366" i="5"/>
  <c r="P1366" i="5"/>
  <c r="Q1366" i="5"/>
  <c r="R1366" i="5"/>
  <c r="S1366" i="5"/>
  <c r="T1366" i="5"/>
  <c r="H1367" i="5"/>
  <c r="I1367" i="5"/>
  <c r="J1367" i="5"/>
  <c r="K1367" i="5"/>
  <c r="L1367" i="5"/>
  <c r="M1367" i="5"/>
  <c r="N1367" i="5"/>
  <c r="P1367" i="5"/>
  <c r="Q1367" i="5"/>
  <c r="R1367" i="5"/>
  <c r="S1367" i="5"/>
  <c r="T1367" i="5"/>
  <c r="H1368" i="5"/>
  <c r="I1368" i="5"/>
  <c r="J1368" i="5"/>
  <c r="K1368" i="5"/>
  <c r="L1368" i="5"/>
  <c r="M1368" i="5"/>
  <c r="N1368" i="5"/>
  <c r="P1368" i="5"/>
  <c r="Q1368" i="5"/>
  <c r="R1368" i="5"/>
  <c r="S1368" i="5"/>
  <c r="T1368" i="5"/>
  <c r="T1369" i="5"/>
  <c r="G1373" i="5"/>
  <c r="H1373" i="5"/>
  <c r="I1373" i="5"/>
  <c r="J1373" i="5"/>
  <c r="K1373" i="5"/>
  <c r="L1373" i="5"/>
  <c r="M1373" i="5"/>
  <c r="O1373" i="5"/>
  <c r="P1373" i="5"/>
  <c r="Q1373" i="5"/>
  <c r="U1373" i="5"/>
  <c r="V1373" i="5"/>
  <c r="W1373" i="5"/>
  <c r="X1373" i="5"/>
  <c r="G1374" i="5"/>
  <c r="H1374" i="5"/>
  <c r="I1374" i="5"/>
  <c r="J1374" i="5"/>
  <c r="K1374" i="5"/>
  <c r="L1374" i="5"/>
  <c r="M1374" i="5"/>
  <c r="O1374" i="5"/>
  <c r="P1374" i="5"/>
  <c r="Q1374" i="5"/>
  <c r="U1374" i="5"/>
  <c r="V1374" i="5"/>
  <c r="W1374" i="5"/>
  <c r="X1374" i="5"/>
  <c r="G1375" i="5"/>
  <c r="H1375" i="5"/>
  <c r="I1375" i="5"/>
  <c r="J1375" i="5"/>
  <c r="K1375" i="5"/>
  <c r="L1375" i="5"/>
  <c r="M1375" i="5"/>
  <c r="O1375" i="5"/>
  <c r="P1375" i="5"/>
  <c r="Q1375" i="5"/>
  <c r="U1375" i="5"/>
  <c r="V1375" i="5"/>
  <c r="W1375" i="5"/>
  <c r="X1375" i="5"/>
  <c r="G1376" i="5"/>
  <c r="H1376" i="5"/>
  <c r="I1376" i="5"/>
  <c r="J1376" i="5"/>
  <c r="K1376" i="5"/>
  <c r="L1376" i="5"/>
  <c r="M1376" i="5"/>
  <c r="O1376" i="5"/>
  <c r="P1376" i="5"/>
  <c r="Q1376" i="5"/>
  <c r="U1376" i="5"/>
  <c r="V1376" i="5"/>
  <c r="W1376" i="5"/>
  <c r="X1376" i="5"/>
  <c r="G1377" i="5"/>
  <c r="H1377" i="5"/>
  <c r="I1377" i="5"/>
  <c r="J1377" i="5"/>
  <c r="K1377" i="5"/>
  <c r="L1377" i="5"/>
  <c r="M1377" i="5"/>
  <c r="O1377" i="5"/>
  <c r="P1377" i="5"/>
  <c r="Q1377" i="5"/>
  <c r="U1377" i="5"/>
  <c r="V1377" i="5"/>
  <c r="W1377" i="5"/>
  <c r="X1377" i="5"/>
  <c r="G1378" i="5"/>
  <c r="H1378" i="5"/>
  <c r="I1378" i="5"/>
  <c r="J1378" i="5"/>
  <c r="K1378" i="5"/>
  <c r="L1378" i="5"/>
  <c r="M1378" i="5"/>
  <c r="O1378" i="5"/>
  <c r="P1378" i="5"/>
  <c r="Q1378" i="5"/>
  <c r="U1378" i="5"/>
  <c r="V1378" i="5"/>
  <c r="W1378" i="5"/>
  <c r="X1378" i="5"/>
  <c r="G1379" i="5"/>
  <c r="H1379" i="5"/>
  <c r="I1379" i="5"/>
  <c r="J1379" i="5"/>
  <c r="K1379" i="5"/>
  <c r="L1379" i="5"/>
  <c r="M1379" i="5"/>
  <c r="O1379" i="5"/>
  <c r="P1379" i="5"/>
  <c r="Q1379" i="5"/>
  <c r="U1379" i="5"/>
  <c r="V1379" i="5"/>
  <c r="W1379" i="5"/>
  <c r="X1379" i="5"/>
  <c r="G1380" i="5"/>
  <c r="H1380" i="5"/>
  <c r="I1380" i="5"/>
  <c r="J1380" i="5"/>
  <c r="K1380" i="5"/>
  <c r="L1380" i="5"/>
  <c r="M1380" i="5"/>
  <c r="O1380" i="5"/>
  <c r="P1380" i="5"/>
  <c r="Q1380" i="5"/>
  <c r="U1380" i="5"/>
  <c r="V1380" i="5"/>
  <c r="W1380" i="5"/>
  <c r="X1380" i="5"/>
  <c r="G1381" i="5"/>
  <c r="H1381" i="5"/>
  <c r="I1381" i="5"/>
  <c r="J1381" i="5"/>
  <c r="K1381" i="5"/>
  <c r="L1381" i="5"/>
  <c r="M1381" i="5"/>
  <c r="O1381" i="5"/>
  <c r="P1381" i="5"/>
  <c r="Q1381" i="5"/>
  <c r="U1381" i="5"/>
  <c r="V1381" i="5"/>
  <c r="W1381" i="5"/>
  <c r="X1381" i="5"/>
  <c r="G1382" i="5"/>
  <c r="H1382" i="5"/>
  <c r="I1382" i="5"/>
  <c r="J1382" i="5"/>
  <c r="K1382" i="5"/>
  <c r="L1382" i="5"/>
  <c r="M1382" i="5"/>
  <c r="O1382" i="5"/>
  <c r="P1382" i="5"/>
  <c r="Q1382" i="5"/>
  <c r="U1382" i="5"/>
  <c r="V1382" i="5"/>
  <c r="W1382" i="5"/>
  <c r="X1382" i="5"/>
  <c r="G1383" i="5"/>
  <c r="H1383" i="5"/>
  <c r="I1383" i="5"/>
  <c r="J1383" i="5"/>
  <c r="K1383" i="5"/>
  <c r="L1383" i="5"/>
  <c r="M1383" i="5"/>
  <c r="O1383" i="5"/>
  <c r="P1383" i="5"/>
  <c r="Q1383" i="5"/>
  <c r="U1383" i="5"/>
  <c r="V1383" i="5"/>
  <c r="W1383" i="5"/>
  <c r="X1383" i="5"/>
  <c r="G1384" i="5"/>
  <c r="H1384" i="5"/>
  <c r="I1384" i="5"/>
  <c r="J1384" i="5"/>
  <c r="K1384" i="5"/>
  <c r="L1384" i="5"/>
  <c r="M1384" i="5"/>
  <c r="O1384" i="5"/>
  <c r="P1384" i="5"/>
  <c r="Q1384" i="5"/>
  <c r="U1384" i="5"/>
  <c r="V1384" i="5"/>
  <c r="W1384" i="5"/>
  <c r="X1384" i="5"/>
  <c r="X1385" i="5"/>
  <c r="E1389" i="5" a="1"/>
  <c r="E1389" i="5"/>
  <c r="F1389" i="5"/>
  <c r="G1389" i="5"/>
  <c r="I1389" i="5" a="1"/>
  <c r="I1389" i="5"/>
  <c r="J1389" i="5"/>
  <c r="E1390" i="5"/>
  <c r="F1390" i="5"/>
  <c r="G1390" i="5"/>
  <c r="I1390" i="5"/>
  <c r="J1390" i="5"/>
  <c r="E1391" i="5"/>
  <c r="F1391" i="5"/>
  <c r="G1391" i="5"/>
  <c r="J1391" i="5"/>
  <c r="E1392" i="5"/>
  <c r="F1392" i="5"/>
  <c r="G1392" i="5"/>
  <c r="I1392" i="5"/>
  <c r="J1392" i="5"/>
  <c r="E1393" i="5"/>
  <c r="F1393" i="5"/>
  <c r="G1393" i="5"/>
  <c r="I1393" i="5"/>
  <c r="J1393" i="5"/>
  <c r="E1394" i="5"/>
  <c r="F1394" i="5"/>
  <c r="G1394" i="5"/>
  <c r="J1394" i="5"/>
  <c r="E1395" i="5"/>
  <c r="F1395" i="5"/>
  <c r="G1395" i="5"/>
  <c r="J1395" i="5"/>
  <c r="E1396" i="5"/>
  <c r="F1396" i="5"/>
  <c r="G1396" i="5"/>
  <c r="I1396" i="5"/>
  <c r="J1396" i="5"/>
  <c r="E1397" i="5"/>
  <c r="F1397" i="5"/>
  <c r="G1397" i="5"/>
  <c r="J1397" i="5"/>
  <c r="E1398" i="5"/>
  <c r="F1398" i="5"/>
  <c r="G1398" i="5"/>
  <c r="H1398" i="5"/>
  <c r="I1398" i="5"/>
  <c r="J1398" i="5"/>
  <c r="E1399" i="5"/>
  <c r="F1399" i="5"/>
  <c r="G1399" i="5"/>
  <c r="J1399" i="5"/>
  <c r="E1400" i="5"/>
  <c r="F1400" i="5"/>
  <c r="G1400" i="5"/>
  <c r="H1400" i="5"/>
  <c r="I1400" i="5"/>
  <c r="J1400" i="5"/>
  <c r="E1401" i="5"/>
  <c r="F1401" i="5"/>
  <c r="G1401" i="5"/>
  <c r="J1401" i="5"/>
  <c r="E1402" i="5"/>
  <c r="F1402" i="5"/>
  <c r="G1402" i="5"/>
  <c r="J1402" i="5"/>
  <c r="E1403" i="5"/>
  <c r="F1403" i="5"/>
  <c r="G1403" i="5"/>
  <c r="J1403" i="5"/>
  <c r="E1404" i="5"/>
  <c r="F1404" i="5"/>
  <c r="G1404" i="5"/>
  <c r="H1404" i="5"/>
  <c r="I1404" i="5"/>
  <c r="J1404" i="5"/>
  <c r="E1405" i="5"/>
  <c r="F1405" i="5"/>
  <c r="H1405" i="5"/>
  <c r="I1405" i="5"/>
  <c r="J1405" i="5"/>
  <c r="E1406" i="5"/>
  <c r="G1406" i="5"/>
  <c r="I1406" i="5"/>
  <c r="H1413" i="5"/>
  <c r="I1413" i="5"/>
  <c r="J1413" i="5"/>
  <c r="K1413" i="5"/>
  <c r="L1413" i="5"/>
  <c r="M1413" i="5"/>
  <c r="N1413" i="5"/>
  <c r="P1413" i="5"/>
  <c r="Q1413" i="5"/>
  <c r="R1413" i="5"/>
  <c r="T1413" i="5"/>
  <c r="X1413" i="5"/>
  <c r="Y1413" i="5"/>
  <c r="Z1413" i="5"/>
  <c r="AA1413" i="5"/>
  <c r="AC1413" i="5"/>
  <c r="H1414" i="5"/>
  <c r="I1414" i="5"/>
  <c r="J1414" i="5"/>
  <c r="K1414" i="5"/>
  <c r="L1414" i="5"/>
  <c r="M1414" i="5"/>
  <c r="N1414" i="5"/>
  <c r="P1414" i="5"/>
  <c r="Q1414" i="5"/>
  <c r="R1414" i="5"/>
  <c r="T1414" i="5"/>
  <c r="X1414" i="5"/>
  <c r="Y1414" i="5"/>
  <c r="Z1414" i="5"/>
  <c r="AA1414" i="5"/>
  <c r="AC1414" i="5"/>
  <c r="H1415" i="5"/>
  <c r="I1415" i="5"/>
  <c r="J1415" i="5"/>
  <c r="K1415" i="5"/>
  <c r="L1415" i="5"/>
  <c r="M1415" i="5"/>
  <c r="N1415" i="5"/>
  <c r="P1415" i="5"/>
  <c r="Q1415" i="5"/>
  <c r="R1415" i="5"/>
  <c r="T1415" i="5"/>
  <c r="X1415" i="5"/>
  <c r="Y1415" i="5"/>
  <c r="Z1415" i="5"/>
  <c r="AA1415" i="5"/>
  <c r="AC1415" i="5"/>
  <c r="H1416" i="5"/>
  <c r="I1416" i="5"/>
  <c r="J1416" i="5"/>
  <c r="K1416" i="5"/>
  <c r="L1416" i="5"/>
  <c r="M1416" i="5"/>
  <c r="N1416" i="5"/>
  <c r="P1416" i="5"/>
  <c r="Q1416" i="5"/>
  <c r="R1416" i="5"/>
  <c r="T1416" i="5"/>
  <c r="X1416" i="5"/>
  <c r="Y1416" i="5"/>
  <c r="Z1416" i="5"/>
  <c r="AA1416" i="5"/>
  <c r="AC1416" i="5"/>
  <c r="H1417" i="5"/>
  <c r="I1417" i="5"/>
  <c r="J1417" i="5"/>
  <c r="K1417" i="5"/>
  <c r="L1417" i="5"/>
  <c r="M1417" i="5"/>
  <c r="N1417" i="5"/>
  <c r="P1417" i="5"/>
  <c r="Q1417" i="5"/>
  <c r="R1417" i="5"/>
  <c r="T1417" i="5"/>
  <c r="X1417" i="5"/>
  <c r="Y1417" i="5"/>
  <c r="Z1417" i="5"/>
  <c r="AA1417" i="5"/>
  <c r="AC1417" i="5"/>
  <c r="H1418" i="5"/>
  <c r="I1418" i="5"/>
  <c r="J1418" i="5"/>
  <c r="K1418" i="5"/>
  <c r="L1418" i="5"/>
  <c r="M1418" i="5"/>
  <c r="N1418" i="5"/>
  <c r="P1418" i="5"/>
  <c r="Q1418" i="5"/>
  <c r="R1418" i="5"/>
  <c r="T1418" i="5"/>
  <c r="X1418" i="5"/>
  <c r="Y1418" i="5"/>
  <c r="Z1418" i="5"/>
  <c r="AA1418" i="5"/>
  <c r="AC1418" i="5"/>
  <c r="H1419" i="5"/>
  <c r="I1419" i="5"/>
  <c r="J1419" i="5"/>
  <c r="K1419" i="5"/>
  <c r="L1419" i="5"/>
  <c r="M1419" i="5"/>
  <c r="N1419" i="5"/>
  <c r="P1419" i="5"/>
  <c r="Q1419" i="5"/>
  <c r="R1419" i="5"/>
  <c r="T1419" i="5"/>
  <c r="X1419" i="5"/>
  <c r="Y1419" i="5"/>
  <c r="Z1419" i="5"/>
  <c r="AA1419" i="5"/>
  <c r="AC1419" i="5"/>
  <c r="H1420" i="5"/>
  <c r="I1420" i="5"/>
  <c r="J1420" i="5"/>
  <c r="K1420" i="5"/>
  <c r="L1420" i="5"/>
  <c r="M1420" i="5"/>
  <c r="N1420" i="5"/>
  <c r="P1420" i="5"/>
  <c r="Q1420" i="5"/>
  <c r="R1420" i="5"/>
  <c r="T1420" i="5"/>
  <c r="X1420" i="5"/>
  <c r="Y1420" i="5"/>
  <c r="Z1420" i="5"/>
  <c r="AA1420" i="5"/>
  <c r="AC1420" i="5"/>
  <c r="H1421" i="5"/>
  <c r="I1421" i="5"/>
  <c r="J1421" i="5"/>
  <c r="K1421" i="5"/>
  <c r="L1421" i="5"/>
  <c r="M1421" i="5"/>
  <c r="N1421" i="5"/>
  <c r="P1421" i="5"/>
  <c r="Q1421" i="5"/>
  <c r="R1421" i="5"/>
  <c r="T1421" i="5"/>
  <c r="X1421" i="5"/>
  <c r="Y1421" i="5"/>
  <c r="Z1421" i="5"/>
  <c r="AA1421" i="5"/>
  <c r="AC1421" i="5"/>
  <c r="H1422" i="5"/>
  <c r="I1422" i="5"/>
  <c r="J1422" i="5"/>
  <c r="K1422" i="5"/>
  <c r="L1422" i="5"/>
  <c r="M1422" i="5"/>
  <c r="N1422" i="5"/>
  <c r="P1422" i="5"/>
  <c r="Q1422" i="5"/>
  <c r="R1422" i="5"/>
  <c r="T1422" i="5"/>
  <c r="X1422" i="5"/>
  <c r="Y1422" i="5"/>
  <c r="Z1422" i="5"/>
  <c r="AA1422" i="5"/>
  <c r="AC1422" i="5"/>
  <c r="H1423" i="5"/>
  <c r="I1423" i="5"/>
  <c r="J1423" i="5"/>
  <c r="K1423" i="5"/>
  <c r="L1423" i="5"/>
  <c r="M1423" i="5"/>
  <c r="N1423" i="5"/>
  <c r="P1423" i="5"/>
  <c r="Q1423" i="5"/>
  <c r="R1423" i="5"/>
  <c r="T1423" i="5"/>
  <c r="X1423" i="5"/>
  <c r="Y1423" i="5"/>
  <c r="Z1423" i="5"/>
  <c r="AA1423" i="5"/>
  <c r="AC1423" i="5"/>
  <c r="H1424" i="5"/>
  <c r="I1424" i="5"/>
  <c r="J1424" i="5"/>
  <c r="K1424" i="5"/>
  <c r="L1424" i="5"/>
  <c r="M1424" i="5"/>
  <c r="N1424" i="5"/>
  <c r="P1424" i="5"/>
  <c r="Q1424" i="5"/>
  <c r="R1424" i="5"/>
  <c r="T1424" i="5"/>
  <c r="X1424" i="5"/>
  <c r="Y1424" i="5"/>
  <c r="Z1424" i="5"/>
  <c r="AA1424" i="5"/>
  <c r="AC1424" i="5"/>
  <c r="AA1425" i="5"/>
  <c r="E1426" i="5"/>
  <c r="AC1426" i="5"/>
  <c r="E1427" i="5"/>
  <c r="E1428" i="5"/>
  <c r="E1429" i="5"/>
  <c r="M1432" i="5"/>
  <c r="N1432" i="5"/>
  <c r="P1432" i="5"/>
  <c r="Q1432" i="5"/>
  <c r="R1432" i="5"/>
  <c r="S1432" i="5"/>
  <c r="T1432" i="5"/>
  <c r="M1433" i="5"/>
  <c r="N1433" i="5"/>
  <c r="P1433" i="5"/>
  <c r="Q1433" i="5"/>
  <c r="R1433" i="5"/>
  <c r="S1433" i="5"/>
  <c r="T1433" i="5"/>
  <c r="M1434" i="5"/>
  <c r="N1434" i="5"/>
  <c r="P1434" i="5"/>
  <c r="Q1434" i="5"/>
  <c r="R1434" i="5"/>
  <c r="S1434" i="5"/>
  <c r="T1434" i="5"/>
  <c r="M1435" i="5"/>
  <c r="N1435" i="5"/>
  <c r="P1435" i="5"/>
  <c r="Q1435" i="5"/>
  <c r="R1435" i="5"/>
  <c r="S1435" i="5"/>
  <c r="T1435" i="5"/>
  <c r="M1436" i="5"/>
  <c r="N1436" i="5"/>
  <c r="P1436" i="5"/>
  <c r="Q1436" i="5"/>
  <c r="R1436" i="5"/>
  <c r="S1436" i="5"/>
  <c r="T1436" i="5"/>
  <c r="M1437" i="5"/>
  <c r="N1437" i="5"/>
  <c r="P1437" i="5"/>
  <c r="Q1437" i="5"/>
  <c r="R1437" i="5"/>
  <c r="S1437" i="5"/>
  <c r="T1437" i="5"/>
  <c r="M1438" i="5"/>
  <c r="N1438" i="5"/>
  <c r="P1438" i="5"/>
  <c r="Q1438" i="5"/>
  <c r="R1438" i="5"/>
  <c r="S1438" i="5"/>
  <c r="T1438" i="5"/>
  <c r="M1439" i="5"/>
  <c r="N1439" i="5"/>
  <c r="P1439" i="5"/>
  <c r="Q1439" i="5"/>
  <c r="R1439" i="5"/>
  <c r="S1439" i="5"/>
  <c r="T1439" i="5"/>
  <c r="M1440" i="5"/>
  <c r="N1440" i="5"/>
  <c r="P1440" i="5"/>
  <c r="Q1440" i="5"/>
  <c r="R1440" i="5"/>
  <c r="S1440" i="5"/>
  <c r="T1440" i="5"/>
  <c r="M1441" i="5"/>
  <c r="N1441" i="5"/>
  <c r="P1441" i="5"/>
  <c r="Q1441" i="5"/>
  <c r="R1441" i="5"/>
  <c r="S1441" i="5"/>
  <c r="T1441" i="5"/>
  <c r="M1442" i="5"/>
  <c r="N1442" i="5"/>
  <c r="P1442" i="5"/>
  <c r="Q1442" i="5"/>
  <c r="R1442" i="5"/>
  <c r="S1442" i="5"/>
  <c r="T1442" i="5"/>
  <c r="M1443" i="5"/>
  <c r="N1443" i="5"/>
  <c r="P1443" i="5"/>
  <c r="Q1443" i="5"/>
  <c r="R1443" i="5"/>
  <c r="S1443" i="5"/>
  <c r="T1443" i="5"/>
  <c r="R1444" i="5"/>
  <c r="S1444" i="5"/>
  <c r="T1444" i="5"/>
  <c r="E1480" i="5"/>
  <c r="E1482" i="5"/>
  <c r="E1483" i="5"/>
  <c r="E1485" i="5"/>
  <c r="E1486" i="5"/>
  <c r="E1487" i="5"/>
  <c r="E1488" i="5"/>
  <c r="E1489" i="5"/>
  <c r="E1490" i="5"/>
  <c r="E1491" i="5"/>
  <c r="E1492" i="5"/>
  <c r="E1494" i="5"/>
  <c r="E1495" i="5"/>
  <c r="E1496" i="5"/>
  <c r="E1497" i="5"/>
  <c r="E1499" i="5"/>
  <c r="E1500" i="5"/>
  <c r="E1501" i="5"/>
  <c r="E1502" i="5"/>
  <c r="E1504" i="5"/>
  <c r="E1505" i="5"/>
  <c r="E1506" i="5"/>
  <c r="E1507" i="5"/>
  <c r="E1514" i="5"/>
  <c r="E1515" i="5"/>
  <c r="E1516" i="5"/>
  <c r="E1517" i="5"/>
  <c r="E1519" i="5"/>
  <c r="E1520" i="5"/>
  <c r="E1521" i="5"/>
  <c r="E1522" i="5"/>
  <c r="J1529" i="5"/>
  <c r="K1529" i="5"/>
  <c r="M1529" i="5" a="1"/>
  <c r="M1529" i="5"/>
  <c r="N1529" i="5"/>
  <c r="J1530" i="5"/>
  <c r="K1530" i="5"/>
  <c r="M1530" i="5" a="1"/>
  <c r="M1530" i="5"/>
  <c r="J1531" i="5"/>
  <c r="K1531" i="5"/>
  <c r="M1531" i="5" a="1"/>
  <c r="M1531" i="5"/>
  <c r="J1532" i="5"/>
  <c r="K1532" i="5"/>
  <c r="M1532" i="5" a="1"/>
  <c r="M1532" i="5"/>
  <c r="J1533" i="5"/>
  <c r="K1533" i="5"/>
  <c r="M1533" i="5" a="1"/>
  <c r="M1533" i="5"/>
  <c r="J1534" i="5"/>
  <c r="K1534" i="5"/>
  <c r="M1534" i="5" a="1"/>
  <c r="M1534" i="5"/>
  <c r="J1535" i="5"/>
  <c r="K1535" i="5"/>
  <c r="M1535" i="5" a="1"/>
  <c r="M1535" i="5"/>
  <c r="J1536" i="5"/>
  <c r="K1536" i="5"/>
  <c r="M1536" i="5" a="1"/>
  <c r="M1536" i="5"/>
  <c r="J1537" i="5"/>
  <c r="J1538" i="5"/>
  <c r="M1540" i="5"/>
  <c r="G1541" i="5"/>
  <c r="G1542" i="5"/>
  <c r="O1542" i="5"/>
  <c r="G1543" i="5"/>
  <c r="O1543" i="5"/>
  <c r="G1544" i="5"/>
  <c r="O1544" i="5"/>
  <c r="G1545" i="5"/>
  <c r="G1546" i="5"/>
  <c r="G1547" i="5"/>
  <c r="O1547" i="5"/>
  <c r="G1548" i="5"/>
  <c r="O1548" i="5"/>
  <c r="G1550" i="5"/>
  <c r="I1560" i="5"/>
  <c r="J1560" i="5"/>
  <c r="K1560" i="5"/>
  <c r="I1561" i="5"/>
  <c r="J1561" i="5"/>
  <c r="K1561" i="5"/>
  <c r="H1562" i="5"/>
  <c r="I1562" i="5"/>
  <c r="J1562" i="5"/>
  <c r="K1562" i="5"/>
  <c r="F1563" i="5"/>
  <c r="I1563" i="5"/>
  <c r="J1563" i="5"/>
  <c r="K1563" i="5"/>
  <c r="I1564" i="5"/>
  <c r="J1564" i="5"/>
  <c r="K1564" i="5"/>
  <c r="I1565" i="5"/>
  <c r="J1565" i="5"/>
  <c r="K1565" i="5"/>
  <c r="I1566" i="5"/>
  <c r="J1566" i="5"/>
  <c r="K1566" i="5"/>
  <c r="I1567" i="5"/>
  <c r="J1567" i="5"/>
  <c r="K1567" i="5"/>
  <c r="I1568" i="5"/>
  <c r="J1568" i="5"/>
  <c r="K1568" i="5"/>
  <c r="J1569" i="5"/>
  <c r="K1569" i="5"/>
  <c r="I1570" i="5"/>
  <c r="J1570" i="5"/>
  <c r="K1570" i="5"/>
  <c r="I1571" i="5"/>
  <c r="J1571" i="5"/>
  <c r="K1571" i="5"/>
  <c r="E1572" i="5"/>
  <c r="E1573" i="5"/>
  <c r="J1573" i="5"/>
  <c r="E1580" i="5"/>
  <c r="G1580" i="5"/>
  <c r="L1580" i="5"/>
  <c r="P1580" i="5"/>
  <c r="L1581" i="5"/>
  <c r="P1581" i="5"/>
  <c r="E1582" i="5"/>
  <c r="L1582" i="5"/>
  <c r="P1582" i="5"/>
  <c r="L1583" i="5"/>
  <c r="P1583" i="5"/>
  <c r="E1584" i="5"/>
  <c r="L1584" i="5"/>
  <c r="P1584" i="5"/>
  <c r="L1585" i="5"/>
  <c r="E1586" i="5"/>
  <c r="L1587" i="5"/>
  <c r="E1588" i="5"/>
  <c r="L1588" i="5"/>
  <c r="P1588" i="5"/>
  <c r="L1589" i="5"/>
  <c r="P1589" i="5"/>
  <c r="E1590" i="5"/>
  <c r="P1590" i="5"/>
  <c r="E1592" i="5"/>
  <c r="L1592" i="5"/>
  <c r="P1592" i="5"/>
  <c r="L1593" i="5"/>
  <c r="P1593" i="5"/>
  <c r="E1594" i="5"/>
  <c r="P1594" i="5"/>
  <c r="E1595" i="5"/>
  <c r="L1595" i="5"/>
  <c r="E1596" i="5"/>
  <c r="L1596" i="5" a="1"/>
  <c r="L1596" i="5"/>
  <c r="P1596" i="5"/>
  <c r="E1597" i="5"/>
  <c r="L1597" i="5"/>
  <c r="P1597" i="5"/>
  <c r="L1598" i="5"/>
  <c r="P1598" i="5"/>
  <c r="L1599" i="5"/>
  <c r="P1599" i="5"/>
  <c r="L1600" i="5"/>
  <c r="E1601" i="5"/>
  <c r="P1601" i="5"/>
  <c r="L1602" i="5"/>
  <c r="P1602" i="5"/>
  <c r="E1603" i="5"/>
  <c r="L1603" i="5"/>
  <c r="P1603" i="5"/>
  <c r="E1604" i="5"/>
  <c r="L1604" i="5"/>
  <c r="E1605" i="5"/>
  <c r="L1605" i="5"/>
  <c r="E1606" i="5"/>
  <c r="L1606" i="5"/>
  <c r="E1607" i="5"/>
  <c r="L1607" i="5"/>
  <c r="E1608" i="5"/>
  <c r="L1608" i="5"/>
  <c r="P1608" i="5"/>
  <c r="E1609" i="5"/>
  <c r="E1610" i="5"/>
  <c r="P1612" i="5"/>
  <c r="E1613" i="5"/>
  <c r="E1614" i="5"/>
  <c r="P1614" i="5"/>
  <c r="P1615" i="5"/>
  <c r="P1616" i="5"/>
  <c r="P1617" i="5"/>
  <c r="E1618" i="5"/>
  <c r="F1618" i="5"/>
  <c r="P1618" i="5"/>
  <c r="E1619" i="5"/>
  <c r="F1619" i="5"/>
  <c r="P1619" i="5"/>
  <c r="E1620" i="5"/>
  <c r="F1620" i="5"/>
  <c r="P1620" i="5"/>
  <c r="E1621" i="5"/>
  <c r="F1621" i="5"/>
  <c r="P1621" i="5"/>
  <c r="P1622" i="5"/>
  <c r="E1624" i="5"/>
  <c r="F1624" i="5"/>
  <c r="E1625" i="5"/>
  <c r="F1625" i="5"/>
  <c r="E1626" i="5"/>
  <c r="F1626" i="5"/>
  <c r="E1627" i="5"/>
  <c r="F1627" i="5"/>
  <c r="E1628" i="5"/>
  <c r="F1628" i="5"/>
  <c r="E1629" i="5"/>
  <c r="F1629" i="5"/>
  <c r="E1630" i="5"/>
  <c r="F1630" i="5"/>
  <c r="E1633" i="5"/>
  <c r="F1633" i="5"/>
  <c r="G1633" i="5"/>
  <c r="H1633" i="5"/>
  <c r="I1633" i="5"/>
  <c r="J1633" i="5"/>
  <c r="K1633" i="5"/>
  <c r="L1633" i="5"/>
  <c r="M1633" i="5"/>
  <c r="N1633" i="5"/>
  <c r="O1633" i="5"/>
  <c r="P1633" i="5"/>
  <c r="Q1633" i="5"/>
  <c r="R1633" i="5"/>
  <c r="S1633" i="5"/>
  <c r="T1633" i="5"/>
  <c r="U1633" i="5"/>
  <c r="V1633" i="5"/>
  <c r="Y1633" i="5"/>
  <c r="Z1633" i="5"/>
  <c r="AA1633" i="5"/>
  <c r="AB1633" i="5"/>
  <c r="AC1633" i="5"/>
  <c r="AD1633" i="5"/>
  <c r="AE1633" i="5"/>
  <c r="AF1633" i="5"/>
  <c r="AG1633" i="5"/>
  <c r="AH1633" i="5"/>
  <c r="AI1633" i="5"/>
  <c r="AJ1633" i="5"/>
  <c r="AK1633" i="5"/>
  <c r="AL1633" i="5"/>
  <c r="AM1633" i="5"/>
  <c r="AN1633" i="5"/>
  <c r="AO1633" i="5"/>
  <c r="AP1633" i="5"/>
  <c r="E1634" i="5"/>
  <c r="F1634" i="5"/>
  <c r="G1634" i="5"/>
  <c r="H1634" i="5"/>
  <c r="I1634" i="5"/>
  <c r="J1634" i="5"/>
  <c r="K1634" i="5"/>
  <c r="L1634" i="5"/>
  <c r="M1634" i="5"/>
  <c r="N1634" i="5"/>
  <c r="O1634" i="5"/>
  <c r="P1634" i="5"/>
  <c r="Q1634" i="5"/>
  <c r="R1634" i="5"/>
  <c r="S1634" i="5"/>
  <c r="T1634" i="5"/>
  <c r="U1634" i="5"/>
  <c r="V1634" i="5"/>
  <c r="Y1634" i="5"/>
  <c r="Z1634" i="5"/>
  <c r="AA1634" i="5"/>
  <c r="AB1634" i="5"/>
  <c r="AC1634" i="5"/>
  <c r="AD1634" i="5"/>
  <c r="AE1634" i="5"/>
  <c r="AF1634" i="5"/>
  <c r="AG1634" i="5"/>
  <c r="AH1634" i="5"/>
  <c r="AI1634" i="5"/>
  <c r="AJ1634" i="5"/>
  <c r="AK1634" i="5"/>
  <c r="AL1634" i="5"/>
  <c r="AM1634" i="5"/>
  <c r="AN1634" i="5"/>
  <c r="AO1634" i="5"/>
  <c r="AP1634" i="5"/>
  <c r="Y1635" i="5"/>
  <c r="Z1635" i="5"/>
  <c r="AA1635" i="5"/>
  <c r="AB1635" i="5"/>
  <c r="AC1635" i="5"/>
  <c r="AD1635" i="5"/>
  <c r="AE1635" i="5"/>
  <c r="AF1635" i="5"/>
  <c r="AG1635" i="5"/>
  <c r="AH1635" i="5"/>
  <c r="AI1635" i="5"/>
  <c r="AJ1635" i="5"/>
  <c r="AK1635" i="5"/>
  <c r="AL1635" i="5"/>
  <c r="AM1635" i="5"/>
  <c r="AN1635" i="5"/>
  <c r="AO1635" i="5"/>
  <c r="AP1635" i="5"/>
  <c r="E1636" i="5" a="1"/>
  <c r="E1636" i="5"/>
  <c r="F1636" i="5" a="1"/>
  <c r="F1636" i="5"/>
  <c r="G1636" i="5" a="1"/>
  <c r="G1636" i="5"/>
  <c r="H1636" i="5" a="1"/>
  <c r="H1636" i="5"/>
  <c r="I1636" i="5" a="1"/>
  <c r="I1636" i="5"/>
  <c r="J1636" i="5" a="1"/>
  <c r="J1636" i="5"/>
  <c r="K1636" i="5" a="1"/>
  <c r="K1636" i="5"/>
  <c r="L1636" i="5" a="1"/>
  <c r="L1636" i="5"/>
  <c r="M1636" i="5" a="1"/>
  <c r="M1636" i="5"/>
  <c r="N1636" i="5" a="1"/>
  <c r="N1636" i="5"/>
  <c r="O1636" i="5" a="1"/>
  <c r="O1636" i="5"/>
  <c r="P1636" i="5" a="1"/>
  <c r="P1636" i="5"/>
  <c r="Q1636" i="5" a="1"/>
  <c r="Q1636" i="5"/>
  <c r="R1636" i="5" a="1"/>
  <c r="R1636" i="5"/>
  <c r="S1636" i="5" a="1"/>
  <c r="S1636" i="5"/>
  <c r="T1636" i="5" a="1"/>
  <c r="T1636" i="5"/>
  <c r="U1636" i="5" a="1"/>
  <c r="U1636" i="5"/>
  <c r="V1636" i="5" a="1"/>
  <c r="V1636" i="5"/>
  <c r="Y1636" i="5"/>
  <c r="Z1636" i="5"/>
  <c r="AA1636" i="5"/>
  <c r="AB1636" i="5"/>
  <c r="AC1636" i="5"/>
  <c r="AD1636" i="5"/>
  <c r="AE1636" i="5"/>
  <c r="AF1636" i="5"/>
  <c r="AG1636" i="5"/>
  <c r="AH1636" i="5"/>
  <c r="AI1636" i="5"/>
  <c r="AJ1636" i="5"/>
  <c r="AK1636" i="5"/>
  <c r="AL1636" i="5"/>
  <c r="AM1636" i="5"/>
  <c r="AN1636" i="5"/>
  <c r="AO1636" i="5"/>
  <c r="AP1636" i="5"/>
  <c r="E1637" i="5" a="1"/>
  <c r="E1637" i="5"/>
  <c r="F1637" i="5" a="1"/>
  <c r="F1637" i="5"/>
  <c r="G1637" i="5" a="1"/>
  <c r="G1637" i="5"/>
  <c r="H1637" i="5" a="1"/>
  <c r="H1637" i="5"/>
  <c r="I1637" i="5" a="1"/>
  <c r="I1637" i="5"/>
  <c r="J1637" i="5" a="1"/>
  <c r="J1637" i="5"/>
  <c r="K1637" i="5" a="1"/>
  <c r="K1637" i="5"/>
  <c r="L1637" i="5" a="1"/>
  <c r="L1637" i="5"/>
  <c r="M1637" i="5" a="1"/>
  <c r="M1637" i="5"/>
  <c r="N1637" i="5" a="1"/>
  <c r="N1637" i="5"/>
  <c r="O1637" i="5" a="1"/>
  <c r="O1637" i="5"/>
  <c r="P1637" i="5" a="1"/>
  <c r="P1637" i="5"/>
  <c r="Q1637" i="5" a="1"/>
  <c r="Q1637" i="5"/>
  <c r="R1637" i="5" a="1"/>
  <c r="R1637" i="5"/>
  <c r="S1637" i="5" a="1"/>
  <c r="S1637" i="5"/>
  <c r="T1637" i="5" a="1"/>
  <c r="T1637" i="5"/>
  <c r="U1637" i="5" a="1"/>
  <c r="U1637" i="5"/>
  <c r="V1637" i="5" a="1"/>
  <c r="V1637" i="5"/>
  <c r="Y1637" i="5"/>
  <c r="Z1637" i="5"/>
  <c r="AA1637" i="5"/>
  <c r="AB1637" i="5"/>
  <c r="AC1637" i="5"/>
  <c r="AD1637" i="5"/>
  <c r="AE1637" i="5"/>
  <c r="AF1637" i="5"/>
  <c r="AG1637" i="5"/>
  <c r="AH1637" i="5"/>
  <c r="AI1637" i="5"/>
  <c r="AJ1637" i="5"/>
  <c r="AK1637" i="5"/>
  <c r="AL1637" i="5"/>
  <c r="AM1637" i="5"/>
  <c r="AN1637" i="5"/>
  <c r="AO1637" i="5"/>
  <c r="AP1637" i="5"/>
  <c r="E1638" i="5"/>
  <c r="F1638" i="5"/>
  <c r="G1638" i="5"/>
  <c r="H1638" i="5"/>
  <c r="I1638" i="5"/>
  <c r="J1638" i="5"/>
  <c r="K1638" i="5"/>
  <c r="L1638" i="5"/>
  <c r="M1638" i="5"/>
  <c r="N1638" i="5"/>
  <c r="O1638" i="5"/>
  <c r="P1638" i="5"/>
  <c r="Q1638" i="5"/>
  <c r="R1638" i="5"/>
  <c r="S1638" i="5"/>
  <c r="T1638" i="5"/>
  <c r="U1638" i="5"/>
  <c r="V1638" i="5"/>
  <c r="Y1638" i="5"/>
  <c r="Z1638" i="5"/>
  <c r="AA1638" i="5"/>
  <c r="AB1638" i="5"/>
  <c r="AC1638" i="5"/>
  <c r="AD1638" i="5"/>
  <c r="AE1638" i="5"/>
  <c r="AF1638" i="5"/>
  <c r="AG1638" i="5"/>
  <c r="AH1638" i="5"/>
  <c r="AI1638" i="5"/>
  <c r="AJ1638" i="5"/>
  <c r="AK1638" i="5"/>
  <c r="AL1638" i="5"/>
  <c r="AM1638" i="5"/>
  <c r="AN1638" i="5"/>
  <c r="AO1638" i="5"/>
  <c r="AP1638" i="5"/>
  <c r="E1639" i="5"/>
  <c r="F1639" i="5"/>
  <c r="G1639" i="5"/>
  <c r="H1639" i="5"/>
  <c r="I1639" i="5"/>
  <c r="J1639" i="5"/>
  <c r="K1639" i="5"/>
  <c r="L1639" i="5"/>
  <c r="M1639" i="5"/>
  <c r="N1639" i="5"/>
  <c r="O1639" i="5"/>
  <c r="P1639" i="5"/>
  <c r="Q1639" i="5"/>
  <c r="R1639" i="5"/>
  <c r="S1639" i="5"/>
  <c r="T1639" i="5"/>
  <c r="U1639" i="5"/>
  <c r="V1639" i="5"/>
  <c r="Y1639" i="5"/>
  <c r="Z1639" i="5"/>
  <c r="AA1639" i="5"/>
  <c r="AB1639" i="5"/>
  <c r="AC1639" i="5"/>
  <c r="AD1639" i="5"/>
  <c r="AE1639" i="5"/>
  <c r="AF1639" i="5"/>
  <c r="AG1639" i="5"/>
  <c r="AH1639" i="5"/>
  <c r="AI1639" i="5"/>
  <c r="AJ1639" i="5"/>
  <c r="AK1639" i="5"/>
  <c r="AL1639" i="5"/>
  <c r="AM1639" i="5"/>
  <c r="AN1639" i="5"/>
  <c r="AO1639" i="5"/>
  <c r="AP1639" i="5"/>
  <c r="E1640" i="5"/>
  <c r="F1640" i="5"/>
  <c r="G1640" i="5"/>
  <c r="H1640" i="5"/>
  <c r="I1640" i="5"/>
  <c r="J1640" i="5"/>
  <c r="K1640" i="5"/>
  <c r="L1640" i="5"/>
  <c r="M1640" i="5"/>
  <c r="N1640" i="5"/>
  <c r="O1640" i="5"/>
  <c r="P1640" i="5"/>
  <c r="Q1640" i="5"/>
  <c r="R1640" i="5"/>
  <c r="S1640" i="5"/>
  <c r="T1640" i="5"/>
  <c r="U1640" i="5"/>
  <c r="V1640" i="5"/>
  <c r="Y1640" i="5"/>
  <c r="Z1640" i="5"/>
  <c r="AA1640" i="5"/>
  <c r="AB1640" i="5"/>
  <c r="AC1640" i="5"/>
  <c r="AD1640" i="5"/>
  <c r="AE1640" i="5"/>
  <c r="AF1640" i="5"/>
  <c r="AG1640" i="5"/>
  <c r="AH1640" i="5"/>
  <c r="AI1640" i="5"/>
  <c r="AJ1640" i="5"/>
  <c r="AK1640" i="5"/>
  <c r="AL1640" i="5"/>
  <c r="AM1640" i="5"/>
  <c r="AN1640" i="5"/>
  <c r="AO1640" i="5"/>
  <c r="AP1640" i="5"/>
  <c r="E1641" i="5"/>
  <c r="F1641" i="5"/>
  <c r="G1641" i="5"/>
  <c r="H1641" i="5"/>
  <c r="I1641" i="5"/>
  <c r="J1641" i="5"/>
  <c r="K1641" i="5"/>
  <c r="L1641" i="5"/>
  <c r="M1641" i="5"/>
  <c r="N1641" i="5"/>
  <c r="O1641" i="5"/>
  <c r="P1641" i="5"/>
  <c r="Q1641" i="5"/>
  <c r="R1641" i="5"/>
  <c r="S1641" i="5"/>
  <c r="T1641" i="5"/>
  <c r="U1641" i="5"/>
  <c r="V1641" i="5"/>
  <c r="Y1641" i="5"/>
  <c r="Z1641" i="5"/>
  <c r="AA1641" i="5"/>
  <c r="AB1641" i="5"/>
  <c r="AC1641" i="5"/>
  <c r="AD1641" i="5"/>
  <c r="AE1641" i="5"/>
  <c r="AF1641" i="5"/>
  <c r="AG1641" i="5"/>
  <c r="AH1641" i="5"/>
  <c r="AI1641" i="5"/>
  <c r="AJ1641" i="5"/>
  <c r="AK1641" i="5"/>
  <c r="AL1641" i="5"/>
  <c r="AM1641" i="5"/>
  <c r="AN1641" i="5"/>
  <c r="AO1641" i="5"/>
  <c r="AP1641" i="5"/>
  <c r="E1642" i="5" a="1"/>
  <c r="E1642" i="5"/>
  <c r="F1642" i="5" a="1"/>
  <c r="F1642" i="5"/>
  <c r="G1642" i="5" a="1"/>
  <c r="G1642" i="5"/>
  <c r="H1642" i="5" a="1"/>
  <c r="H1642" i="5"/>
  <c r="I1642" i="5" a="1"/>
  <c r="I1642" i="5"/>
  <c r="J1642" i="5" a="1"/>
  <c r="J1642" i="5"/>
  <c r="K1642" i="5" a="1"/>
  <c r="K1642" i="5"/>
  <c r="L1642" i="5" a="1"/>
  <c r="L1642" i="5"/>
  <c r="M1642" i="5" a="1"/>
  <c r="M1642" i="5"/>
  <c r="N1642" i="5" a="1"/>
  <c r="N1642" i="5"/>
  <c r="O1642" i="5" a="1"/>
  <c r="O1642" i="5"/>
  <c r="P1642" i="5" a="1"/>
  <c r="P1642" i="5"/>
  <c r="Q1642" i="5" a="1"/>
  <c r="Q1642" i="5"/>
  <c r="R1642" i="5" a="1"/>
  <c r="R1642" i="5"/>
  <c r="S1642" i="5" a="1"/>
  <c r="S1642" i="5"/>
  <c r="T1642" i="5" a="1"/>
  <c r="T1642" i="5"/>
  <c r="U1642" i="5" a="1"/>
  <c r="U1642" i="5"/>
  <c r="V1642" i="5" a="1"/>
  <c r="V1642" i="5"/>
  <c r="Y1642" i="5"/>
  <c r="Z1642" i="5"/>
  <c r="AA1642" i="5"/>
  <c r="AB1642" i="5"/>
  <c r="AC1642" i="5"/>
  <c r="AD1642" i="5"/>
  <c r="AE1642" i="5"/>
  <c r="AF1642" i="5"/>
  <c r="AG1642" i="5"/>
  <c r="AH1642" i="5"/>
  <c r="AI1642" i="5"/>
  <c r="AJ1642" i="5"/>
  <c r="AK1642" i="5"/>
  <c r="AL1642" i="5"/>
  <c r="AM1642" i="5"/>
  <c r="AN1642" i="5"/>
  <c r="AO1642" i="5"/>
  <c r="AP1642" i="5"/>
  <c r="E1643" i="5"/>
  <c r="F1643" i="5"/>
  <c r="G1643" i="5"/>
  <c r="H1643" i="5"/>
  <c r="I1643" i="5"/>
  <c r="J1643" i="5"/>
  <c r="K1643" i="5"/>
  <c r="L1643" i="5"/>
  <c r="M1643" i="5"/>
  <c r="N1643" i="5"/>
  <c r="O1643" i="5"/>
  <c r="P1643" i="5"/>
  <c r="Q1643" i="5"/>
  <c r="R1643" i="5"/>
  <c r="S1643" i="5"/>
  <c r="T1643" i="5"/>
  <c r="U1643" i="5"/>
  <c r="V1643" i="5"/>
  <c r="Y1643" i="5"/>
  <c r="Z1643" i="5"/>
  <c r="AA1643" i="5"/>
  <c r="AB1643" i="5"/>
  <c r="AC1643" i="5"/>
  <c r="AD1643" i="5"/>
  <c r="AE1643" i="5"/>
  <c r="AF1643" i="5"/>
  <c r="AG1643" i="5"/>
  <c r="AH1643" i="5"/>
  <c r="AI1643" i="5"/>
  <c r="AJ1643" i="5"/>
  <c r="AK1643" i="5"/>
  <c r="AL1643" i="5"/>
  <c r="AM1643" i="5"/>
  <c r="AN1643" i="5"/>
  <c r="AO1643" i="5"/>
  <c r="AP1643" i="5"/>
  <c r="E1644" i="5"/>
  <c r="F1644" i="5"/>
  <c r="G1644" i="5"/>
  <c r="H1644" i="5"/>
  <c r="I1644" i="5"/>
  <c r="J1644" i="5"/>
  <c r="K1644" i="5"/>
  <c r="L1644" i="5"/>
  <c r="M1644" i="5"/>
  <c r="N1644" i="5"/>
  <c r="O1644" i="5"/>
  <c r="P1644" i="5"/>
  <c r="Q1644" i="5"/>
  <c r="R1644" i="5"/>
  <c r="S1644" i="5"/>
  <c r="T1644" i="5"/>
  <c r="U1644" i="5"/>
  <c r="V1644" i="5"/>
  <c r="Y1644" i="5"/>
  <c r="Z1644" i="5"/>
  <c r="AA1644" i="5"/>
  <c r="AB1644" i="5"/>
  <c r="AC1644" i="5"/>
  <c r="AD1644" i="5"/>
  <c r="AE1644" i="5"/>
  <c r="AF1644" i="5"/>
  <c r="AG1644" i="5"/>
  <c r="AH1644" i="5"/>
  <c r="AI1644" i="5"/>
  <c r="AJ1644" i="5"/>
  <c r="AK1644" i="5"/>
  <c r="AL1644" i="5"/>
  <c r="AM1644" i="5"/>
  <c r="AN1644" i="5"/>
  <c r="AO1644" i="5"/>
  <c r="AP1644" i="5"/>
  <c r="E1645" i="5"/>
  <c r="F1645" i="5"/>
  <c r="G1645" i="5"/>
  <c r="H1645" i="5"/>
  <c r="I1645" i="5"/>
  <c r="J1645" i="5"/>
  <c r="K1645" i="5"/>
  <c r="L1645" i="5"/>
  <c r="M1645" i="5"/>
  <c r="N1645" i="5"/>
  <c r="O1645" i="5"/>
  <c r="P1645" i="5"/>
  <c r="Q1645" i="5"/>
  <c r="R1645" i="5"/>
  <c r="S1645" i="5"/>
  <c r="T1645" i="5"/>
  <c r="U1645" i="5"/>
  <c r="V1645" i="5"/>
  <c r="Y1645" i="5"/>
  <c r="Z1645" i="5"/>
  <c r="AA1645" i="5"/>
  <c r="AB1645" i="5"/>
  <c r="AC1645" i="5"/>
  <c r="AD1645" i="5"/>
  <c r="AE1645" i="5"/>
  <c r="AF1645" i="5"/>
  <c r="AG1645" i="5"/>
  <c r="AH1645" i="5"/>
  <c r="AI1645" i="5"/>
  <c r="AJ1645" i="5"/>
  <c r="AK1645" i="5"/>
  <c r="AL1645" i="5"/>
  <c r="AM1645" i="5"/>
  <c r="AN1645" i="5"/>
  <c r="AO1645" i="5"/>
  <c r="AP1645" i="5"/>
  <c r="E1646" i="5"/>
  <c r="F1646" i="5"/>
  <c r="G1646" i="5"/>
  <c r="H1646" i="5"/>
  <c r="I1646" i="5"/>
  <c r="J1646" i="5"/>
  <c r="K1646" i="5"/>
  <c r="L1646" i="5"/>
  <c r="M1646" i="5"/>
  <c r="N1646" i="5"/>
  <c r="O1646" i="5"/>
  <c r="P1646" i="5"/>
  <c r="Q1646" i="5"/>
  <c r="R1646" i="5"/>
  <c r="S1646" i="5"/>
  <c r="T1646" i="5"/>
  <c r="U1646" i="5"/>
  <c r="V1646" i="5"/>
  <c r="Y1646" i="5"/>
  <c r="Z1646" i="5"/>
  <c r="AA1646" i="5"/>
  <c r="AB1646" i="5"/>
  <c r="AC1646" i="5"/>
  <c r="AD1646" i="5"/>
  <c r="AE1646" i="5"/>
  <c r="AF1646" i="5"/>
  <c r="AG1646" i="5"/>
  <c r="AH1646" i="5"/>
  <c r="AI1646" i="5"/>
  <c r="AJ1646" i="5"/>
  <c r="AK1646" i="5"/>
  <c r="AL1646" i="5"/>
  <c r="AM1646" i="5"/>
  <c r="AN1646" i="5"/>
  <c r="AO1646" i="5"/>
  <c r="AP1646" i="5"/>
  <c r="E1647" i="5"/>
  <c r="F1647" i="5"/>
  <c r="G1647" i="5"/>
  <c r="H1647" i="5"/>
  <c r="I1647" i="5"/>
  <c r="J1647" i="5"/>
  <c r="K1647" i="5"/>
  <c r="L1647" i="5"/>
  <c r="M1647" i="5"/>
  <c r="N1647" i="5"/>
  <c r="O1647" i="5"/>
  <c r="P1647" i="5"/>
  <c r="Q1647" i="5"/>
  <c r="R1647" i="5"/>
  <c r="S1647" i="5"/>
  <c r="T1647" i="5"/>
  <c r="U1647" i="5"/>
  <c r="V1647" i="5"/>
  <c r="E1648" i="5"/>
  <c r="F1648" i="5"/>
  <c r="G1648" i="5"/>
  <c r="H1648" i="5"/>
  <c r="I1648" i="5"/>
  <c r="J1648" i="5"/>
  <c r="K1648" i="5"/>
  <c r="L1648" i="5"/>
  <c r="M1648" i="5"/>
  <c r="N1648" i="5"/>
  <c r="O1648" i="5"/>
  <c r="P1648" i="5"/>
  <c r="Q1648" i="5"/>
  <c r="R1648" i="5"/>
  <c r="S1648" i="5"/>
  <c r="T1648" i="5"/>
  <c r="U1648" i="5"/>
  <c r="V1648" i="5"/>
  <c r="E1660" i="5"/>
  <c r="E1661" i="5"/>
  <c r="E1662" i="5"/>
  <c r="I1665" i="5"/>
  <c r="J1665" i="5"/>
  <c r="K1665" i="5"/>
  <c r="N1665" i="5"/>
  <c r="P1665" i="5"/>
  <c r="Q1665" i="5"/>
  <c r="R1665" i="5"/>
  <c r="S1665" i="5"/>
  <c r="T1665" i="5"/>
  <c r="U1665" i="5"/>
  <c r="I1666" i="5"/>
  <c r="J1666" i="5"/>
  <c r="K1666" i="5"/>
  <c r="N1666" i="5"/>
  <c r="P1666" i="5"/>
  <c r="I1667" i="5"/>
  <c r="J1667" i="5"/>
  <c r="K1667" i="5"/>
  <c r="N1667" i="5"/>
  <c r="P1667" i="5"/>
  <c r="I1668" i="5"/>
  <c r="J1668" i="5"/>
  <c r="K1668" i="5"/>
  <c r="N1668" i="5"/>
  <c r="P1668" i="5"/>
  <c r="Q1668" i="5"/>
  <c r="I1670" i="5"/>
  <c r="J1670" i="5"/>
  <c r="K1670" i="5"/>
  <c r="N1670" i="5"/>
  <c r="P1670" i="5"/>
  <c r="Q1670" i="5"/>
  <c r="I1671" i="5"/>
  <c r="J1671" i="5"/>
  <c r="K1671" i="5"/>
  <c r="N1671" i="5"/>
  <c r="P1671" i="5"/>
  <c r="Q1671" i="5"/>
  <c r="J1672" i="5"/>
  <c r="K1672" i="5"/>
  <c r="N1672" i="5"/>
  <c r="P1672" i="5"/>
  <c r="Q1672" i="5"/>
  <c r="P1673" i="5"/>
  <c r="M1688" i="5"/>
  <c r="P1688" i="5"/>
  <c r="M1689" i="5"/>
  <c r="M1691" i="5"/>
  <c r="M1692" i="5"/>
  <c r="M1695" i="5"/>
  <c r="M1696" i="5"/>
  <c r="M1697" i="5"/>
  <c r="E1698" i="5"/>
  <c r="M1698" i="5"/>
  <c r="E1699" i="5"/>
  <c r="F1699" i="5"/>
  <c r="G1699" i="5"/>
  <c r="E1700" i="5"/>
  <c r="F1700" i="5"/>
  <c r="G1700" i="5"/>
  <c r="F1701" i="5"/>
  <c r="G1701" i="5"/>
  <c r="E7" i="41"/>
  <c r="E8" i="41"/>
  <c r="E9" i="41"/>
  <c r="E10" i="41"/>
  <c r="E11" i="41"/>
  <c r="E14" i="41"/>
  <c r="E15" i="41"/>
  <c r="E16" i="41"/>
  <c r="E19" i="41"/>
  <c r="E20" i="41"/>
  <c r="E21" i="41"/>
  <c r="E22" i="41"/>
  <c r="E23" i="41"/>
  <c r="E24" i="41"/>
  <c r="E25" i="41"/>
  <c r="E29" i="41"/>
  <c r="E30" i="41"/>
  <c r="E31" i="41"/>
  <c r="E36" i="41"/>
  <c r="E40" i="41"/>
  <c r="E43" i="41"/>
  <c r="E44" i="41"/>
  <c r="E45" i="41"/>
  <c r="E46" i="41"/>
  <c r="E47" i="41"/>
  <c r="E48" i="41"/>
  <c r="E6" i="8"/>
  <c r="F6" i="8"/>
  <c r="E7" i="8"/>
  <c r="F7" i="8"/>
  <c r="E8" i="8"/>
  <c r="F8" i="8"/>
  <c r="E9" i="8"/>
  <c r="F9" i="8"/>
  <c r="E10" i="8"/>
  <c r="F10" i="8"/>
  <c r="E11" i="8"/>
  <c r="F11" i="8"/>
  <c r="E12" i="8"/>
  <c r="F12" i="8"/>
  <c r="E13" i="8"/>
  <c r="F13" i="8"/>
  <c r="E14" i="8"/>
  <c r="F14" i="8"/>
  <c r="E15" i="8"/>
  <c r="F15" i="8"/>
  <c r="E16" i="8"/>
  <c r="F16" i="8"/>
  <c r="E17" i="8"/>
  <c r="F17" i="8"/>
  <c r="E18" i="8"/>
  <c r="F18" i="8"/>
  <c r="E19" i="8"/>
  <c r="F19" i="8"/>
  <c r="E20" i="8"/>
  <c r="F20" i="8"/>
  <c r="E23" i="8"/>
  <c r="F23" i="8"/>
  <c r="E24" i="8"/>
  <c r="F24" i="8"/>
  <c r="E25" i="8"/>
  <c r="F25" i="8"/>
  <c r="E26" i="8"/>
  <c r="F26" i="8"/>
  <c r="E27" i="8"/>
  <c r="F27" i="8"/>
  <c r="E28" i="8"/>
  <c r="F28" i="8"/>
  <c r="E29" i="8"/>
  <c r="F29" i="8"/>
  <c r="F30" i="8"/>
  <c r="F31" i="8"/>
  <c r="F32" i="8"/>
  <c r="F33" i="8"/>
  <c r="F34" i="8"/>
  <c r="F35" i="8"/>
  <c r="F36" i="8"/>
  <c r="F37" i="8"/>
  <c r="E41" i="8"/>
  <c r="E42" i="8"/>
  <c r="E43" i="8"/>
  <c r="E44" i="8"/>
  <c r="E45" i="8"/>
  <c r="E47" i="8"/>
  <c r="E48" i="8"/>
  <c r="E49" i="8"/>
  <c r="E50" i="8"/>
  <c r="E51" i="8"/>
  <c r="E52" i="8"/>
  <c r="E53" i="8"/>
  <c r="E54" i="8"/>
  <c r="E57" i="8"/>
  <c r="E58" i="8"/>
  <c r="E59" i="8"/>
  <c r="E60" i="8"/>
  <c r="E62" i="8"/>
  <c r="E63" i="8"/>
  <c r="E6" i="14"/>
  <c r="E7" i="14"/>
  <c r="E8" i="14"/>
  <c r="E9" i="14"/>
  <c r="E10" i="14"/>
  <c r="E12" i="14"/>
  <c r="E13" i="14"/>
  <c r="E16" i="14"/>
  <c r="E17" i="14"/>
  <c r="E18" i="14"/>
  <c r="E22" i="14"/>
  <c r="E28" i="14"/>
  <c r="E29" i="14"/>
  <c r="E33" i="14"/>
  <c r="E34" i="14"/>
  <c r="E35" i="14"/>
  <c r="E36" i="14"/>
  <c r="E37" i="14"/>
  <c r="E38" i="14"/>
  <c r="E39" i="14"/>
  <c r="E40" i="14"/>
  <c r="E41" i="14"/>
  <c r="E42" i="14"/>
  <c r="E43" i="14"/>
  <c r="E6" i="2"/>
  <c r="F6" i="2"/>
  <c r="G6" i="2"/>
  <c r="H6" i="2"/>
  <c r="I6" i="2"/>
  <c r="J6" i="2"/>
  <c r="K6" i="2"/>
  <c r="L6" i="2"/>
  <c r="M6" i="2"/>
  <c r="N6" i="2"/>
  <c r="O6" i="2"/>
  <c r="P6" i="2"/>
  <c r="Q6" i="2"/>
  <c r="R7" i="2"/>
  <c r="S7" i="2"/>
  <c r="U7" i="2"/>
  <c r="E8" i="2"/>
  <c r="F8" i="2"/>
  <c r="G8" i="2"/>
  <c r="H8" i="2"/>
  <c r="I8" i="2"/>
  <c r="J8" i="2"/>
  <c r="K8" i="2"/>
  <c r="L8" i="2"/>
  <c r="M8" i="2"/>
  <c r="N8" i="2"/>
  <c r="O8" i="2"/>
  <c r="P8" i="2"/>
  <c r="Q8" i="2"/>
  <c r="R9" i="2"/>
  <c r="S9" i="2"/>
  <c r="U9" i="2"/>
  <c r="E10" i="2"/>
  <c r="F10" i="2"/>
  <c r="G10" i="2"/>
  <c r="H10" i="2"/>
  <c r="I10" i="2"/>
  <c r="J10" i="2"/>
  <c r="K10" i="2"/>
  <c r="L10" i="2"/>
  <c r="M10" i="2"/>
  <c r="N10" i="2"/>
  <c r="O10" i="2"/>
  <c r="P10" i="2"/>
  <c r="Q10" i="2"/>
  <c r="R11" i="2"/>
  <c r="S11" i="2"/>
  <c r="U11" i="2"/>
  <c r="E12" i="2"/>
  <c r="F12" i="2"/>
  <c r="G12" i="2"/>
  <c r="H12" i="2"/>
  <c r="I12" i="2"/>
  <c r="J12" i="2"/>
  <c r="K12" i="2"/>
  <c r="L12" i="2"/>
  <c r="M12" i="2"/>
  <c r="N12" i="2"/>
  <c r="O12" i="2"/>
  <c r="P12" i="2"/>
  <c r="Q12" i="2"/>
  <c r="R13" i="2"/>
  <c r="S13" i="2"/>
  <c r="U13" i="2"/>
  <c r="E14" i="2"/>
  <c r="F14" i="2"/>
  <c r="G14" i="2"/>
  <c r="H14" i="2"/>
  <c r="I14" i="2"/>
  <c r="J14" i="2"/>
  <c r="K14" i="2"/>
  <c r="L14" i="2"/>
  <c r="M14" i="2"/>
  <c r="N14" i="2"/>
  <c r="O14" i="2"/>
  <c r="P14" i="2"/>
  <c r="Q14" i="2"/>
  <c r="R15" i="2"/>
  <c r="S15" i="2"/>
  <c r="U15" i="2"/>
  <c r="E16" i="2"/>
  <c r="F16" i="2"/>
  <c r="G16" i="2"/>
  <c r="H16" i="2"/>
  <c r="I16" i="2"/>
  <c r="J16" i="2"/>
  <c r="K16" i="2"/>
  <c r="L16" i="2"/>
  <c r="M16" i="2"/>
  <c r="N16" i="2"/>
  <c r="O16" i="2"/>
  <c r="P16" i="2"/>
  <c r="Q16" i="2"/>
  <c r="R17" i="2"/>
  <c r="S17" i="2"/>
  <c r="U17" i="2"/>
  <c r="E18" i="2"/>
  <c r="F18" i="2"/>
  <c r="G18" i="2"/>
  <c r="H18" i="2"/>
  <c r="I18" i="2"/>
  <c r="J18" i="2"/>
  <c r="K18" i="2"/>
  <c r="L18" i="2"/>
  <c r="M18" i="2"/>
  <c r="N18" i="2"/>
  <c r="O18" i="2"/>
  <c r="P18" i="2"/>
  <c r="Q18" i="2"/>
  <c r="S19" i="2"/>
  <c r="U19" i="2"/>
  <c r="E20" i="2"/>
  <c r="F20" i="2"/>
  <c r="G20" i="2"/>
  <c r="H20" i="2"/>
  <c r="I20" i="2"/>
  <c r="J20" i="2"/>
  <c r="K20" i="2"/>
  <c r="L20" i="2"/>
  <c r="M20" i="2"/>
  <c r="N20" i="2"/>
  <c r="O20" i="2"/>
  <c r="P20" i="2"/>
  <c r="Q20" i="2"/>
  <c r="S21" i="2"/>
  <c r="U21" i="2"/>
  <c r="E22" i="2"/>
  <c r="F22" i="2"/>
  <c r="G22" i="2"/>
  <c r="H22" i="2"/>
  <c r="I22" i="2"/>
  <c r="J22" i="2"/>
  <c r="K22" i="2"/>
  <c r="L22" i="2"/>
  <c r="M22" i="2"/>
  <c r="N22" i="2"/>
  <c r="O22" i="2"/>
  <c r="P22" i="2"/>
  <c r="Q22" i="2"/>
  <c r="R23" i="2"/>
  <c r="S23" i="2"/>
  <c r="U23" i="2"/>
  <c r="E24" i="2"/>
  <c r="F24" i="2"/>
  <c r="G24" i="2"/>
  <c r="H24" i="2"/>
  <c r="I24" i="2"/>
  <c r="J24" i="2"/>
  <c r="K24" i="2"/>
  <c r="L24" i="2"/>
  <c r="M24" i="2"/>
  <c r="N24" i="2"/>
  <c r="O24" i="2"/>
  <c r="P24" i="2"/>
  <c r="Q24" i="2"/>
  <c r="R25" i="2"/>
  <c r="S25" i="2"/>
  <c r="U25" i="2"/>
  <c r="E26" i="2"/>
  <c r="F26" i="2"/>
  <c r="G26" i="2"/>
  <c r="H26" i="2"/>
  <c r="I26" i="2"/>
  <c r="J26" i="2"/>
  <c r="K26" i="2"/>
  <c r="L26" i="2"/>
  <c r="M26" i="2"/>
  <c r="N26" i="2"/>
  <c r="O26" i="2"/>
  <c r="P26" i="2"/>
  <c r="Q26" i="2"/>
  <c r="S27" i="2"/>
  <c r="U27" i="2"/>
  <c r="E28" i="2"/>
  <c r="F28" i="2"/>
  <c r="G28" i="2"/>
  <c r="H28" i="2"/>
  <c r="I28" i="2"/>
  <c r="J28" i="2"/>
  <c r="K28" i="2"/>
  <c r="L28" i="2"/>
  <c r="M28" i="2"/>
  <c r="N28" i="2"/>
  <c r="O28" i="2"/>
  <c r="P28" i="2"/>
  <c r="Q28" i="2"/>
  <c r="S29" i="2"/>
  <c r="U29" i="2"/>
  <c r="E30" i="2"/>
  <c r="F30" i="2"/>
  <c r="G30" i="2"/>
  <c r="H30" i="2"/>
  <c r="I30" i="2"/>
  <c r="J30" i="2"/>
  <c r="K30" i="2"/>
  <c r="L30" i="2"/>
  <c r="M30" i="2"/>
  <c r="N30" i="2"/>
  <c r="O30" i="2"/>
  <c r="P30" i="2"/>
  <c r="Q30" i="2"/>
  <c r="R31" i="2"/>
  <c r="S31" i="2"/>
  <c r="U31" i="2"/>
  <c r="E32" i="2"/>
  <c r="F32" i="2"/>
  <c r="G32" i="2"/>
  <c r="H32" i="2"/>
  <c r="I32" i="2"/>
  <c r="J32" i="2"/>
  <c r="K32" i="2"/>
  <c r="L32" i="2"/>
  <c r="M32" i="2"/>
  <c r="N32" i="2"/>
  <c r="O32" i="2"/>
  <c r="P32" i="2"/>
  <c r="Q32" i="2"/>
  <c r="S33" i="2"/>
  <c r="U33" i="2"/>
  <c r="E34" i="2"/>
  <c r="F34" i="2"/>
  <c r="G34" i="2"/>
  <c r="H34" i="2"/>
  <c r="I34" i="2"/>
  <c r="J34" i="2"/>
  <c r="K34" i="2"/>
  <c r="L34" i="2"/>
  <c r="M34" i="2"/>
  <c r="N34" i="2"/>
  <c r="O34" i="2"/>
  <c r="P34" i="2"/>
  <c r="Q34" i="2"/>
  <c r="S35" i="2"/>
  <c r="U35" i="2"/>
  <c r="E36" i="2"/>
  <c r="F36" i="2"/>
  <c r="G36" i="2"/>
  <c r="H36" i="2"/>
  <c r="I36" i="2"/>
  <c r="J36" i="2"/>
  <c r="K36" i="2"/>
  <c r="L36" i="2"/>
  <c r="M36" i="2"/>
  <c r="N36" i="2"/>
  <c r="O36" i="2"/>
  <c r="P36" i="2"/>
  <c r="Q36" i="2"/>
  <c r="S37" i="2"/>
  <c r="U37" i="2"/>
  <c r="E38" i="2"/>
  <c r="F38" i="2"/>
  <c r="G38" i="2"/>
  <c r="H38" i="2"/>
  <c r="I38" i="2"/>
  <c r="J38" i="2"/>
  <c r="K38" i="2"/>
  <c r="L38" i="2"/>
  <c r="M38" i="2"/>
  <c r="N38" i="2"/>
  <c r="O38" i="2"/>
  <c r="P38" i="2"/>
  <c r="Q38" i="2"/>
  <c r="S39" i="2"/>
  <c r="U39" i="2"/>
  <c r="E40" i="2"/>
  <c r="F40" i="2"/>
  <c r="G40" i="2"/>
  <c r="H40" i="2"/>
  <c r="I40" i="2"/>
  <c r="J40" i="2"/>
  <c r="K40" i="2"/>
  <c r="L40" i="2"/>
  <c r="M40" i="2"/>
  <c r="N40" i="2"/>
  <c r="O40" i="2"/>
  <c r="P40" i="2"/>
  <c r="Q40" i="2"/>
  <c r="R41" i="2"/>
  <c r="S41" i="2"/>
  <c r="U41" i="2"/>
  <c r="E44" i="2"/>
  <c r="F44" i="2"/>
  <c r="G44" i="2"/>
  <c r="H44" i="2"/>
  <c r="I44" i="2"/>
  <c r="J44" i="2"/>
  <c r="K44" i="2"/>
  <c r="L44" i="2"/>
  <c r="M44" i="2"/>
  <c r="N44" i="2"/>
  <c r="E45" i="2"/>
  <c r="F45" i="2"/>
  <c r="G45" i="2"/>
  <c r="H45" i="2"/>
  <c r="I45" i="2"/>
  <c r="J45" i="2"/>
  <c r="K45" i="2"/>
  <c r="L45" i="2"/>
  <c r="M45" i="2"/>
  <c r="N45" i="2"/>
  <c r="E46" i="2"/>
  <c r="F46" i="2"/>
  <c r="G46" i="2"/>
  <c r="H46" i="2"/>
  <c r="I46" i="2"/>
  <c r="J46" i="2"/>
  <c r="K46" i="2"/>
  <c r="L46" i="2"/>
  <c r="M46" i="2"/>
  <c r="N46" i="2"/>
  <c r="E47" i="2"/>
  <c r="F47" i="2"/>
  <c r="G47" i="2"/>
  <c r="H47" i="2"/>
  <c r="I47" i="2"/>
  <c r="J47" i="2"/>
  <c r="K47" i="2"/>
  <c r="L47" i="2"/>
  <c r="M47" i="2"/>
  <c r="N47" i="2"/>
  <c r="E48" i="2"/>
  <c r="F48" i="2"/>
  <c r="G48" i="2"/>
  <c r="H48" i="2"/>
  <c r="I48" i="2"/>
  <c r="J48" i="2"/>
  <c r="K48" i="2"/>
  <c r="L48" i="2"/>
  <c r="M48" i="2"/>
  <c r="N48" i="2"/>
  <c r="E49" i="2"/>
  <c r="F49" i="2"/>
  <c r="G49" i="2"/>
  <c r="H49" i="2"/>
  <c r="I49" i="2"/>
  <c r="J49" i="2"/>
  <c r="K49" i="2"/>
  <c r="L49" i="2"/>
  <c r="M49" i="2"/>
  <c r="N49" i="2"/>
  <c r="E50" i="2"/>
  <c r="F50" i="2"/>
  <c r="G50" i="2"/>
  <c r="H50" i="2"/>
  <c r="I50" i="2"/>
  <c r="J50" i="2"/>
  <c r="K50" i="2"/>
  <c r="L50" i="2"/>
  <c r="M50" i="2"/>
  <c r="N50" i="2"/>
  <c r="E51" i="2"/>
  <c r="F51" i="2"/>
  <c r="G51" i="2"/>
  <c r="H51" i="2"/>
  <c r="I51" i="2"/>
  <c r="J51" i="2"/>
  <c r="K51" i="2"/>
  <c r="L51" i="2"/>
  <c r="M51" i="2"/>
  <c r="N51" i="2"/>
  <c r="E52" i="2"/>
  <c r="F52" i="2"/>
  <c r="G52" i="2"/>
  <c r="H52" i="2"/>
  <c r="I52" i="2"/>
  <c r="J52" i="2"/>
  <c r="K52" i="2"/>
  <c r="L52" i="2"/>
  <c r="M52" i="2"/>
  <c r="N52" i="2"/>
  <c r="E54" i="2"/>
  <c r="E55" i="2"/>
  <c r="E59" i="2"/>
  <c r="F59" i="2"/>
  <c r="G59" i="2"/>
  <c r="H59" i="2"/>
  <c r="I59" i="2"/>
  <c r="J59" i="2"/>
  <c r="K59" i="2"/>
  <c r="L59" i="2"/>
  <c r="M59" i="2"/>
  <c r="E60" i="2"/>
  <c r="F60" i="2"/>
  <c r="G60" i="2"/>
  <c r="H60" i="2"/>
  <c r="I60" i="2"/>
  <c r="J60" i="2"/>
  <c r="K60" i="2"/>
  <c r="L60" i="2"/>
  <c r="M60" i="2"/>
  <c r="E61" i="2"/>
  <c r="F61" i="2"/>
  <c r="G61" i="2"/>
  <c r="H61" i="2"/>
  <c r="I61" i="2"/>
  <c r="J61" i="2"/>
  <c r="K61" i="2"/>
  <c r="L61" i="2"/>
  <c r="M61" i="2"/>
  <c r="E6" i="1"/>
  <c r="E7" i="1"/>
  <c r="E8" i="1"/>
  <c r="E9" i="1"/>
  <c r="E12" i="1"/>
  <c r="E13" i="1"/>
  <c r="E14" i="1"/>
  <c r="E15" i="1"/>
  <c r="E16" i="1"/>
  <c r="E17" i="1"/>
  <c r="E21" i="1"/>
  <c r="E22" i="1"/>
  <c r="E23" i="1"/>
  <c r="E24" i="1"/>
  <c r="E25" i="1"/>
  <c r="E26" i="1"/>
  <c r="E27" i="1"/>
  <c r="E28" i="1"/>
  <c r="E29" i="1"/>
  <c r="E30" i="1"/>
  <c r="E31" i="1"/>
  <c r="E32" i="1"/>
  <c r="E33" i="1"/>
  <c r="E34" i="1"/>
  <c r="E35" i="1"/>
  <c r="E38" i="1"/>
  <c r="E39" i="1"/>
  <c r="E40" i="1"/>
  <c r="E41" i="1"/>
  <c r="E42" i="1"/>
  <c r="E43" i="1"/>
  <c r="E44" i="1"/>
  <c r="E45" i="1"/>
  <c r="E46" i="1"/>
  <c r="E47" i="1"/>
  <c r="E48" i="1"/>
  <c r="E49" i="1"/>
  <c r="E50"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7" i="1"/>
  <c r="E88" i="1"/>
  <c r="E89" i="1"/>
  <c r="E90" i="1"/>
  <c r="E91" i="1"/>
  <c r="E92" i="1"/>
  <c r="E93" i="1"/>
  <c r="E96" i="1"/>
  <c r="E97" i="1"/>
  <c r="E98" i="1"/>
  <c r="E99" i="1"/>
  <c r="E100" i="1"/>
  <c r="E101" i="1"/>
  <c r="E102" i="1"/>
  <c r="E103" i="1"/>
  <c r="E104" i="1"/>
  <c r="E105" i="1"/>
  <c r="E106" i="1"/>
  <c r="E107" i="1"/>
  <c r="E108" i="1"/>
  <c r="E109" i="1"/>
  <c r="E112" i="1"/>
  <c r="E113" i="1"/>
  <c r="E114" i="1"/>
  <c r="E115" i="1"/>
  <c r="E116" i="1"/>
  <c r="E119" i="1"/>
  <c r="E120" i="1"/>
  <c r="E121" i="1"/>
  <c r="E122" i="1"/>
  <c r="E123" i="1"/>
  <c r="E124" i="1"/>
  <c r="E125" i="1"/>
  <c r="E128" i="1"/>
  <c r="E129" i="1"/>
  <c r="E130" i="1"/>
  <c r="E131" i="1"/>
  <c r="E132" i="1"/>
  <c r="E133" i="1"/>
  <c r="E134" i="1"/>
  <c r="E135" i="1"/>
  <c r="E136" i="1"/>
  <c r="E137" i="1"/>
  <c r="E140" i="1"/>
  <c r="E141" i="1"/>
  <c r="E142" i="1"/>
  <c r="E143" i="1"/>
  <c r="E146" i="1"/>
  <c r="E147" i="1"/>
  <c r="E148" i="1"/>
  <c r="E149" i="1"/>
  <c r="E6" i="11"/>
  <c r="H6" i="11"/>
  <c r="I6" i="11"/>
  <c r="E7" i="11"/>
  <c r="H7" i="11"/>
  <c r="I7" i="11"/>
  <c r="E8" i="11"/>
  <c r="H8" i="11"/>
  <c r="I8" i="11"/>
  <c r="E9" i="11"/>
  <c r="H9" i="11"/>
  <c r="I9" i="11"/>
  <c r="E10" i="11"/>
  <c r="H10" i="11"/>
  <c r="I10" i="11"/>
  <c r="E11" i="11"/>
  <c r="H11" i="11"/>
  <c r="I11" i="11"/>
  <c r="E12" i="11"/>
  <c r="H12" i="11"/>
  <c r="I12" i="11"/>
  <c r="E13" i="11"/>
  <c r="H13" i="11"/>
  <c r="I13" i="11"/>
  <c r="H14" i="11"/>
  <c r="I14" i="11"/>
  <c r="I15" i="11"/>
  <c r="H16" i="11"/>
  <c r="I16" i="11"/>
  <c r="E17" i="11"/>
  <c r="H17" i="11"/>
  <c r="I17" i="11"/>
  <c r="E18" i="11"/>
  <c r="E19" i="11"/>
  <c r="E20" i="11"/>
  <c r="E21" i="11"/>
  <c r="E22" i="11"/>
  <c r="E23" i="11"/>
  <c r="E24" i="11"/>
  <c r="E25" i="11"/>
  <c r="E2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tc={D3EFAD76-D4B8-4016-AA11-507483DF7278}</author>
    <author>tc={EEFA78B0-164C-44A7-A2E8-1BF8BAF87C68}</author>
    <author>tc={958D71EF-9442-4566-8589-5685508A07ED}</author>
    <author>tc={04895E11-1510-4BBB-873A-12D57D1D517D}</author>
    <author>tc={7A2C85FF-E021-4979-B68E-0924E2E2BE7D}</author>
    <author>tc={5DE70B10-D033-4FA9-AACA-64EB8755807B}</author>
    <author>tc={D706BE06-BE53-431A-85D0-07178C3722D3}</author>
    <author>tc={D6617B87-8BE5-4F75-B9A2-97D108D97EF3}</author>
    <author>tc={CA9D8381-C605-4FFE-B33B-78874877E04A}</author>
    <author>tc={ECF53432-6352-4A5D-AC92-16162E6ECA0D}</author>
    <author>tc={936433FD-7B40-4B08-80E5-42336A72B49A}</author>
    <author>tc={29D0D9E2-DD1B-44DC-BC43-536E8AB50C1A}</author>
    <author>tc={5C1736AA-6186-4E21-A86D-8993B0163327}</author>
    <author>tc={578A6661-E230-4415-8E34-A30DDBC4408A}</author>
    <author>tc={1C52D4EB-B38E-4099-A4EC-B6AB4049EFEB}</author>
    <author>tc={372F7329-3182-41F4-8E35-BBFF28DED2AF}</author>
    <author>tc={56700E19-5C32-4CA4-8D29-94778B2DBCE0}</author>
    <author>tc={56636447-C6FD-4C3F-BF59-12ABAB639518}</author>
    <author>tc={7D1591E7-0C33-4174-9DBF-E4CC5FB6FE84}</author>
    <author>tc={48B6D9D8-87A3-44CC-ADC2-46A846102CFE}</author>
    <author>tc={2DE18D4C-B597-46DE-9CC4-9C75DEAFB1C3}</author>
    <author>tc={221BF779-19FB-4587-A651-503B3EB5AD43}</author>
    <author>tc={B264689A-64E1-4BC9-8AF5-8648A38B1DE2}</author>
    <author>tc={D7941BE8-2BC2-47C1-AE91-126F47615AE7}</author>
    <author>tc={B1AB7A32-491C-48B7-B1FA-618CB3FE4220}</author>
    <author>tc={80453384-8243-444C-B604-A06F76E4529D}</author>
    <author>tc={86CAB53A-9CED-4742-A1C5-C2A6BDADB9AF}</author>
    <author>tc={924A680A-7C94-455B-9D47-079AD89CF5BA}</author>
    <author>tc={E42BDED8-78ED-46DF-A748-F2E0CBFE5E4D}</author>
    <author>tc={B0112861-BF19-4751-A628-24ED024FB577}</author>
    <author>tc={5ABA0EED-777B-4831-A9E2-341C4B05F342}</author>
    <author>tc={D6C81E09-1375-4BBF-BAF6-5483ED37B853}</author>
    <author>tc={5006CE38-9023-4965-A409-952CBC486F71}</author>
    <author>tc={82E9964C-1194-4DF7-84EB-CB1608F799E8}</author>
    <author>tc={22BD2295-B2AB-4545-A287-3627A45244BF}</author>
    <author>tc={56672307-2A54-46BA-BC56-F1681ECDC291}</author>
    <author>tc={9C29323E-201E-4C73-A669-F20F765CBEF5}</author>
    <author>tc={55E61E12-901A-4872-A98B-23D4CBFB194F}</author>
    <author>tc={15E3EF5B-9080-4130-B3FF-EBDC97E8DFD5}</author>
    <author>tc={203A73FF-8F03-48E2-9EB2-11BBA8F43BC6}</author>
    <author>tc={F380BC23-1842-498A-89DE-86D019AB040D}</author>
    <author>tc={CD36E619-8485-4028-9994-87B94BD50843}</author>
    <author>tc={DFCD5440-2943-4A75-A75D-19EAF99C872A}</author>
    <author>tc={59B430FF-6559-441B-8A92-C6FFCF1301D3}</author>
    <author>tc={BC49F8E2-FE71-4128-97F2-BC47C0430712}</author>
    <author>tc={1C2C4A67-DE3A-4226-9590-D7E908195425}</author>
    <author>tc={EF7DF994-C56C-4F93-A2B0-9C79CD72E861}</author>
    <author>tc={EBE1C32A-5DCD-4725-A801-0A32289B9C1F}</author>
    <author>tc={ED0C60E7-7710-4CDE-9578-EF564FDF21BF}</author>
    <author>tc={55E34852-CA4D-408D-AF06-459455434E47}</author>
    <author>tc={A210B40C-4D3A-4A29-A05C-29DF6A356090}</author>
    <author>tc={6549B7A6-FEDC-443E-873D-943F8629A08C}</author>
    <author>tc={F0C10BAA-EA93-4C7B-ADD6-2645CDA83606}</author>
    <author>tc={59CC0641-85FF-4644-A04C-E27203300986}</author>
    <author>tc={D4EE80EF-43F0-4C23-9568-C6E61AE99C61}</author>
    <author>tc={04D2615F-1863-47AD-8EE7-0B677A274879}</author>
    <author>tc={B1E523FF-8D9C-4D30-BE50-DCD1958A367C}</author>
    <author>tc={A6865B53-35F5-4C76-A09A-C61D3C05B455}</author>
    <author>tc={04ED4C81-FFED-412D-976F-5A425D53BE12}</author>
    <author>tc={3F8AD2E9-20D6-4A5D-8D19-34D2C78C35F6}</author>
    <author>tc={BC5ACA60-4DE9-43A2-AD22-A65FEB8D8EB7}</author>
    <author>tc={18E14A23-0278-4F3B-ABCE-6D600EB9A8F4}</author>
    <author>tc={E49CA6E6-B61A-46A3-AA76-F09F45B67887}</author>
    <author>tc={4FBD68C6-4D14-45F7-97A3-A621A9CBFB2E}</author>
    <author>tc={B0C29DE3-E633-4D1D-89BB-E79AFED309A6}</author>
    <author>tc={1FC9B093-70B6-403B-BD37-02A841C5A60A}</author>
    <author>tc={C78D69DC-548C-4BE7-B03C-CD1CBCEC93A1}</author>
    <author>tc={43ADE8B0-52FA-429A-97E6-3D93AA70548F}</author>
    <author>tc={F0C7D4FC-5F6B-4696-AB33-0DE82250C788}</author>
    <author>tc={51C93D87-B85D-4263-A842-C8894CBC9DBC}</author>
    <author>tc={A03A6A81-2CC3-4EBE-9D32-AFAD86D23910}</author>
    <author>tc={1E86B5AD-C4A4-4899-BA7D-F97CE2552636}</author>
    <author>tc={5F83E44A-E5FF-45B8-9716-07912C22F6A6}</author>
  </authors>
  <commentList>
    <comment ref="D184" authorId="0" shapeId="0" xr:uid="{D3EFAD76-D4B8-4016-AA11-507483DF7278}">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392" authorId="1" shapeId="0" xr:uid="{EEFA78B0-164C-44A7-A2E8-1BF8BAF87C68}">
      <text>
        <t>[Threaded comment]
Your version of Excel allows you to read this threaded comment; however, any edits to it will get removed if the file is opened in a newer version of Excel. Learn more: https://go.microsoft.com/fwlink/?linkid=870924
Comment:
    Metcalf and eddy page 1455</t>
      </text>
    </comment>
    <comment ref="D394" authorId="2" shapeId="0" xr:uid="{958D71EF-9442-4566-8589-5685508A07ED}">
      <text>
        <t xml:space="preserve">[Threaded comment]
Your version of Excel allows you to read this threaded comment; however, any edits to it will get removed if the file is opened in a newer version of Excel. Learn more: https://go.microsoft.com/fwlink/?linkid=870924
Comment:
    Metcalf and eddy page 1455
</t>
      </text>
    </comment>
    <comment ref="D405" authorId="3" shapeId="0" xr:uid="{04895E11-1510-4BBB-873A-12D57D1D517D}">
      <text>
        <t>[Threaded comment]
Your version of Excel allows you to read this threaded comment; however, any edits to it will get removed if the file is opened in a newer version of Excel. Learn more: https://go.microsoft.com/fwlink/?linkid=870924
Comment:
    Calculated by CODsol - CODsol initial/COD initial. Can be used to determine the fixed COD in the biomass</t>
      </text>
    </comment>
    <comment ref="F405" authorId="4" shapeId="0" xr:uid="{7A2C85FF-E021-4979-B68E-0924E2E2BE7D}">
      <text>
        <t>[Threaded comment]
Your version of Excel allows you to read this threaded comment; however, any edits to it will get removed if the file is opened in a newer version of Excel. Learn more: https://go.microsoft.com/fwlink/?linkid=870924
Comment:
    At 35 degrees</t>
      </text>
    </comment>
    <comment ref="D423" authorId="5" shapeId="0" xr:uid="{5DE70B10-D033-4FA9-AACA-64EB8755807B}">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5" authorId="6" shapeId="0" xr:uid="{D706BE06-BE53-431A-85D0-07178C3722D3}">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7" authorId="7" shapeId="0" xr:uid="{D6617B87-8BE5-4F75-B9A2-97D108D97EF3}">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35" authorId="8" shapeId="0" xr:uid="{CA9D8381-C605-4FFE-B33B-78874877E04A}">
      <text>
        <t>[Threaded comment]
Your version of Excel allows you to read this threaded comment; however, any edits to it will get removed if the file is opened in a newer version of Excel. Learn more: https://go.microsoft.com/fwlink/?linkid=870924
Comment:
    Energy Requirement of 0.006kW/m3 converted to kWh for a 24 hour period for 5 batches running simultaniously</t>
      </text>
    </comment>
    <comment ref="D439" authorId="9" shapeId="0" xr:uid="{ECF53432-6352-4A5D-AC92-16162E6ECA0D}">
      <text>
        <t>[Threaded comment]
Your version of Excel allows you to read this threaded comment; however, any edits to it will get removed if the file is opened in a newer version of Excel. Learn more: https://go.microsoft.com/fwlink/?linkid=870924
Comment:
    Need to find typical heat exchanger capacity</t>
      </text>
    </comment>
    <comment ref="D542" authorId="10" shapeId="0" xr:uid="{936433FD-7B40-4B08-80E5-42336A72B49A}">
      <text>
        <t>[Threaded comment]
Your version of Excel allows you to read this threaded comment; however, any edits to it will get removed if the file is opened in a newer version of Excel. Learn more: https://go.microsoft.com/fwlink/?linkid=870924
Comment:
    Need to determine is this on a dry weight basis</t>
      </text>
    </comment>
    <comment ref="D716" authorId="11" shapeId="0" xr:uid="{29D0D9E2-DD1B-44DC-BC43-536E8AB50C1A}">
      <text>
        <t>[Threaded comment]
Your version of Excel allows you to read this threaded comment; however, any edits to it will get removed if the file is opened in a newer version of Excel. Learn more: https://go.microsoft.com/fwlink/?linkid=870924
Comment:
    electrical efficiency 0.37 and LHV 22.73 MJ</t>
      </text>
    </comment>
    <comment ref="D789" authorId="12" shapeId="0" xr:uid="{5C1736AA-6186-4E21-A86D-8993B0163327}">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792" authorId="13" shapeId="0" xr:uid="{578A6661-E230-4415-8E34-A30DDBC4408A}">
      <text>
        <t>[Threaded comment]
Your version of Excel allows you to read this threaded comment; however, any edits to it will get removed if the file is opened in a newer version of Excel. Learn more: https://go.microsoft.com/fwlink/?linkid=870924
Comment:
    This is just used to deduct the Thermal Energy Demand of AD in the PHA only scenario. This is not included in the infrastructure</t>
      </text>
    </comment>
    <comment ref="AM811" authorId="14" shapeId="0" xr:uid="{1C52D4EB-B38E-4099-A4EC-B6AB4049EFEB}">
      <text>
        <t>[Threaded comment]
Your version of Excel allows you to read this threaded comment; however, any edits to it will get removed if the file is opened in a newer version of Excel. Learn more: https://go.microsoft.com/fwlink/?linkid=870924
Comment:
    Used to calculate the evaporation rate of DMC based on the ethanol evaporation rate given in the evaporator specs</t>
      </text>
    </comment>
    <comment ref="E816" authorId="15" shapeId="0" xr:uid="{372F7329-3182-41F4-8E35-BBFF28DED2AF}">
      <text>
        <t>[Threaded comment]
Your version of Excel allows you to read this threaded comment; however, any edits to it will get removed if the file is opened in a newer version of Excel. Learn more: https://go.microsoft.com/fwlink/?linkid=870924
Comment:
    Required capacity of the pump is the capacity of the centrifuge</t>
      </text>
    </comment>
    <comment ref="E818" authorId="16" shapeId="0" xr:uid="{56700E19-5C32-4CA4-8D29-94778B2DBCE0}">
      <text>
        <t>[Threaded comment]
Your version of Excel allows you to read this threaded comment; however, any edits to it will get removed if the file is opened in a newer version of Excel. Learn more: https://go.microsoft.com/fwlink/?linkid=870924
Comment:
    Pumping rate based on a fill time that is 5% of the overall cycle of 12 hours as per https://www.sciencedirect.com/science/article/pii/S0960852415000668</t>
      </text>
    </comment>
    <comment ref="K830" authorId="17" shapeId="0" xr:uid="{56636447-C6FD-4C3F-BF59-12ABAB639518}">
      <text>
        <t>[Threaded comment]
Your version of Excel allows you to read this threaded comment; however, any edits to it will get removed if the file is opened in a newer version of Excel. Learn more: https://go.microsoft.com/fwlink/?linkid=870924
Comment:
    https://kdusling.github.io/teaching/Applied-Fluids/SteelPipeTable.html?sch=40&amp;mat=comSteel</t>
      </text>
    </comment>
    <comment ref="S830" authorId="18" shapeId="0" xr:uid="{7D1591E7-0C33-4174-9DBF-E4CC5FB6FE84}">
      <text>
        <t>[Threaded comment]
Your version of Excel allows you to read this threaded comment; however, any edits to it will get removed if the file is opened in a newer version of Excel. Learn more: https://go.microsoft.com/fwlink/?linkid=870924
Comment:
    GWP of the pipes, not the energy requirement for pumping</t>
      </text>
    </comment>
    <comment ref="P831" authorId="19" shapeId="0" xr:uid="{48B6D9D8-87A3-44CC-ADC2-46A846102CFE}">
      <text>
        <t xml:space="preserve">[Threaded comment]
Your version of Excel allows you to read this threaded comment; however, any edits to it will get removed if the file is opened in a newer version of Excel. Learn more: https://go.microsoft.com/fwlink/?linkid=870924
Comment:
    Pumping operational hours are actualy 24 hours when pump is on however to account for the 5 AF vessels the operational is divided by the number of tanks i.e 5
</t>
      </text>
    </comment>
    <comment ref="E867" authorId="20" shapeId="0" xr:uid="{2DE18D4C-B597-46DE-9CC4-9C75DEAFB1C3}">
      <text>
        <t>[Threaded comment]
Your version of Excel allows you to read this threaded comment; however, any edits to it will get removed if the file is opened in a newer version of Excel. Learn more: https://go.microsoft.com/fwlink/?linkid=870924
Comment:
    Going for 3000 kN/m2 as the dominant rock type is limestone/shale. According to the following link, very marly limestones and shale range form 2000-4000 for moderately strong. Also the engineering toolbox says 2000-4000 for rock</t>
      </text>
    </comment>
    <comment ref="E869" authorId="21" shapeId="0" xr:uid="{221BF779-19FB-4587-A651-503B3EB5AD43}">
      <text>
        <t>[Threaded comment]
Your version of Excel allows you to read this threaded comment; however, any edits to it will get removed if the file is opened in a newer version of Excel. Learn more: https://go.microsoft.com/fwlink/?linkid=870924
Comment:
    Going for 45 as limestone is given as 45 and shale 30-45 in the engineering tool box</t>
      </text>
    </comment>
    <comment ref="E871" authorId="22" shapeId="0" xr:uid="{B264689A-64E1-4BC9-8AF5-8648A38B1DE2}">
      <text>
        <t>[Threaded comment]
Your version of Excel allows you to read this threaded comment; however, any edits to it will get removed if the file is opened in a newer version of Excel. Learn more: https://go.microsoft.com/fwlink/?linkid=870924
Comment:
    Going for mid range value for density of limestone</t>
      </text>
    </comment>
    <comment ref="H1010" authorId="23" shapeId="0" xr:uid="{D7941BE8-2BC2-47C1-AE91-126F47615AE7}">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K1012" authorId="24" shapeId="0" xr:uid="{B1AB7A32-491C-48B7-B1FA-618CB3FE4220}">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G1094" authorId="25" shapeId="0" xr:uid="{80453384-8243-444C-B604-A06F76E4529D}">
      <text>
        <t>[Threaded comment]
Your version of Excel allows you to read this threaded comment; however, any edits to it will get removed if the file is opened in a newer version of Excel. Learn more: https://go.microsoft.com/fwlink/?linkid=870924
Comment:
    Need to figure this out. Could find the COD solubilisation rate and assume the remaining COD is contained in the sold mass</t>
      </text>
    </comment>
    <comment ref="M1110" authorId="26" shapeId="0" xr:uid="{86CAB53A-9CED-4742-A1C5-C2A6BDADB9AF}">
      <text>
        <t>[Threaded comment]
Your version of Excel allows you to read this threaded comment; however, any edits to it will get removed if the file is opened in a newer version of Excel. Learn more: https://go.microsoft.com/fwlink/?linkid=870924
Comment:
    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
      </text>
    </comment>
    <comment ref="M1111" authorId="27" shapeId="0" xr:uid="{924A680A-7C94-455B-9D47-079AD89CF5BA}">
      <text>
        <t>[Threaded comment]
Your version of Excel allows you to read this threaded comment; however, any edits to it will get removed if the file is opened in a newer version of Excel. Learn more: https://go.microsoft.com/fwlink/?linkid=870924
Comment:
    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
      </text>
    </comment>
    <comment ref="M1112" authorId="28" shapeId="0" xr:uid="{E42BDED8-78ED-46DF-A748-F2E0CBFE5E4D}">
      <text>
        <t>[Threaded comment]
Your version of Excel allows you to read this threaded comment; however, any edits to it will get removed if the file is opened in a newer version of Excel. Learn more: https://go.microsoft.com/fwlink/?linkid=870924
Comment:
    Assuming a PHA composition of HB:HV = 0.7:0.3</t>
      </text>
    </comment>
    <comment ref="D1114" authorId="29" shapeId="0" xr:uid="{B0112861-BF19-4751-A628-24ED024FB577}">
      <text>
        <t xml:space="preserve">[Threaded comment]
Your version of Excel allows you to read this threaded comment; however, any edits to it will get removed if the file is opened in a newer version of Excel. Learn more: https://go.microsoft.com/fwlink/?linkid=870924
Comment:
    This is the remaining concentration in the reactor after excess biomass has been harvested from the previous cycle. </t>
      </text>
    </comment>
    <comment ref="D1116" authorId="30" shapeId="0" xr:uid="{5ABA0EED-777B-4831-A9E2-341C4B05F342}">
      <text>
        <t>[Threaded comment]
Your version of Excel allows you to read this threaded comment; however, any edits to it will get removed if the file is opened in a newer version of Excel. Learn more: https://go.microsoft.com/fwlink/?linkid=870924
Comment:
    This active biomass concentration. It is calculated by taking the PHA content away from the VSS content. The PHA content is the content at the end of the famine phase when the excess biomass is harvested to maintain a VSS conc of 3 g/L once the SBR is filled with the VFA stream.</t>
      </text>
    </comment>
    <comment ref="N1129" authorId="31" shapeId="0" xr:uid="{D6C81E09-1375-4BBF-BAF6-5483ED37B853}">
      <text>
        <t>[Threaded comment]
Your version of Excel allows you to read this threaded comment; however, any edits to it will get removed if the file is opened in a newer version of Excel. Learn more: https://go.microsoft.com/fwlink/?linkid=870924
Comment:
    Assuming that separation is not perfect, therefore some of the VSS is lost. Assuming VSS is the PHA rich biomass</t>
      </text>
    </comment>
    <comment ref="N1135" authorId="32" shapeId="0" xr:uid="{5006CE38-9023-4965-A409-952CBC486F71}">
      <text>
        <t xml:space="preserve">[Threaded comment]
Your version of Excel allows you to read this threaded comment; however, any edits to it will get removed if the file is opened in a newer version of Excel. Learn more: https://go.microsoft.com/fwlink/?linkid=870924
Comment:
    Assuming 90% of VFA consumed in Accumulation. Also assuming that 100% of COD is VFA. These assumptions may change </t>
      </text>
    </comment>
    <comment ref="D1191" authorId="33" shapeId="0" xr:uid="{82E9964C-1194-4DF7-84EB-CB1608F799E8}">
      <text>
        <t>[Threaded comment]
Your version of Excel allows you to read this threaded comment; however, any edits to it will get removed if the file is opened in a newer version of Excel. Learn more: https://go.microsoft.com/fwlink/?linkid=870924
Comment:
    Gong to assume for anaerobic digestion only</t>
      </text>
    </comment>
    <comment ref="R1305" authorId="34" shapeId="0" xr:uid="{22BD2295-B2AB-4545-A287-3627A45244BF}">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S1305" authorId="35" shapeId="0" xr:uid="{56672307-2A54-46BA-BC56-F1681ECDC291}">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U1305" authorId="36" shapeId="0" xr:uid="{9C29323E-201E-4C73-A669-F20F765CBEF5}">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W1305" authorId="37" shapeId="0" xr:uid="{55E61E12-901A-4872-A98B-23D4CBFB194F}">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T1306" authorId="38" shapeId="0" xr:uid="{15E3EF5B-9080-4130-B3FF-EBDC97E8DFD5}">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U1306" authorId="39" shapeId="0" xr:uid="{203A73FF-8F03-48E2-9EB2-11BBA8F43BC6}">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B1306" authorId="40" shapeId="0" xr:uid="{F380BC23-1842-498A-89DE-86D019AB040D}">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22" authorId="41" shapeId="0" xr:uid="{CD36E619-8485-4028-9994-87B94BD50843}">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22" authorId="42" shapeId="0" xr:uid="{DFCD5440-2943-4A75-A75D-19EAF99C872A}">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322" authorId="43" shapeId="0" xr:uid="{59B430FF-6559-441B-8A92-C6FFCF1301D3}">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322" authorId="44" shapeId="0" xr:uid="{BC49F8E2-FE71-4128-97F2-BC47C0430712}">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322" authorId="45" shapeId="0" xr:uid="{1C2C4A67-DE3A-4226-9590-D7E908195425}">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323" authorId="46" shapeId="0" xr:uid="{EF7DF994-C56C-4F93-A2B0-9C79CD72E861}">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323" authorId="47" shapeId="0" xr:uid="{EBE1C32A-5DCD-4725-A801-0A32289B9C1F}">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323" authorId="48" shapeId="0" xr:uid="{ED0C60E7-7710-4CDE-9578-EF564FDF21BF}">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39" authorId="49" shapeId="0" xr:uid="{55E34852-CA4D-408D-AF06-459455434E47}">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39" authorId="50" shapeId="0" xr:uid="{A210B40C-4D3A-4A29-A05C-29DF6A356090}">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N1356" authorId="51" shapeId="0" xr:uid="{6549B7A6-FEDC-443E-873D-943F8629A08C}">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56" authorId="52" shapeId="0" xr:uid="{F0C10BAA-EA93-4C7B-ADD6-2645CDA83606}">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Q1372" authorId="53" shapeId="0" xr:uid="{59CC0641-85FF-4644-A04C-E27203300986}">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R1372" authorId="54" shapeId="0" xr:uid="{D4EE80EF-43F0-4C23-9568-C6E61AE99C61}">
      <text>
        <t>[Threaded comment]
Your version of Excel allows you to read this threaded comment; however, any edits to it will get removed if the file is opened in a newer version of Excel. Learn more: https://go.microsoft.com/fwlink/?linkid=870924
Comment:
    Cp value from here https://pubs.acs.org/doi/pdf/10.1021/je900307z</t>
      </text>
    </comment>
    <comment ref="S1372" authorId="55" shapeId="0" xr:uid="{04D2615F-1863-47AD-8EE7-0B677A274879}">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U1372" authorId="56" shapeId="0" xr:uid="{B1E523FF-8D9C-4D30-BE50-DCD1958A367C}">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R1373" authorId="57" shapeId="0" xr:uid="{A6865B53-35F5-4C76-A09A-C61D3C05B455}">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S1373" authorId="58" shapeId="0" xr:uid="{04ED4C81-FFED-412D-976F-5A425D53BE12}">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N1412" authorId="59" shapeId="0" xr:uid="{3F8AD2E9-20D6-4A5D-8D19-34D2C78C35F6}">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412" authorId="60" shapeId="0" xr:uid="{BC5ACA60-4DE9-43A2-AD22-A65FEB8D8EB7}">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412" authorId="61" shapeId="0" xr:uid="{18E14A23-0278-4F3B-ABCE-6D600EB9A8F4}">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412" authorId="62" shapeId="0" xr:uid="{E49CA6E6-B61A-46A3-AA76-F09F45B67887}">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412" authorId="63" shapeId="0" xr:uid="{4FBD68C6-4D14-45F7-97A3-A621A9CBFB2E}">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413" authorId="64" shapeId="0" xr:uid="{B0C29DE3-E633-4D1D-89BB-E79AFED309A6}">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413" authorId="65" shapeId="0" xr:uid="{1FC9B093-70B6-403B-BD37-02A841C5A60A}">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413" authorId="66" shapeId="0" xr:uid="{C78D69DC-548C-4BE7-B03C-CD1CBCEC93A1}">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E1432" authorId="67" shapeId="0" xr:uid="{43ADE8B0-52FA-429A-97E6-3D93AA70548F}">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J1530" authorId="68" shapeId="0" xr:uid="{F0C7D4FC-5F6B-4696-AB33-0DE82250C788}">
      <text>
        <t>[Threaded comment]
Your version of Excel allows you to read this threaded comment; however, any edits to it will get removed if the file is opened in a newer version of Excel. Learn more: https://go.microsoft.com/fwlink/?linkid=870924
Comment:
    Divided by 24 as half of the batch is required for the first 12 hour SBR cycle and the second half is required for the second cycle</t>
      </text>
    </comment>
    <comment ref="O1582" authorId="69" shapeId="0" xr:uid="{51C93D87-B85D-4263-A842-C8894CBC9DBC}">
      <text>
        <t xml:space="preserve">[Threaded comment]
Your version of Excel allows you to read this threaded comment; however, any edits to it will get removed if the file is opened in a newer version of Excel. Learn more: https://go.microsoft.com/fwlink/?linkid=870924
Comment:
    Non-renewable waste incineration may be considered here. </t>
      </text>
    </comment>
    <comment ref="O1593" authorId="70" shapeId="0" xr:uid="{A03A6A81-2CC3-4EBE-9D32-AFAD86D23910}">
      <text>
        <t>[Threaded comment]
Your version of Excel allows you to read this threaded comment; however, any edits to it will get removed if the file is opened in a newer version of Excel. Learn more: https://go.microsoft.com/fwlink/?linkid=870924
Comment:
    Interesting dilemma here.. Is the reused DMC considered a circular inflow. Do I consider the amount of DMC recovered as an inflow each day or is it a single inflow into the system that is reused within the system</t>
      </text>
    </comment>
    <comment ref="O1604" authorId="71" shapeId="0" xr:uid="{1E86B5AD-C4A4-4899-BA7D-F97CE2552636}">
      <text>
        <t>[Threaded comment]
Your version of Excel allows you to read this threaded comment; however, any edits to it will get removed if the file is opened in a newer version of Excel. Learn more: https://go.microsoft.com/fwlink/?linkid=870924
Comment:
    Need to consider the waste biomass from extraction, this may not be considered circular due to the presence of DMC</t>
      </text>
    </comment>
    <comment ref="O1612" authorId="72" shapeId="0" xr:uid="{5F83E44A-E5FF-45B8-9716-07912C22F6A6}">
      <text>
        <t>[Threaded comment]
Your version of Excel allows you to read this threaded comment; however, any edits to it will get removed if the file is opened in a newer version of Excel. Learn more: https://go.microsoft.com/fwlink/?linkid=870924
Comment:
    Need to determine if water sent back to the WWTP is considered circular as it requires further treatment after the PHA production process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tc={5FFE4FD3-70C9-435A-B547-AACF45E293ED}</author>
    <author>tc={F9CDD873-DC4A-4DF5-A322-77618178A962}</author>
    <author>tc={FB3B27E4-F4E4-47D9-9B8C-4EC58A909553}</author>
    <author>tc={42E30A80-61E0-425F-BB5B-1C3F6349B8D5}</author>
    <author>tc={6F3AFA58-9DAD-4FD6-8F59-4F7A0297DCD8}</author>
    <author>tc={2D5DB517-6D40-47D6-8CAA-A5788A691625}</author>
    <author>tc={9DD7B2A7-007C-4622-AAEF-B52C661AE9AB}</author>
    <author>tc={328CB849-76B3-42B2-B787-7311DC724394}</author>
    <author>tc={1E55549D-86AC-4DB3-A35B-9FC385DF22B9}</author>
    <author>tc={DADF315C-AD47-4191-9663-5A2D1076F50B}</author>
    <author>tc={A5BA7A60-A7AD-4704-AB04-262854F24993}</author>
    <author>tc={47963628-A0ED-44FE-8805-46A31EEA934F}</author>
    <author>tc={6AE7E893-9EAD-43FC-80FB-860C267F93E4}</author>
    <author>tc={3CAEAF2B-9FE4-4969-89C3-C84F98D28739}</author>
    <author>tc={5D41D5E2-8D0C-4DE2-BA60-B454AF272BBC}</author>
    <author>tc={ED1F4B38-53E6-4089-BBC5-9731E3AEC6EF}</author>
    <author>tc={DAA2AFA6-83DA-49AF-87B3-8C9BA8302D87}</author>
    <author>tc={0C511534-B561-4760-ACE9-FD825D7AC084}</author>
    <author>tc={9B0E9710-0900-4449-96E3-0083F080CE11}</author>
    <author>tc={C34B8553-B282-4A49-916C-403584B103BE}</author>
    <author>tc={F98683B2-732E-447C-9287-F21795F6B501}</author>
    <author>tc={CDA10C58-B548-4680-BFFA-9B4B5565D788}</author>
    <author>tc={FECBB2A2-F748-4F66-850C-6089656E33BF}</author>
    <author>tc={68731846-430F-4BEB-A134-6255607F7147}</author>
    <author>tc={F22D6616-26AD-4F3A-B65C-853AB07D8AC7}</author>
    <author>tc={690DAEF7-FEF0-4BB6-A904-146B2F21CB4A}</author>
    <author>tc={10CD0C62-7D13-4876-A055-971B0B9C84E0}</author>
    <author>tc={8576E103-F247-4A1E-9D32-F17B73FA5AFA}</author>
    <author>tc={5EAF6172-DC4D-4D72-A41D-D002B803A1D7}</author>
    <author>tc={EC69F60C-E112-4AC3-9A91-AC0FA6E727EC}</author>
    <author>tc={5599E742-523C-418F-8285-FCD93810218E}</author>
    <author>tc={670E560F-AD26-40B2-B01E-0DE94C73B90F}</author>
    <author>tc={FFB60EC0-ED96-4D53-8084-C68C9E8F4D89}</author>
    <author>tc={3D4AB1EE-2784-412D-B7A7-22AFD6D572AB}</author>
    <author>tc={FCCB4865-87E0-4017-9256-C907AAF59661}</author>
    <author>tc={BCF8EDA4-AF30-41CA-9FD4-45B00A1FB7FF}</author>
    <author>tc={16D66B1A-72B4-44FC-A3BA-1FFF25E57948}</author>
    <author>tc={34859D5F-255A-41DB-BF62-813CBEE44332}</author>
    <author>tc={F770DF69-5AAB-4296-A3AD-27114DDF6D28}</author>
    <author>tc={23069FE7-57A6-4164-AE75-98734F00793A}</author>
    <author>tc={96133B97-0F6E-455D-9D0B-03715E497017}</author>
    <author>tc={6A8C54E3-EB8F-4B3C-AC4D-EAB6F1FB3DA1}</author>
    <author>tc={4397C605-FBF8-47EC-8EF8-AB913D012CBC}</author>
    <author>tc={A4D21E84-AEDB-4F1D-B006-B0CCC650D38D}</author>
    <author>tc={ABCD8098-A660-4AC8-B21E-4D155605FD68}</author>
    <author>tc={C8A6F94A-7FEB-4306-8355-B507D8261C96}</author>
    <author>tc={5F51A568-28BA-4658-A017-650A03C2E739}</author>
    <author>tc={28D66025-46ED-49C1-808F-945F84CFCDE7}</author>
    <author>tc={43044775-B374-4BC2-9F21-3C9F7D3D8AD0}</author>
    <author>tc={F2B88B99-2641-429D-966A-89B1AD8EA25F}</author>
    <author>tc={F66E27CF-8D1D-49D7-AE77-091D0C14504F}</author>
    <author>tc={35CDC41F-FB46-40D6-B7AF-4341508A2E8F}</author>
    <author>tc={6374E98B-198F-4229-8426-4B9A51595E95}</author>
    <author>tc={E2FA2EE8-5F51-4D27-ACCF-157B227AFE74}</author>
    <author>tc={F3301768-4A7A-4F28-8904-8F9B6C5696B3}</author>
    <author>tc={2DC92397-D060-41C2-AE7D-F798F68D05E1}</author>
    <author>tc={5C672E56-B1EA-4F82-8BF5-91B583B3C25B}</author>
    <author>tc={1FCE7224-E45B-40C8-8C61-5A94261D162D}</author>
    <author>tc={8F198AB5-567C-45EE-8756-6F263CC3D3FB}</author>
    <author>tc={8B633EFE-A09A-4486-8308-201F6570CEE2}</author>
    <author>tc={3C8B7518-C4DB-4602-9797-CBC214A0A40C}</author>
    <author>tc={00CFFD32-2627-4276-8925-1B8802CD2F6C}</author>
    <author>tc={EC18544F-C8F5-4FCF-B16B-B8CB36F61ABA}</author>
    <author>tc={111974CA-F05F-48C4-B224-7C8EDF85A191}</author>
    <author>tc={8BEACE39-C2AC-4DE9-A9DB-19FAFE5EFF23}</author>
    <author>tc={BE977665-D045-4C0A-8C14-E74EC07361CD}</author>
    <author>tc={3CC9B4A0-28C9-4C82-B825-EAC2C4508631}</author>
    <author>tc={4F37BF79-7987-41AD-A84C-8113CF162E22}</author>
    <author>tc={D7AF67F0-9E9A-44B3-9AA8-E2AEE44BB0DD}</author>
    <author>tc={ABDBE3B5-3A46-4DC1-AB6F-0AF2303B3FF9}</author>
    <author>tc={CDEAA716-1BA8-4CC8-BE69-7AA1EF8F306C}</author>
    <author>tc={63877256-A0EA-4E9D-AFC8-4786C7936A3A}</author>
    <author>tc={CEE00D0F-CCE2-40B1-BCFE-9D5C871D965A}</author>
  </authors>
  <commentList>
    <comment ref="D184" authorId="0" shapeId="0" xr:uid="{5FFE4FD3-70C9-435A-B547-AACF45E293ED}">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392" authorId="1" shapeId="0" xr:uid="{F9CDD873-DC4A-4DF5-A322-77618178A962}">
      <text>
        <t>[Threaded comment]
Your version of Excel allows you to read this threaded comment; however, any edits to it will get removed if the file is opened in a newer version of Excel. Learn more: https://go.microsoft.com/fwlink/?linkid=870924
Comment:
    Metcalf and eddy page 1455</t>
      </text>
    </comment>
    <comment ref="D394" authorId="2" shapeId="0" xr:uid="{FB3B27E4-F4E4-47D9-9B8C-4EC58A909553}">
      <text>
        <t xml:space="preserve">[Threaded comment]
Your version of Excel allows you to read this threaded comment; however, any edits to it will get removed if the file is opened in a newer version of Excel. Learn more: https://go.microsoft.com/fwlink/?linkid=870924
Comment:
    Metcalf and eddy page 1455
</t>
      </text>
    </comment>
    <comment ref="D405" authorId="3" shapeId="0" xr:uid="{42E30A80-61E0-425F-BB5B-1C3F6349B8D5}">
      <text>
        <t>[Threaded comment]
Your version of Excel allows you to read this threaded comment; however, any edits to it will get removed if the file is opened in a newer version of Excel. Learn more: https://go.microsoft.com/fwlink/?linkid=870924
Comment:
    Calculated by CODsol - CODsol initial/COD initial. Can be used to determine the fixed COD in the biomass</t>
      </text>
    </comment>
    <comment ref="F405" authorId="4" shapeId="0" xr:uid="{6F3AFA58-9DAD-4FD6-8F59-4F7A0297DCD8}">
      <text>
        <t>[Threaded comment]
Your version of Excel allows you to read this threaded comment; however, any edits to it will get removed if the file is opened in a newer version of Excel. Learn more: https://go.microsoft.com/fwlink/?linkid=870924
Comment:
    At 35 degrees</t>
      </text>
    </comment>
    <comment ref="D423" authorId="5" shapeId="0" xr:uid="{2D5DB517-6D40-47D6-8CAA-A5788A691625}">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5" authorId="6" shapeId="0" xr:uid="{9DD7B2A7-007C-4622-AAEF-B52C661AE9AB}">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7" authorId="7" shapeId="0" xr:uid="{328CB849-76B3-42B2-B787-7311DC724394}">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35" authorId="8" shapeId="0" xr:uid="{1E55549D-86AC-4DB3-A35B-9FC385DF22B9}">
      <text>
        <t>[Threaded comment]
Your version of Excel allows you to read this threaded comment; however, any edits to it will get removed if the file is opened in a newer version of Excel. Learn more: https://go.microsoft.com/fwlink/?linkid=870924
Comment:
    Energy Requirement of 0.006kW/m3 converted to kWh for a 24 hour period for 5 batches running simultaniously</t>
      </text>
    </comment>
    <comment ref="D439" authorId="9" shapeId="0" xr:uid="{DADF315C-AD47-4191-9663-5A2D1076F50B}">
      <text>
        <t>[Threaded comment]
Your version of Excel allows you to read this threaded comment; however, any edits to it will get removed if the file is opened in a newer version of Excel. Learn more: https://go.microsoft.com/fwlink/?linkid=870924
Comment:
    Need to find typical heat exchanger capacity</t>
      </text>
    </comment>
    <comment ref="D542" authorId="10" shapeId="0" xr:uid="{A5BA7A60-A7AD-4704-AB04-262854F24993}">
      <text>
        <t>[Threaded comment]
Your version of Excel allows you to read this threaded comment; however, any edits to it will get removed if the file is opened in a newer version of Excel. Learn more: https://go.microsoft.com/fwlink/?linkid=870924
Comment:
    Need to determine is this on a dry weight basis</t>
      </text>
    </comment>
    <comment ref="D716" authorId="11" shapeId="0" xr:uid="{47963628-A0ED-44FE-8805-46A31EEA934F}">
      <text>
        <t>[Threaded comment]
Your version of Excel allows you to read this threaded comment; however, any edits to it will get removed if the file is opened in a newer version of Excel. Learn more: https://go.microsoft.com/fwlink/?linkid=870924
Comment:
    electrical efficiency 0.37 and LHV 22.73 MJ</t>
      </text>
    </comment>
    <comment ref="D789" authorId="12" shapeId="0" xr:uid="{6AE7E893-9EAD-43FC-80FB-860C267F93E4}">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792" authorId="13" shapeId="0" xr:uid="{3CAEAF2B-9FE4-4969-89C3-C84F98D28739}">
      <text>
        <t>[Threaded comment]
Your version of Excel allows you to read this threaded comment; however, any edits to it will get removed if the file is opened in a newer version of Excel. Learn more: https://go.microsoft.com/fwlink/?linkid=870924
Comment:
    This is just used to deduct the Thermal Energy Demand of AD in the PHA only scenario. This is not included in the infrastructure</t>
      </text>
    </comment>
    <comment ref="AM811" authorId="14" shapeId="0" xr:uid="{5D41D5E2-8D0C-4DE2-BA60-B454AF272BBC}">
      <text>
        <t>[Threaded comment]
Your version of Excel allows you to read this threaded comment; however, any edits to it will get removed if the file is opened in a newer version of Excel. Learn more: https://go.microsoft.com/fwlink/?linkid=870924
Comment:
    Used to calculate the evaporation rate of DMC based on the ethanol evaporation rate given in the evaporator specs</t>
      </text>
    </comment>
    <comment ref="E816" authorId="15" shapeId="0" xr:uid="{ED1F4B38-53E6-4089-BBC5-9731E3AEC6EF}">
      <text>
        <t>[Threaded comment]
Your version of Excel allows you to read this threaded comment; however, any edits to it will get removed if the file is opened in a newer version of Excel. Learn more: https://go.microsoft.com/fwlink/?linkid=870924
Comment:
    Required capacity of the pump is the capacity of the centrifuge</t>
      </text>
    </comment>
    <comment ref="E818" authorId="16" shapeId="0" xr:uid="{DAA2AFA6-83DA-49AF-87B3-8C9BA8302D87}">
      <text>
        <t>[Threaded comment]
Your version of Excel allows you to read this threaded comment; however, any edits to it will get removed if the file is opened in a newer version of Excel. Learn more: https://go.microsoft.com/fwlink/?linkid=870924
Comment:
    Pumping rate based on a fill time that is 5% of the overall cycle of 12 hours as per https://www.sciencedirect.com/science/article/pii/S0960852415000668</t>
      </text>
    </comment>
    <comment ref="K830" authorId="17" shapeId="0" xr:uid="{0C511534-B561-4760-ACE9-FD825D7AC084}">
      <text>
        <t>[Threaded comment]
Your version of Excel allows you to read this threaded comment; however, any edits to it will get removed if the file is opened in a newer version of Excel. Learn more: https://go.microsoft.com/fwlink/?linkid=870924
Comment:
    https://kdusling.github.io/teaching/Applied-Fluids/SteelPipeTable.html?sch=40&amp;mat=comSteel</t>
      </text>
    </comment>
    <comment ref="S830" authorId="18" shapeId="0" xr:uid="{9B0E9710-0900-4449-96E3-0083F080CE11}">
      <text>
        <t>[Threaded comment]
Your version of Excel allows you to read this threaded comment; however, any edits to it will get removed if the file is opened in a newer version of Excel. Learn more: https://go.microsoft.com/fwlink/?linkid=870924
Comment:
    GWP of the pipes, not the energy requirement for pumping</t>
      </text>
    </comment>
    <comment ref="P831" authorId="19" shapeId="0" xr:uid="{C34B8553-B282-4A49-916C-403584B103BE}">
      <text>
        <t xml:space="preserve">[Threaded comment]
Your version of Excel allows you to read this threaded comment; however, any edits to it will get removed if the file is opened in a newer version of Excel. Learn more: https://go.microsoft.com/fwlink/?linkid=870924
Comment:
    Pumping operational hours are actualy 24 hours when pump is on however to account for the 5 AF vessels the operational is divided by the number of tanks i.e 5
</t>
      </text>
    </comment>
    <comment ref="E867" authorId="20" shapeId="0" xr:uid="{F98683B2-732E-447C-9287-F21795F6B501}">
      <text>
        <t>[Threaded comment]
Your version of Excel allows you to read this threaded comment; however, any edits to it will get removed if the file is opened in a newer version of Excel. Learn more: https://go.microsoft.com/fwlink/?linkid=870924
Comment:
    Going for 3000 kN/m2 as the dominant rock type is limestone/shale. According to the following link, very marly limestones and shale range form 2000-4000 for moderately strong. Also the engineering toolbox says 2000-4000 for rock</t>
      </text>
    </comment>
    <comment ref="E869" authorId="21" shapeId="0" xr:uid="{CDA10C58-B548-4680-BFFA-9B4B5565D788}">
      <text>
        <t>[Threaded comment]
Your version of Excel allows you to read this threaded comment; however, any edits to it will get removed if the file is opened in a newer version of Excel. Learn more: https://go.microsoft.com/fwlink/?linkid=870924
Comment:
    Going for 45 as limestone is given as 45 and shale 30-45 in the engineering tool box</t>
      </text>
    </comment>
    <comment ref="E871" authorId="22" shapeId="0" xr:uid="{FECBB2A2-F748-4F66-850C-6089656E33BF}">
      <text>
        <t>[Threaded comment]
Your version of Excel allows you to read this threaded comment; however, any edits to it will get removed if the file is opened in a newer version of Excel. Learn more: https://go.microsoft.com/fwlink/?linkid=870924
Comment:
    Going for mid range value for density of limestone</t>
      </text>
    </comment>
    <comment ref="H1010" authorId="23" shapeId="0" xr:uid="{68731846-430F-4BEB-A134-6255607F7147}">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K1012" authorId="24" shapeId="0" xr:uid="{F22D6616-26AD-4F3A-B65C-853AB07D8AC7}">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G1094" authorId="25" shapeId="0" xr:uid="{690DAEF7-FEF0-4BB6-A904-146B2F21CB4A}">
      <text>
        <t>[Threaded comment]
Your version of Excel allows you to read this threaded comment; however, any edits to it will get removed if the file is opened in a newer version of Excel. Learn more: https://go.microsoft.com/fwlink/?linkid=870924
Comment:
    Need to figure this out. Could find the COD solubilisation rate and assume the remaining COD is contained in the sold mass</t>
      </text>
    </comment>
    <comment ref="M1110" authorId="26" shapeId="0" xr:uid="{10CD0C62-7D13-4876-A055-971B0B9C84E0}">
      <text>
        <t>[Threaded comment]
Your version of Excel allows you to read this threaded comment; however, any edits to it will get removed if the file is opened in a newer version of Excel. Learn more: https://go.microsoft.com/fwlink/?linkid=870924
Comment:
    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
      </text>
    </comment>
    <comment ref="M1111" authorId="27" shapeId="0" xr:uid="{8576E103-F247-4A1E-9D32-F17B73FA5AFA}">
      <text>
        <t>[Threaded comment]
Your version of Excel allows you to read this threaded comment; however, any edits to it will get removed if the file is opened in a newer version of Excel. Learn more: https://go.microsoft.com/fwlink/?linkid=870924
Comment:
    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
      </text>
    </comment>
    <comment ref="M1112" authorId="28" shapeId="0" xr:uid="{5EAF6172-DC4D-4D72-A41D-D002B803A1D7}">
      <text>
        <t>[Threaded comment]
Your version of Excel allows you to read this threaded comment; however, any edits to it will get removed if the file is opened in a newer version of Excel. Learn more: https://go.microsoft.com/fwlink/?linkid=870924
Comment:
    Assuming a PHA composition of HB:HV = 0.7:0.3</t>
      </text>
    </comment>
    <comment ref="D1114" authorId="29" shapeId="0" xr:uid="{EC69F60C-E112-4AC3-9A91-AC0FA6E727EC}">
      <text>
        <t xml:space="preserve">[Threaded comment]
Your version of Excel allows you to read this threaded comment; however, any edits to it will get removed if the file is opened in a newer version of Excel. Learn more: https://go.microsoft.com/fwlink/?linkid=870924
Comment:
    This is the remaining concentration in the reactor after excess biomass has been harvested from the previous cycle. </t>
      </text>
    </comment>
    <comment ref="D1116" authorId="30" shapeId="0" xr:uid="{5599E742-523C-418F-8285-FCD93810218E}">
      <text>
        <t>[Threaded comment]
Your version of Excel allows you to read this threaded comment; however, any edits to it will get removed if the file is opened in a newer version of Excel. Learn more: https://go.microsoft.com/fwlink/?linkid=870924
Comment:
    This active biomass concentration. It is calculated by taking the PHA content away from the VSS content. The PHA content is the content at the end of the famine phase when the excess biomass is harvested to maintain a VSS conc of 3 g/L once the SBR is filled with the VFA stream.</t>
      </text>
    </comment>
    <comment ref="N1129" authorId="31" shapeId="0" xr:uid="{670E560F-AD26-40B2-B01E-0DE94C73B90F}">
      <text>
        <t>[Threaded comment]
Your version of Excel allows you to read this threaded comment; however, any edits to it will get removed if the file is opened in a newer version of Excel. Learn more: https://go.microsoft.com/fwlink/?linkid=870924
Comment:
    Assuming that separation is not perfect, therefore some of the VSS is lost. Assuming VSS is the PHA rich biomass</t>
      </text>
    </comment>
    <comment ref="N1135" authorId="32" shapeId="0" xr:uid="{FFB60EC0-ED96-4D53-8084-C68C9E8F4D89}">
      <text>
        <t xml:space="preserve">[Threaded comment]
Your version of Excel allows you to read this threaded comment; however, any edits to it will get removed if the file is opened in a newer version of Excel. Learn more: https://go.microsoft.com/fwlink/?linkid=870924
Comment:
    Assuming 90% of VFA consumed in Accumulation. Also assuming that 100% of COD is VFA. These assumptions may change </t>
      </text>
    </comment>
    <comment ref="D1191" authorId="33" shapeId="0" xr:uid="{3D4AB1EE-2784-412D-B7A7-22AFD6D572AB}">
      <text>
        <t>[Threaded comment]
Your version of Excel allows you to read this threaded comment; however, any edits to it will get removed if the file is opened in a newer version of Excel. Learn more: https://go.microsoft.com/fwlink/?linkid=870924
Comment:
    Gong to assume for anaerobic digestion only</t>
      </text>
    </comment>
    <comment ref="R1305" authorId="34" shapeId="0" xr:uid="{FCCB4865-87E0-4017-9256-C907AAF59661}">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S1305" authorId="35" shapeId="0" xr:uid="{BCF8EDA4-AF30-41CA-9FD4-45B00A1FB7FF}">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U1305" authorId="36" shapeId="0" xr:uid="{16D66B1A-72B4-44FC-A3BA-1FFF25E57948}">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W1305" authorId="37" shapeId="0" xr:uid="{34859D5F-255A-41DB-BF62-813CBEE44332}">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T1306" authorId="38" shapeId="0" xr:uid="{F770DF69-5AAB-4296-A3AD-27114DDF6D28}">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U1306" authorId="39" shapeId="0" xr:uid="{23069FE7-57A6-4164-AE75-98734F00793A}">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B1306" authorId="40" shapeId="0" xr:uid="{96133B97-0F6E-455D-9D0B-03715E497017}">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22" authorId="41" shapeId="0" xr:uid="{6A8C54E3-EB8F-4B3C-AC4D-EAB6F1FB3DA1}">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22" authorId="42" shapeId="0" xr:uid="{4397C605-FBF8-47EC-8EF8-AB913D012CBC}">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322" authorId="43" shapeId="0" xr:uid="{A4D21E84-AEDB-4F1D-B006-B0CCC650D38D}">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322" authorId="44" shapeId="0" xr:uid="{ABCD8098-A660-4AC8-B21E-4D155605FD68}">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322" authorId="45" shapeId="0" xr:uid="{C8A6F94A-7FEB-4306-8355-B507D8261C96}">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323" authorId="46" shapeId="0" xr:uid="{5F51A568-28BA-4658-A017-650A03C2E739}">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323" authorId="47" shapeId="0" xr:uid="{28D66025-46ED-49C1-808F-945F84CFCDE7}">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323" authorId="48" shapeId="0" xr:uid="{43044775-B374-4BC2-9F21-3C9F7D3D8AD0}">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39" authorId="49" shapeId="0" xr:uid="{F2B88B99-2641-429D-966A-89B1AD8EA25F}">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39" authorId="50" shapeId="0" xr:uid="{F66E27CF-8D1D-49D7-AE77-091D0C14504F}">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N1356" authorId="51" shapeId="0" xr:uid="{35CDC41F-FB46-40D6-B7AF-4341508A2E8F}">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56" authorId="52" shapeId="0" xr:uid="{6374E98B-198F-4229-8426-4B9A51595E95}">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Q1372" authorId="53" shapeId="0" xr:uid="{E2FA2EE8-5F51-4D27-ACCF-157B227AFE74}">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R1372" authorId="54" shapeId="0" xr:uid="{F3301768-4A7A-4F28-8904-8F9B6C5696B3}">
      <text>
        <t>[Threaded comment]
Your version of Excel allows you to read this threaded comment; however, any edits to it will get removed if the file is opened in a newer version of Excel. Learn more: https://go.microsoft.com/fwlink/?linkid=870924
Comment:
    Cp value from here https://pubs.acs.org/doi/pdf/10.1021/je900307z</t>
      </text>
    </comment>
    <comment ref="S1372" authorId="55" shapeId="0" xr:uid="{2DC92397-D060-41C2-AE7D-F798F68D05E1}">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U1372" authorId="56" shapeId="0" xr:uid="{5C672E56-B1EA-4F82-8BF5-91B583B3C25B}">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R1373" authorId="57" shapeId="0" xr:uid="{1FCE7224-E45B-40C8-8C61-5A94261D162D}">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S1373" authorId="58" shapeId="0" xr:uid="{8F198AB5-567C-45EE-8756-6F263CC3D3FB}">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N1412" authorId="59" shapeId="0" xr:uid="{8B633EFE-A09A-4486-8308-201F6570CEE2}">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412" authorId="60" shapeId="0" xr:uid="{3C8B7518-C4DB-4602-9797-CBC214A0A40C}">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412" authorId="61" shapeId="0" xr:uid="{00CFFD32-2627-4276-8925-1B8802CD2F6C}">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412" authorId="62" shapeId="0" xr:uid="{EC18544F-C8F5-4FCF-B16B-B8CB36F61ABA}">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412" authorId="63" shapeId="0" xr:uid="{111974CA-F05F-48C4-B224-7C8EDF85A191}">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413" authorId="64" shapeId="0" xr:uid="{8BEACE39-C2AC-4DE9-A9DB-19FAFE5EFF23}">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413" authorId="65" shapeId="0" xr:uid="{BE977665-D045-4C0A-8C14-E74EC07361CD}">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413" authorId="66" shapeId="0" xr:uid="{3CC9B4A0-28C9-4C82-B825-EAC2C4508631}">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E1432" authorId="67" shapeId="0" xr:uid="{4F37BF79-7987-41AD-A84C-8113CF162E22}">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J1530" authorId="68" shapeId="0" xr:uid="{D7AF67F0-9E9A-44B3-9AA8-E2AEE44BB0DD}">
      <text>
        <t>[Threaded comment]
Your version of Excel allows you to read this threaded comment; however, any edits to it will get removed if the file is opened in a newer version of Excel. Learn more: https://go.microsoft.com/fwlink/?linkid=870924
Comment:
    Divided by 24 as half of the batch is required for the first 12 hour SBR cycle and the second half is required for the second cycle</t>
      </text>
    </comment>
    <comment ref="O1582" authorId="69" shapeId="0" xr:uid="{ABDBE3B5-3A46-4DC1-AB6F-0AF2303B3FF9}">
      <text>
        <t xml:space="preserve">[Threaded comment]
Your version of Excel allows you to read this threaded comment; however, any edits to it will get removed if the file is opened in a newer version of Excel. Learn more: https://go.microsoft.com/fwlink/?linkid=870924
Comment:
    Non-renewable waste incineration may be considered here. </t>
      </text>
    </comment>
    <comment ref="O1593" authorId="70" shapeId="0" xr:uid="{CDEAA716-1BA8-4CC8-BE69-7AA1EF8F306C}">
      <text>
        <t>[Threaded comment]
Your version of Excel allows you to read this threaded comment; however, any edits to it will get removed if the file is opened in a newer version of Excel. Learn more: https://go.microsoft.com/fwlink/?linkid=870924
Comment:
    Interesting dilemma here.. Is the reused DMC considered a circular inflow. Do I consider the amount of DMC recovered as an inflow each day or is it a single inflow into the system that is reused within the system</t>
      </text>
    </comment>
    <comment ref="O1604" authorId="71" shapeId="0" xr:uid="{63877256-A0EA-4E9D-AFC8-4786C7936A3A}">
      <text>
        <t>[Threaded comment]
Your version of Excel allows you to read this threaded comment; however, any edits to it will get removed if the file is opened in a newer version of Excel. Learn more: https://go.microsoft.com/fwlink/?linkid=870924
Comment:
    Need to consider the waste biomass from extraction, this may not be considered circular due to the presence of DMC</t>
      </text>
    </comment>
    <comment ref="O1612" authorId="72" shapeId="0" xr:uid="{CEE00D0F-CCE2-40B1-BCFE-9D5C871D965A}">
      <text>
        <t>[Threaded comment]
Your version of Excel allows you to read this threaded comment; however, any edits to it will get removed if the file is opened in a newer version of Excel. Learn more: https://go.microsoft.com/fwlink/?linkid=870924
Comment:
    Need to determine if water sent back to the WWTP is considered circular as it requires further treatment after the PHA production process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<sst xmlns="http://schemas.openxmlformats.org/spreadsheetml/2006/main" count="6161" uniqueCount="1762">
  <si>
    <t>Inputs</t>
  </si>
  <si>
    <t>VFA Production</t>
  </si>
  <si>
    <t>Vol (m^3/d)</t>
  </si>
  <si>
    <t>VFA conc (kg/m^3)</t>
  </si>
  <si>
    <t>Outputs</t>
  </si>
  <si>
    <t>Sludge Type</t>
  </si>
  <si>
    <t>VFA total (kg VFA/d)</t>
  </si>
  <si>
    <t>primary sludge production rate (m^3/d)</t>
  </si>
  <si>
    <t>TS (kg/d) Wet Weight</t>
  </si>
  <si>
    <t>heat requirement ((kWh/m^3)</t>
  </si>
  <si>
    <t>Centrifugation 1</t>
  </si>
  <si>
    <t>elelcrictity requirement (kWh/m^3)</t>
  </si>
  <si>
    <t>COD</t>
  </si>
  <si>
    <t>Enrichment</t>
  </si>
  <si>
    <t>Lquid stream vol (m^3/d)</t>
  </si>
  <si>
    <t>Liquid Stream mass (kg/d)</t>
  </si>
  <si>
    <t>OLR (kg COD/m^3/d)</t>
  </si>
  <si>
    <t>VFA Rich stream vol (m^3/d)</t>
  </si>
  <si>
    <t>Liquid Stream VFA conc (kg/M^3/d)</t>
  </si>
  <si>
    <t>Fresh Water m^3/d</t>
  </si>
  <si>
    <t>VFA Rich stream conc (kg/m^3)</t>
  </si>
  <si>
    <t>Proportion of Centrifuge 1 Product stream</t>
  </si>
  <si>
    <t>https://www.sciencedirect.com/science/article/pii/S0960852415000668</t>
  </si>
  <si>
    <t>WOW report</t>
  </si>
  <si>
    <t>wastewater (m^3/d)</t>
  </si>
  <si>
    <t>Accumulation</t>
  </si>
  <si>
    <t>Proportion of cenrifuge 1 stream</t>
  </si>
  <si>
    <t>Enriched VFA Stream (m^3/d)</t>
  </si>
  <si>
    <t>Input</t>
  </si>
  <si>
    <t>Output</t>
  </si>
  <si>
    <t>https://www.sciencedirect.com/science/article/pii/S0960852415000668#tblfn2</t>
  </si>
  <si>
    <t>centrifugation</t>
  </si>
  <si>
    <t>Inflow (m^3/d)</t>
  </si>
  <si>
    <t>Cetrifuge 2</t>
  </si>
  <si>
    <t>Electricity</t>
  </si>
  <si>
    <t>Inflow (kg/d)</t>
  </si>
  <si>
    <t>Separation efficiency</t>
  </si>
  <si>
    <t>Wastewater (kg/d)</t>
  </si>
  <si>
    <t>Biomass content (kg biomass/kg sludge</t>
  </si>
  <si>
    <t>Wastewater (m^3/d)</t>
  </si>
  <si>
    <t>drying</t>
  </si>
  <si>
    <t>Vapour</t>
  </si>
  <si>
    <t>Dry matter content after drying</t>
  </si>
  <si>
    <t>DM content before drying</t>
  </si>
  <si>
    <t>Extraction</t>
  </si>
  <si>
    <t>PHA content (kg/d)</t>
  </si>
  <si>
    <t>PHA Content (kg/d)</t>
  </si>
  <si>
    <t>PHA content (%)</t>
  </si>
  <si>
    <t>DMc content (kgDMC/kgBiomass)</t>
  </si>
  <si>
    <t>PHA composition</t>
  </si>
  <si>
    <t>HB</t>
  </si>
  <si>
    <t>HV</t>
  </si>
  <si>
    <t>Conversion to from COD</t>
  </si>
  <si>
    <t>mgCOD/mg HV</t>
  </si>
  <si>
    <t>mgCOD/mgHB</t>
  </si>
  <si>
    <t>DM content of VSS</t>
  </si>
  <si>
    <t>Moisture content Before drying</t>
  </si>
  <si>
    <t>Moisture content After drying</t>
  </si>
  <si>
    <t>Retention time (days)</t>
  </si>
  <si>
    <t>Extraction Efficiency</t>
  </si>
  <si>
    <t>operational days</t>
  </si>
  <si>
    <t>Biogas Production</t>
  </si>
  <si>
    <t xml:space="preserve">Jan </t>
  </si>
  <si>
    <t>feb</t>
  </si>
  <si>
    <t>Mar</t>
  </si>
  <si>
    <t>Apr</t>
  </si>
  <si>
    <t>May</t>
  </si>
  <si>
    <t>Jun</t>
  </si>
  <si>
    <t>Jul</t>
  </si>
  <si>
    <t>Aug</t>
  </si>
  <si>
    <t>Sep</t>
  </si>
  <si>
    <t>Oct</t>
  </si>
  <si>
    <t>Nov</t>
  </si>
  <si>
    <t>Dec</t>
  </si>
  <si>
    <t>Month</t>
  </si>
  <si>
    <t>Waste water production rate PE (m^3/d)</t>
  </si>
  <si>
    <t>Sludge Production rate m^3/capita</t>
  </si>
  <si>
    <t>Parameter</t>
  </si>
  <si>
    <t>Primary Clarifier Efficiency</t>
  </si>
  <si>
    <t>Biodegradable COD (g/m^3)</t>
  </si>
  <si>
    <t>Value</t>
  </si>
  <si>
    <t>N/A</t>
  </si>
  <si>
    <t>Unit Conversion</t>
  </si>
  <si>
    <t>mg/L</t>
  </si>
  <si>
    <t>Kg/m&amp;^3</t>
  </si>
  <si>
    <t>Kg/m^3</t>
  </si>
  <si>
    <t>Daily Sludge Mass (kg/d)</t>
  </si>
  <si>
    <t>WWTP Influent Flow Rate (m^3/d)</t>
  </si>
  <si>
    <t>TSS Concentration (kg/m^3/d)</t>
  </si>
  <si>
    <t>COD In influent WW  (kg/m^3/d)</t>
  </si>
  <si>
    <t>Primary Clarifier COD Removal Efficiency</t>
  </si>
  <si>
    <t>Default COD of WW (kg/m^3)</t>
  </si>
  <si>
    <t>Primary Clarifier TSS Removal Efficiency (%)</t>
  </si>
  <si>
    <t>Primary Clarifier COD Removal Efficiency (%)</t>
  </si>
  <si>
    <t>Daily Sludge Volume (m^3/d)</t>
  </si>
  <si>
    <t>Specific Gravity of sludge</t>
  </si>
  <si>
    <t>Sludge Solids Content (%)</t>
  </si>
  <si>
    <t>COD of Sludge (kg/m^3/d)</t>
  </si>
  <si>
    <t>Biomass Volume (m^3/d)</t>
  </si>
  <si>
    <t>Biomass Density (kg/m3)</t>
  </si>
  <si>
    <t xml:space="preserve">PHA/VSS (gPHA/gVSS) </t>
  </si>
  <si>
    <t>Results Time Frame</t>
  </si>
  <si>
    <t>Daily</t>
  </si>
  <si>
    <t>Annually</t>
  </si>
  <si>
    <t>Electricity Requirement (kWh/m^3)</t>
  </si>
  <si>
    <t>Drying</t>
  </si>
  <si>
    <t>Electricity Requirement (kWh/kg-evap)</t>
  </si>
  <si>
    <t>Max Q (m^3/d)</t>
  </si>
  <si>
    <t>Aspect Ratio</t>
  </si>
  <si>
    <t>Process</t>
  </si>
  <si>
    <t>PHA Production</t>
  </si>
  <si>
    <t>TS of Sludge (kg/m^3/d)</t>
  </si>
  <si>
    <t>Number of Tanks</t>
  </si>
  <si>
    <t>Tank Height</t>
  </si>
  <si>
    <t>Tank Diameter (m)</t>
  </si>
  <si>
    <t>Tank Total Volume (m^3)</t>
  </si>
  <si>
    <t>Tank Volume Working Volume (m^3)</t>
  </si>
  <si>
    <t>Average Montly Temp (Deg C)</t>
  </si>
  <si>
    <t>Acidogenic Fermentation Operational Temperature</t>
  </si>
  <si>
    <t>CP (J/kg Deg C)</t>
  </si>
  <si>
    <t>Sludge Temperature</t>
  </si>
  <si>
    <t>Surface Area of Floor</t>
  </si>
  <si>
    <t>Surface Area of Walls (m^2)</t>
  </si>
  <si>
    <t>Surface Area of Roof (m^2)</t>
  </si>
  <si>
    <t xml:space="preserve">Tank Wall Material </t>
  </si>
  <si>
    <t xml:space="preserve">Tank Roof Material </t>
  </si>
  <si>
    <t xml:space="preserve">Tank Floor Material </t>
  </si>
  <si>
    <t>Plain Concrete Walls Above Ground</t>
  </si>
  <si>
    <t>Material</t>
  </si>
  <si>
    <t>Min U value</t>
  </si>
  <si>
    <t xml:space="preserve">Max U Value </t>
  </si>
  <si>
    <t>Mid Range U Value</t>
  </si>
  <si>
    <t>Plain Concrete Walls Above Ground 300mm thick, not insultated</t>
  </si>
  <si>
    <t>Plain Concrete Walls Above Ground 300 mm thick with air space plus brick facing</t>
  </si>
  <si>
    <t>Plain Concrete Walls Above Ground 300mm thick wall with insulation</t>
  </si>
  <si>
    <t>Plain Concrete Walls Below Ground Surrounded by dry earth</t>
  </si>
  <si>
    <t>Plain Concrete Walls Below Ground Surrounded by wet earth</t>
  </si>
  <si>
    <t>Plain Concrete Floors 300 mm thick with moist earth</t>
  </si>
  <si>
    <t>Plain Concrete Floors 300 mm thick with dry earth</t>
  </si>
  <si>
    <t>Floating Covers with  35mm wood deck, built up roofing and no insulation</t>
  </si>
  <si>
    <t>Floating Covers with 25 mm insulating board installed under roofing</t>
  </si>
  <si>
    <t>Fixed Concrete Covers 100m thick and covered with build up roofing , not insulated</t>
  </si>
  <si>
    <t>Fixed Concrete Covers 100m thick and covered with build up roofing , insulated with 25 mm insulating board</t>
  </si>
  <si>
    <t>Fixed Concrete Cover 225mm thick not insulated</t>
  </si>
  <si>
    <t>User Defined U value</t>
  </si>
  <si>
    <t>Wall U Value</t>
  </si>
  <si>
    <t>Tank Roof U Value</t>
  </si>
  <si>
    <t>Tank Floor U value</t>
  </si>
  <si>
    <t>Enter Value</t>
  </si>
  <si>
    <t>Average Monthly Ground Temp (If using tanks below ground)</t>
  </si>
  <si>
    <t>Heat Loss From Walls (J/d)</t>
  </si>
  <si>
    <t>Heat Loss From Floor (j/d)</t>
  </si>
  <si>
    <t>Heat Loss From Roof (j/d)</t>
  </si>
  <si>
    <t>Reaction Temperature</t>
  </si>
  <si>
    <t>Total Heat loss per day per reactor (j/d)</t>
  </si>
  <si>
    <t>Efficiency of heat exchanger</t>
  </si>
  <si>
    <t>https://www.sciencedirect.com/science/article/pii/S0956053X21003780</t>
  </si>
  <si>
    <t>Total Heat loss per batch (j)</t>
  </si>
  <si>
    <t xml:space="preserve">Cycle time (days) </t>
  </si>
  <si>
    <t>SRT</t>
  </si>
  <si>
    <t>Grid</t>
  </si>
  <si>
    <t>Coal</t>
  </si>
  <si>
    <t>Oil</t>
  </si>
  <si>
    <t>Source</t>
  </si>
  <si>
    <t>Natural Gas</t>
  </si>
  <si>
    <t>Wind</t>
  </si>
  <si>
    <t>Solar</t>
  </si>
  <si>
    <t>Hydro</t>
  </si>
  <si>
    <t>Peat</t>
  </si>
  <si>
    <t>Share</t>
  </si>
  <si>
    <t>biomass</t>
  </si>
  <si>
    <t>Energy Source</t>
  </si>
  <si>
    <t>Acetate</t>
  </si>
  <si>
    <t>N</t>
  </si>
  <si>
    <t>P</t>
  </si>
  <si>
    <t>Required Ratio</t>
  </si>
  <si>
    <t>Current Concentrations</t>
  </si>
  <si>
    <t>New Concentrations</t>
  </si>
  <si>
    <t>Flow Rate</t>
  </si>
  <si>
    <r>
      <t>BOD</t>
    </r>
    <r>
      <rPr>
        <vertAlign val="subscript"/>
        <sz val="11"/>
        <color theme="1"/>
        <rFont val="Calibri"/>
        <family val="2"/>
        <scheme val="minor"/>
      </rPr>
      <t>c</t>
    </r>
    <r>
      <rPr>
        <sz val="11"/>
        <color theme="1"/>
        <rFont val="Calibri"/>
        <family val="2"/>
        <scheme val="minor"/>
      </rPr>
      <t xml:space="preserve"> (g/m^3)</t>
    </r>
  </si>
  <si>
    <r>
      <t>TSS</t>
    </r>
    <r>
      <rPr>
        <vertAlign val="subscript"/>
        <sz val="11"/>
        <color theme="1"/>
        <rFont val="Calibri"/>
        <family val="2"/>
        <scheme val="minor"/>
      </rPr>
      <t>c</t>
    </r>
    <r>
      <rPr>
        <sz val="11"/>
        <color theme="1"/>
        <rFont val="Calibri"/>
        <family val="2"/>
        <scheme val="minor"/>
      </rPr>
      <t xml:space="preserve"> (g/m^3)</t>
    </r>
  </si>
  <si>
    <t>TSSc after grit removal (g/m^3)</t>
  </si>
  <si>
    <t>Volatile Fraction of Grit</t>
  </si>
  <si>
    <t>Sludge Characteristics</t>
  </si>
  <si>
    <t>Primary Sludge Concentration</t>
  </si>
  <si>
    <t>Fraction of BOD that is biodegradable</t>
  </si>
  <si>
    <t>Biodegradable COD</t>
  </si>
  <si>
    <t>BOD</t>
  </si>
  <si>
    <t>Primary Clarifier</t>
  </si>
  <si>
    <t>Removal Performance</t>
  </si>
  <si>
    <t>TSS</t>
  </si>
  <si>
    <t>Secondary Treatment</t>
  </si>
  <si>
    <t>VSSc/TSSc Primary Effluent</t>
  </si>
  <si>
    <t>VSSc/TSSc</t>
  </si>
  <si>
    <t>Aeration Tank Volume (4700m^3)</t>
  </si>
  <si>
    <t>Y (kg/kg)</t>
  </si>
  <si>
    <t>b</t>
  </si>
  <si>
    <t>SRT (d)</t>
  </si>
  <si>
    <t>Mass in Influent</t>
  </si>
  <si>
    <t>BODm (kg/d)</t>
  </si>
  <si>
    <t>TSSm</t>
  </si>
  <si>
    <t>bCODm (kg/d)</t>
  </si>
  <si>
    <t>TSSm (kg/d)</t>
  </si>
  <si>
    <t>TSSm after grit removal</t>
  </si>
  <si>
    <t>Soluble BODc = Influent soluble BODc escaping treatment + BODc of effluent TSSc</t>
  </si>
  <si>
    <t>Determine BODc of effluent TSSc</t>
  </si>
  <si>
    <t>Biodegradable portion of effluent TSSc (g/m^3)</t>
  </si>
  <si>
    <t xml:space="preserve">UBOD of the biodegradable effluent TSSc </t>
  </si>
  <si>
    <t>BOD:UBOD</t>
  </si>
  <si>
    <t>BOD per g biodegradable material</t>
  </si>
  <si>
    <t>BODc of effluent suspended solids</t>
  </si>
  <si>
    <t>Now solve for influent soluble BOD escaping treatment (S)</t>
  </si>
  <si>
    <t>S</t>
  </si>
  <si>
    <t>Step 3 Prepare the First iteration of the solids balance</t>
  </si>
  <si>
    <t>Primary Settling</t>
  </si>
  <si>
    <t>BOD removed (kg/d)</t>
  </si>
  <si>
    <t>TSSm to Secondary</t>
  </si>
  <si>
    <t>Determine the Volatile Fraction of the Primary Sludge</t>
  </si>
  <si>
    <t>VSS:TSS influent</t>
  </si>
  <si>
    <t>Volatile fraction of TSS in influent (VSS/TSS)</t>
  </si>
  <si>
    <t>Volatile fraction of TSS discharged to secondary</t>
  </si>
  <si>
    <t>Volatile fraction of primary sludge</t>
  </si>
  <si>
    <t>Secondary Process</t>
  </si>
  <si>
    <t>MLVSS</t>
  </si>
  <si>
    <t>Q*Y*(So-S)*SRT/[1+b(SRT)]*Vr</t>
  </si>
  <si>
    <t>BOD to Secondary (kg/d)</t>
  </si>
  <si>
    <t>BODc to Secondary (g/m^3/d)</t>
  </si>
  <si>
    <t>MVLSS (g/m^3)</t>
  </si>
  <si>
    <t>Mixed Liqour TSSc</t>
  </si>
  <si>
    <t>Yobs</t>
  </si>
  <si>
    <t>Y/[1+b(SRT)]</t>
  </si>
  <si>
    <t>Determine Effluent Mass Quantities</t>
  </si>
  <si>
    <t>Estimate the mass of volatile solids produced in the activated sludge process</t>
  </si>
  <si>
    <t>Pxvss</t>
  </si>
  <si>
    <t>Yobs*Q*(So-S)/(1000g/kg)</t>
  </si>
  <si>
    <t>Estimate the volume of solids that should be wasted assuming the volatile fraction represents 0.8 of total solids</t>
  </si>
  <si>
    <t>TSS (kg/d)</t>
  </si>
  <si>
    <t>TSSm-TSSm effluent (kg/d)</t>
  </si>
  <si>
    <t>TSSm in reactor</t>
  </si>
  <si>
    <t>TSSm in effluent</t>
  </si>
  <si>
    <t>Flowrate (m^3/d)</t>
  </si>
  <si>
    <t xml:space="preserve">Step 2 Estimate the concentration of soluble BODc in the effluent </t>
  </si>
  <si>
    <t>Step 1 Find Mass content of influent</t>
  </si>
  <si>
    <t>Flotation Thickeners</t>
  </si>
  <si>
    <t>Concentration of thickened sludge</t>
  </si>
  <si>
    <t>Assumed Solids recovery</t>
  </si>
  <si>
    <t>Solids recovery</t>
  </si>
  <si>
    <t>Assumed Specific Gravity</t>
  </si>
  <si>
    <t>Flowrate of thickened sludge (m^3/d)</t>
  </si>
  <si>
    <t>Determine flowrate recylced to plant influent (m^3/d)</t>
  </si>
  <si>
    <t>TSSm recycled to plant influent (kg/d)</t>
  </si>
  <si>
    <t>TSSm to digestor (kg/d)</t>
  </si>
  <si>
    <t>Determine the BOD of the TSS in recycled flow</t>
  </si>
  <si>
    <t>TSSc in recycled flow (g/m^3)</t>
  </si>
  <si>
    <t>BODc of TSSc (g/m^3)</t>
  </si>
  <si>
    <t>Sludge Digestion</t>
  </si>
  <si>
    <t>SRT (days)</t>
  </si>
  <si>
    <t>VSS destruction during digestion</t>
  </si>
  <si>
    <t>Gas Production (m^3/kg VSS destroyed)</t>
  </si>
  <si>
    <t>Determine the total solids fed to the digestor and the corresponding flowrate</t>
  </si>
  <si>
    <t>Solids from primary clarifier and WAS</t>
  </si>
  <si>
    <t>Q primary effluent(m^3/d)</t>
  </si>
  <si>
    <t>Q WAS (m^3/d)</t>
  </si>
  <si>
    <t>Total Q (m^3/d)</t>
  </si>
  <si>
    <t>Determine VSS fed to Digestor</t>
  </si>
  <si>
    <t>VSSm in Primary Sludge (kg/d)</t>
  </si>
  <si>
    <t>VSSm in WAS (kg/d)</t>
  </si>
  <si>
    <t>Determine the mass quantities of gas and sludge after digestion. Assume that the total mass of fixed solids does not change during digestion and that 50% of the volatile solids are destroyed</t>
  </si>
  <si>
    <t>Fixed solids (TSS-VSS)</t>
  </si>
  <si>
    <t>TSSm in digested sludge</t>
  </si>
  <si>
    <t>Density of Air (kg/m^3)</t>
  </si>
  <si>
    <t>Density of Digestor gas:Density Air</t>
  </si>
  <si>
    <t>Density of Digestor Gas (kg/m^3)</t>
  </si>
  <si>
    <t>Gas production (kg/d)</t>
  </si>
  <si>
    <t>Gas Production (m^3/d)</t>
  </si>
  <si>
    <t>Mas Balance of Digestor Output</t>
  </si>
  <si>
    <t>Mass input (kg/d)</t>
  </si>
  <si>
    <t>Less Gas Output (kg/d)</t>
  </si>
  <si>
    <t>Mass Output</t>
  </si>
  <si>
    <t>Determine Flow rate distribution between supernatant at 5000g/m^3 and digested sludge at 5% solids</t>
  </si>
  <si>
    <t>VSS Concentration (kg/m^3/d)</t>
  </si>
  <si>
    <t>Default TSS Concentration (kg/m^3)</t>
  </si>
  <si>
    <t>VSS in influent prior to grit removal (kg/d)</t>
  </si>
  <si>
    <t>VSS removed in grit chamber (kg/d)</t>
  </si>
  <si>
    <t>VSS in secondary influent (kg/d)</t>
  </si>
  <si>
    <t>VSS in primary sludge (kg/d)</t>
  </si>
  <si>
    <t>TSSm Removed (kg/d)</t>
  </si>
  <si>
    <t xml:space="preserve">VS </t>
  </si>
  <si>
    <t>Circularity Metrics</t>
  </si>
  <si>
    <t xml:space="preserve">A PHA substitution ratio of PET to PHA is 1:0.72 </t>
  </si>
  <si>
    <t>Biomass:solvent kg/L</t>
  </si>
  <si>
    <t>https://www.mdpi.com/2073-4441/12/4/1185</t>
  </si>
  <si>
    <t>DMC recovery Rate</t>
  </si>
  <si>
    <t>DMC density kg/L</t>
  </si>
  <si>
    <t>https://www.sigmaaldrich.com/IE/en/product/sial/517127</t>
  </si>
  <si>
    <t>DMC Recovered (kg/d)</t>
  </si>
  <si>
    <t>Centrifugation</t>
  </si>
  <si>
    <t>Extraction centrifugation 1</t>
  </si>
  <si>
    <t>TS conc (kg/m^3)</t>
  </si>
  <si>
    <t>https://www.sciencedirect.com/science/article/pii/S0959652616311337?via%3Dihub</t>
  </si>
  <si>
    <t>https://www.sciencedirect.com/science/article/pii/S0960852415000668#t0010</t>
  </si>
  <si>
    <t>VS Reduction (gVS/gVSinitial)</t>
  </si>
  <si>
    <t>TS Reduction (gTS/gTSinitial)</t>
  </si>
  <si>
    <t xml:space="preserve">TS (kg/m^3/d) </t>
  </si>
  <si>
    <t>Sludge production rate (TSSm/d) (kg/d)</t>
  </si>
  <si>
    <t>COD (kg/d)</t>
  </si>
  <si>
    <t>Centrifugation 1 Spearation Efficiency</t>
  </si>
  <si>
    <t>TS (kg/d)</t>
  </si>
  <si>
    <t>Liquid Stream TS (kg/d)</t>
  </si>
  <si>
    <t>Liquid Stream TSc (kg/m^3/d)</t>
  </si>
  <si>
    <t>VS (kg/d)</t>
  </si>
  <si>
    <t>Recovered TS (kg/d)</t>
  </si>
  <si>
    <t>Recovered VS(kg/d)</t>
  </si>
  <si>
    <t>Liquid Stream VSc</t>
  </si>
  <si>
    <t>Liquid stream VSm</t>
  </si>
  <si>
    <t>VS Influent (kg/d)</t>
  </si>
  <si>
    <t>TS Influent (kg/d)</t>
  </si>
  <si>
    <t>Acetate (gCOD/gACE)</t>
  </si>
  <si>
    <t>Propionate (gCOD/gPRO)</t>
  </si>
  <si>
    <t>Butyrate (gCOD/gBU)</t>
  </si>
  <si>
    <t>gVFA/gCOD</t>
  </si>
  <si>
    <t>https://www.ncbi.nlm.nih.gov/pmc/articles/PMC91240/#:~:text=The%20COD%20conversion%20factors%20were,propionate%2C%20and%20butyrate%2C%20respectively.</t>
  </si>
  <si>
    <t>Chemical Formula</t>
  </si>
  <si>
    <t>C2H3O2</t>
  </si>
  <si>
    <t>C3H5O2</t>
  </si>
  <si>
    <t>C4H7O2</t>
  </si>
  <si>
    <t>moles</t>
  </si>
  <si>
    <t>Carbon per mole acetate</t>
  </si>
  <si>
    <t>Carbon content</t>
  </si>
  <si>
    <t>Ratio VFA</t>
  </si>
  <si>
    <t xml:space="preserve">Total microorganism in selection </t>
  </si>
  <si>
    <t>Ratio of C:microorganisms</t>
  </si>
  <si>
    <t>Harvested Biomass</t>
  </si>
  <si>
    <t>Total C Required</t>
  </si>
  <si>
    <t>kgCODvfa</t>
  </si>
  <si>
    <t>mgCOD/mgVSS</t>
  </si>
  <si>
    <t>CODsol (kg/d)</t>
  </si>
  <si>
    <t>CODsol (kg/m^3/d)</t>
  </si>
  <si>
    <t>CODvfaCombined mass</t>
  </si>
  <si>
    <t>PHA content (kg COD/d)</t>
  </si>
  <si>
    <t>Mass PHA (kg COD/d)</t>
  </si>
  <si>
    <t>Mass PHA (kg/d)</t>
  </si>
  <si>
    <t>Volume(m^3/day)</t>
  </si>
  <si>
    <t>Valeric Acid</t>
  </si>
  <si>
    <t>Primary Sludge Production Parameters</t>
  </si>
  <si>
    <t>User Defined</t>
  </si>
  <si>
    <t>Default</t>
  </si>
  <si>
    <t>Reference</t>
  </si>
  <si>
    <t>Acidogenic Fermentation Parameters</t>
  </si>
  <si>
    <t>Centrifuge 1 Parameters</t>
  </si>
  <si>
    <t>Enrichment Parameters</t>
  </si>
  <si>
    <t>Soluble COD (kg/m3/d)</t>
  </si>
  <si>
    <t>Liquid stream CODsol (kg/m^3/d)</t>
  </si>
  <si>
    <t>Influent  (m^3/d)</t>
  </si>
  <si>
    <t>Influent  (kg/d)</t>
  </si>
  <si>
    <t>Solids Content of Solids Stream</t>
  </si>
  <si>
    <t>https://www.sciencedirect.com/science/article/pii/S0960852416305612#b0110</t>
  </si>
  <si>
    <t>Solid Stream (kg/d)</t>
  </si>
  <si>
    <t>Waste Stream from Centrifuge (kg/d)</t>
  </si>
  <si>
    <t xml:space="preserve"> Anaerobic Digestion</t>
  </si>
  <si>
    <t>COD solubilisation rate Primary  (gCODsol/gCOD initial)</t>
  </si>
  <si>
    <t>Solubilisation (gCODsol/gCODinitial) WAS</t>
  </si>
  <si>
    <t>Solubilisation (gCODsol/gCODinitial) Mixed Sludge</t>
  </si>
  <si>
    <t>https://www.sciencedirect.com/science/article/pii/S0043135408002571?casa_token=EQHAODb5ypgAAAAA:3VX4kcsKW6KaZZYe4-R7bXrR0MsKdYq_J1dBghnzSsi9CHi31yM2eFeAMIVbfn1Zs1qmowLDdQ</t>
  </si>
  <si>
    <t>Solid content of biomass to accumulation (%)</t>
  </si>
  <si>
    <t>No Reference</t>
  </si>
  <si>
    <t>PHA concentration (kg/m^3/d)</t>
  </si>
  <si>
    <t>Thickened Biomass Solids Concentration (%)</t>
  </si>
  <si>
    <t>Dry Biomass (kg/d)</t>
  </si>
  <si>
    <t>https://pubs.acs.org/doi/10.1021/acs.iecr.9b01831</t>
  </si>
  <si>
    <t>XA (kg/d)</t>
  </si>
  <si>
    <t>XA conc in reactor (kg/m^3)</t>
  </si>
  <si>
    <t>PHA conc at the end of feast (kg PHA/m^3)</t>
  </si>
  <si>
    <t>PHA conc at the end of Famine (kg PHA/m^3)</t>
  </si>
  <si>
    <t>Conversion to Cmol</t>
  </si>
  <si>
    <t>Molecular Formula</t>
  </si>
  <si>
    <t>Compound</t>
  </si>
  <si>
    <t>C4H6O2</t>
  </si>
  <si>
    <t>Weight</t>
  </si>
  <si>
    <t>C5H8O2</t>
  </si>
  <si>
    <t>g Carbon:g HB/HV</t>
  </si>
  <si>
    <t>Mol carbon: gHB/HV</t>
  </si>
  <si>
    <t>Fraction of PHA</t>
  </si>
  <si>
    <t>Cmol per g PHA</t>
  </si>
  <si>
    <t>Cmol total per g PHA</t>
  </si>
  <si>
    <t>Growth during famine phase (Cmol Biomass/Cmol PHA)</t>
  </si>
  <si>
    <t>https://www.sciencedirect.com/science/article/pii/S1871678421000844</t>
  </si>
  <si>
    <t>C5H7O2N</t>
  </si>
  <si>
    <t>Growth during famine phase (g Biomass/gPHA)</t>
  </si>
  <si>
    <t>gHB/HV:cmol</t>
  </si>
  <si>
    <t>XA generated during famine (kg/d)</t>
  </si>
  <si>
    <t>PHA utilisation during famine (kg PHA/Kg PHA initial)</t>
  </si>
  <si>
    <t>Decay coefficient (gVSS/gVSS/d)</t>
  </si>
  <si>
    <t>https://papers.ssrn.com/sol3/papers.cfm?abstract_id=3513334</t>
  </si>
  <si>
    <t>Enriched VFA conc (kg/m^3/d)</t>
  </si>
  <si>
    <t>PHA generated during feast (kg COD/d)</t>
  </si>
  <si>
    <t xml:space="preserve">XA generated during feast (kg COD/d) </t>
  </si>
  <si>
    <t>XA generated during feast (kg/d)</t>
  </si>
  <si>
    <t>Total Excess XA at the end of famine (kg/d)</t>
  </si>
  <si>
    <t>XA (Kg XA/d)</t>
  </si>
  <si>
    <t>PHA content (kg/d) (Based on PHA/VSS ratio)</t>
  </si>
  <si>
    <t>VSS (kg/day)</t>
  </si>
  <si>
    <t>Gas Turbine</t>
  </si>
  <si>
    <t>Yes</t>
  </si>
  <si>
    <t>No</t>
  </si>
  <si>
    <t>Please Ener Value</t>
  </si>
  <si>
    <t>Refer to Cell Sludge Production Sections</t>
  </si>
  <si>
    <t>Biogas Production Rate</t>
  </si>
  <si>
    <t>Daily Energy Usage of treament Plant (kWh/day)</t>
  </si>
  <si>
    <t xml:space="preserve">Centrifugation </t>
  </si>
  <si>
    <t>Total Heat Energy required by the system per batch (j)</t>
  </si>
  <si>
    <t>Total Number of Reactors Operational Per Day</t>
  </si>
  <si>
    <t>N (kg/d)</t>
  </si>
  <si>
    <t>P (kg/d)</t>
  </si>
  <si>
    <t>https://www.wrc.org.za/wp-content/uploads/mdocs/WaterSA_1998_04_oct98_p337.pdf</t>
  </si>
  <si>
    <t>Total Phosphorus (kg P/m^3/d)</t>
  </si>
  <si>
    <t>COD to VSS ratio</t>
  </si>
  <si>
    <t>Initial P content (kg/m^3)</t>
  </si>
  <si>
    <t>Initial N content (kg/m^3)</t>
  </si>
  <si>
    <t>N total masss (kg/d)</t>
  </si>
  <si>
    <t>N total conc (kg/m^3/d)</t>
  </si>
  <si>
    <t>P total mass (kg/d)</t>
  </si>
  <si>
    <t>P conc (kg/m^3/d)</t>
  </si>
  <si>
    <t>Liquid Stream N (kg/m^3/d)</t>
  </si>
  <si>
    <t>Liquid Stream P (kg/m^3/d)</t>
  </si>
  <si>
    <t>Ratio of COD/N/P</t>
  </si>
  <si>
    <t>Enrichment Nutrient Requirement</t>
  </si>
  <si>
    <t>Required Ratio weight bases</t>
  </si>
  <si>
    <t>https://pubmed.ncbi.nlm.nih.gov/25846983/</t>
  </si>
  <si>
    <t>Additions required (kg/d)</t>
  </si>
  <si>
    <t>NH4Cl</t>
  </si>
  <si>
    <t>Formula</t>
  </si>
  <si>
    <t>g/Mol</t>
  </si>
  <si>
    <t>g N/g NH4Cl</t>
  </si>
  <si>
    <t>Conversion to grams N/P</t>
  </si>
  <si>
    <t>KH2PO4</t>
  </si>
  <si>
    <t>Initial VFA Loading (gCOvfa/gCODxa)</t>
  </si>
  <si>
    <t>Solids Content of Harvested Biomass</t>
  </si>
  <si>
    <t>Need Reference</t>
  </si>
  <si>
    <t>VSS volume (m^3/d)</t>
  </si>
  <si>
    <t>R= s/k</t>
  </si>
  <si>
    <t>overall U = 1/sum of Rvalues</t>
  </si>
  <si>
    <t>Stainless steel</t>
  </si>
  <si>
    <t>Thickness</t>
  </si>
  <si>
    <t>Thermal condo</t>
  </si>
  <si>
    <t>R</t>
  </si>
  <si>
    <t>Polyurethane foam</t>
  </si>
  <si>
    <t>https://www.nuclear-power.com/nuclear-engineering/heat-transfer/heat-losses/insulation-materials/thermal-conductivity-of-polyurethane-foam/</t>
  </si>
  <si>
    <t>U value</t>
  </si>
  <si>
    <t>Stainless Steel 50mm thick with 10mm of polyurethane foam</t>
  </si>
  <si>
    <t>Total Heat Loss per day (j/d)</t>
  </si>
  <si>
    <t>Mass of Tank Contents (kg)</t>
  </si>
  <si>
    <t>Heating Input</t>
  </si>
  <si>
    <t>Total Heat Loss Per Month (j/m)</t>
  </si>
  <si>
    <t>Enrichment Operational Temperature</t>
  </si>
  <si>
    <t>PHA content</t>
  </si>
  <si>
    <t>PHA-DMC mixture in output (kg/Kg input)</t>
  </si>
  <si>
    <t>Biomass-DMC mixture in output (kg/kg input)</t>
  </si>
  <si>
    <t>Waste Biomass Drying</t>
  </si>
  <si>
    <t>DMC Recovered (kg/kg input)</t>
  </si>
  <si>
    <t>Biomass Waste (kg/kg input)</t>
  </si>
  <si>
    <t>Electricity Demand (kWh/kg)</t>
  </si>
  <si>
    <t>Thermal Energy Demand (kWh/kg)</t>
  </si>
  <si>
    <t>DMC Recovered (kg/kg in)</t>
  </si>
  <si>
    <t>PHA Recovered (kg/kg in )</t>
  </si>
  <si>
    <t>Electricity Demand kWh/kg)</t>
  </si>
  <si>
    <t>Thermal Energy Requirement (Kwh/kg in)</t>
  </si>
  <si>
    <t>Electricity Demand (kWh/kg in)</t>
  </si>
  <si>
    <t>https://www.sciencedirect.com/science/article/abs/pii/S0956053X21003780</t>
  </si>
  <si>
    <t>Heating Requirement to reach reaction temp per tank per day (j)</t>
  </si>
  <si>
    <t>Heating Requirement to reach reaction temp per tank per month</t>
  </si>
  <si>
    <t>Total Heat Requirement per month</t>
  </si>
  <si>
    <t>Total Heat Requirement per month (kWh)</t>
  </si>
  <si>
    <t>Total Heat Requirement per m^3 sludge</t>
  </si>
  <si>
    <t>Heat Requirement per month (j)</t>
  </si>
  <si>
    <t>Heat Requirement per month (kWh)</t>
  </si>
  <si>
    <t>Heat Requirement per Month (kWh)</t>
  </si>
  <si>
    <t>Total</t>
  </si>
  <si>
    <t>Operational days per year</t>
  </si>
  <si>
    <t>Recovered DMC (kg/kg input)</t>
  </si>
  <si>
    <t>DMC new</t>
  </si>
  <si>
    <t>PHA produced per day (kg/d)</t>
  </si>
  <si>
    <t>PHA produced per annum (kg/year)</t>
  </si>
  <si>
    <t>PHA produced (t/year)</t>
  </si>
  <si>
    <t>Additions Required (kg/d Acetate:NH4Cl:KH2PO4)</t>
  </si>
  <si>
    <t>g acetate</t>
  </si>
  <si>
    <t>g O2</t>
  </si>
  <si>
    <t>Ratio of O2 to acetate (g O2/gAce</t>
  </si>
  <si>
    <t>https://www.sciencedirect.com/science/article/pii/S0043135401003177?casa_token=rHoAO_ZpLuIAAAAA:3MEH3LtcmxhqhPXKOhjaJxMJ_F2jXwzHzf6TfxGtFoLSPcpBSnoXfRLvJ1HMA2ZW-wSMRUhVFA#BIB23</t>
  </si>
  <si>
    <t>Feast phase O2 requirement per COD removed (gO2/gCOD removed)</t>
  </si>
  <si>
    <t>Famine Phase O2 requirement (gO2/gPHA removed)</t>
  </si>
  <si>
    <t>m^3/d</t>
  </si>
  <si>
    <t>total</t>
  </si>
  <si>
    <t>Centrifugation 2</t>
  </si>
  <si>
    <t>Centrifuge</t>
  </si>
  <si>
    <t>Electricity Demant (kWh/kg Q in)</t>
  </si>
  <si>
    <t>https://www.sciencedirect.com/science/article/abs/pii/S0956053X21003781</t>
  </si>
  <si>
    <t xml:space="preserve">Condensor </t>
  </si>
  <si>
    <t>Condensor 1</t>
  </si>
  <si>
    <t>Thermal Energy Demand (kWh/kg Q in)</t>
  </si>
  <si>
    <t>Electricity Demand (kWh/kg Q in)</t>
  </si>
  <si>
    <t>https://www.sciencedirect.com/science/article/abs/pii/S0956053X21003782</t>
  </si>
  <si>
    <t xml:space="preserve">Condensor 2 </t>
  </si>
  <si>
    <t>Annual Electrical Requirement (kWh)</t>
  </si>
  <si>
    <t>Daily Thermal Energy Requirement (kWh)</t>
  </si>
  <si>
    <t>Annual Thermal Requirement (kWh)</t>
  </si>
  <si>
    <t xml:space="preserve">Electricity Generation </t>
  </si>
  <si>
    <t>CHP</t>
  </si>
  <si>
    <t xml:space="preserve">Heat Generation </t>
  </si>
  <si>
    <t>electricity</t>
  </si>
  <si>
    <t>heat</t>
  </si>
  <si>
    <t>Gas Boiler</t>
  </si>
  <si>
    <t>Efficicency</t>
  </si>
  <si>
    <t>Renewable/Non renewable</t>
  </si>
  <si>
    <t>Non-Renewable Waste</t>
  </si>
  <si>
    <t>Renewable Waste</t>
  </si>
  <si>
    <t>Renewable</t>
  </si>
  <si>
    <t>Share of Renewables</t>
  </si>
  <si>
    <t>Non-Renewable</t>
  </si>
  <si>
    <t xml:space="preserve">On site renewable energy sources </t>
  </si>
  <si>
    <t xml:space="preserve">Efficiency </t>
  </si>
  <si>
    <t>Wind And Solar</t>
  </si>
  <si>
    <t>Wind Power Estimator</t>
  </si>
  <si>
    <t>Solar Power Estimator</t>
  </si>
  <si>
    <t>Estimate of Wind Power Output</t>
  </si>
  <si>
    <t>Estimate of Solar Power output</t>
  </si>
  <si>
    <t>Power Estimation (MWh/year)</t>
  </si>
  <si>
    <t>Average Wind Speed at location (m/s)</t>
  </si>
  <si>
    <t>Turbine Diameter (m)</t>
  </si>
  <si>
    <t>Number of Panels</t>
  </si>
  <si>
    <t>Area of Panels</t>
  </si>
  <si>
    <t>Efficiency of Panels</t>
  </si>
  <si>
    <t>Performance Ratio</t>
  </si>
  <si>
    <t>Inverter losses (6% to 15 %)</t>
  </si>
  <si>
    <t>Température losses (5% to 15%)</t>
  </si>
  <si>
    <t>DC cables losses (1 to 3 %)</t>
  </si>
  <si>
    <t>AC cables losses (1 to 3 %)</t>
  </si>
  <si>
    <t>Shadings  0 % to 40% (depends of site)</t>
  </si>
  <si>
    <t>Losses weak irradiation 3% yo 7%</t>
  </si>
  <si>
    <t>Losses due to dust, snow... (2%)</t>
  </si>
  <si>
    <t>Other Losses</t>
  </si>
  <si>
    <t>https://photovoltaic-software.com/principle-ressources/how-calculate-solar-energy-power-pv-systems</t>
  </si>
  <si>
    <t xml:space="preserve"> </t>
  </si>
  <si>
    <t>Solar Power Output (kWh/year)</t>
  </si>
  <si>
    <t>* The solar resource of your area can be found at the following link</t>
  </si>
  <si>
    <t>https://globalsolaratlas.info/map?c=52.183346,-7.119141,6&amp;s=52.364301,-6.789551&amp;m=site</t>
  </si>
  <si>
    <t>WWTP Electrcity Usage Usage Per annum (kWh)</t>
  </si>
  <si>
    <t>Wastewater Treatment Plant Energy Consumption</t>
  </si>
  <si>
    <t>digestor volume (m^3)</t>
  </si>
  <si>
    <t>Digestor Aspect Ratio (D:H)</t>
  </si>
  <si>
    <t>Height (m)</t>
  </si>
  <si>
    <t>Anaerobic Digestion</t>
  </si>
  <si>
    <t>Anaerobic Digestion Heating Requirement per annum  (kWh)</t>
  </si>
  <si>
    <t>Proportion of heating requirement required for AD</t>
  </si>
  <si>
    <t>Heating Requirement Total (kWh)</t>
  </si>
  <si>
    <t>WWTP Energy Requirements</t>
  </si>
  <si>
    <t xml:space="preserve">Electricity </t>
  </si>
  <si>
    <t>Biogas Resource (m^3/d)</t>
  </si>
  <si>
    <t>Heat Generation from biogas (MJ/d)</t>
  </si>
  <si>
    <t>Biogas Methane Content (%)</t>
  </si>
  <si>
    <t>Boiler efficiency (%)</t>
  </si>
  <si>
    <t>Heat Generation from biogas (kWh/d)</t>
  </si>
  <si>
    <t>Heat generation from biogas per year (kWh)</t>
  </si>
  <si>
    <t>PHA Prodcution</t>
  </si>
  <si>
    <t>Resource Requirements</t>
  </si>
  <si>
    <t>Electricity (kWh/year)</t>
  </si>
  <si>
    <t>Heating (kWh/year)</t>
  </si>
  <si>
    <t>Water Water (m^3/year)</t>
  </si>
  <si>
    <t>Electricity Generation from natural gas (kWh)</t>
  </si>
  <si>
    <t>Total Energy Requrements</t>
  </si>
  <si>
    <t>Electricity From Fossil fuel Sources</t>
  </si>
  <si>
    <t>Electricity From Biogas (kWh/year)</t>
  </si>
  <si>
    <t>Electricity Coming From the Grid</t>
  </si>
  <si>
    <t>From Fossil Fuel Sources (kWh/year)</t>
  </si>
  <si>
    <t>Proporton of Sludge</t>
  </si>
  <si>
    <t>process 1</t>
  </si>
  <si>
    <t xml:space="preserve">PHA </t>
  </si>
  <si>
    <t xml:space="preserve">Biogas </t>
  </si>
  <si>
    <t>Primary</t>
  </si>
  <si>
    <t>WAS</t>
  </si>
  <si>
    <t>Combined</t>
  </si>
  <si>
    <t>COD of Mixed Sludge Sent to Digestor (kg/d)</t>
  </si>
  <si>
    <t>COD of WAS sent to digestor (kg/d)</t>
  </si>
  <si>
    <t>COD of Primary Sludge (kg/d)</t>
  </si>
  <si>
    <t>Ratio of VFA/CODsol (Primary)</t>
  </si>
  <si>
    <t>Ratio of VFA/CODsol (WAS)</t>
  </si>
  <si>
    <t>Ratio of VFA/CODsol (Combined)</t>
  </si>
  <si>
    <t xml:space="preserve">PHA Producton </t>
  </si>
  <si>
    <t>VSSm of Combined Sludge (kg/d)</t>
  </si>
  <si>
    <t>Solar Resource* (W/m^2/year)</t>
  </si>
  <si>
    <t>PHA yield (gCODPHA/gCODsol)</t>
  </si>
  <si>
    <t>Biomass Yield (gCOD VSS/gCODsol removed</t>
  </si>
  <si>
    <t xml:space="preserve">CODsol removal efficiency </t>
  </si>
  <si>
    <t>Additional acetate (kg/d)</t>
  </si>
  <si>
    <t>Additional N (kg/d)</t>
  </si>
  <si>
    <t>Additional P (kg/d)</t>
  </si>
  <si>
    <t>Current Concentrations (kg/d)</t>
  </si>
  <si>
    <t>New Concentrations (kg/d)</t>
  </si>
  <si>
    <t>Acetate (kg/d)</t>
  </si>
  <si>
    <t>Peak COD conc (kgCODsol/m^3)</t>
  </si>
  <si>
    <t>Share of Renewable Electricity</t>
  </si>
  <si>
    <t>Electrcity from on site Renewables</t>
  </si>
  <si>
    <t>Electrcty from Grid</t>
  </si>
  <si>
    <t>PHA Electricty Usage kWh/year</t>
  </si>
  <si>
    <t>Heating Requirement for PHA Production</t>
  </si>
  <si>
    <t>Total Heating Requirement (kWh/year)</t>
  </si>
  <si>
    <t>Share of Renewable Heat Generation</t>
  </si>
  <si>
    <t>Materials</t>
  </si>
  <si>
    <t>Processes</t>
  </si>
  <si>
    <t>GWP (kg CO2 eq)</t>
  </si>
  <si>
    <t>Electricity for pumping sludge</t>
  </si>
  <si>
    <t>https://v391.ecoquery.ecoinvent.org/Details/LCIA/4e12ceca-50d2-4eb3-bfff-be2ce671b0eb/290c1f85-4cc4-4fa1-b0c8-2cb7f4276dce</t>
  </si>
  <si>
    <t>https://v391.ecoquery.ecoinvent.org/Details/LCIA/18b90db8-6229-4f54-abc9-62417f3b0746/290c1f85-4cc4-4fa1-b0c8-2cb7f4276dce</t>
  </si>
  <si>
    <t>Market For High Voltage Electricity</t>
  </si>
  <si>
    <t>biomethane, low pressure burned in micro gas turbine 100kWe</t>
  </si>
  <si>
    <t>https://v391.ecoquery.ecoinvent.org/Details/LCIA/028ab238-8ff0-410d-ba06-f2f994635292/290c1f85-4cc4-4fa1-b0c8-2cb7f4276dce</t>
  </si>
  <si>
    <t>https://v391.ecoquery.ecoinvent.org/Details/LCIA/737554fd-39a8-40d2-8192-12740dc28384/290c1f85-4cc4-4fa1-b0c8-2cb7f4276dce</t>
  </si>
  <si>
    <t xml:space="preserve">heat and power co-generation, biogas, gas engine (per m^3 biogas treated and burned) </t>
  </si>
  <si>
    <t>heat and power co-generation, natural gas, 200kW electrical, lean burn</t>
  </si>
  <si>
    <t>heat production, natural gas, at boiler condensing modulating &gt;100kW</t>
  </si>
  <si>
    <t>https://v391.ecoquery.ecoinvent.org/Details/LCIA/da6274b4-ac73-4226-8c42-130f4e925bce/290c1f85-4cc4-4fa1-b0c8-2cb7f4276dce</t>
  </si>
  <si>
    <t>https://v391.ecoquery.ecoinvent.org/Details/LCIA/49da05b1-e265-4194-bfa7-ba2c702dfc61/290c1f85-4cc4-4fa1-b0c8-2cb7f4276dce</t>
  </si>
  <si>
    <t>market for polyurethane, flexible foam, RER (excluding production) per kg</t>
  </si>
  <si>
    <t>https://v391.ecoquery.ecoinvent.org/Details/LCIA/df344dae-2a3c-450a-8cc6-631e93837c23/290c1f85-4cc4-4fa1-b0c8-2cb7f4276dce</t>
  </si>
  <si>
    <t>https://v391.ecoquery.ecoinvent.org/Details/LCIA/e7078ed5-c202-4852-b3ab-4a05729ed0c4/290c1f85-4cc4-4fa1-b0c8-2cb7f4276dce</t>
  </si>
  <si>
    <t>acetic acid production, product in 98% solution state, RER, 1kg</t>
  </si>
  <si>
    <t>polyurethane production, flexible foam, TDI-based, low density 1kg</t>
  </si>
  <si>
    <t xml:space="preserve">
ammonium chloride production, GLO per kg</t>
  </si>
  <si>
    <t>https://v391.ecoquery.ecoinvent.org/Details/LCIA/f255a9b5-6f56-450d-9fea-094604265f01/290c1f85-4cc4-4fa1-b0c8-2cb7f4276dce</t>
  </si>
  <si>
    <t>% of water from circular sources</t>
  </si>
  <si>
    <t xml:space="preserve">Share energy recovered from residual non-renewable, non-recoverable resource outflows </t>
  </si>
  <si>
    <t>Alternative Value</t>
  </si>
  <si>
    <t>Addition Required (m^3)</t>
  </si>
  <si>
    <t>Additionas Required (m^3)</t>
  </si>
  <si>
    <t>Nitrogen (m^3/d)</t>
  </si>
  <si>
    <t>Phosphorus (m^3/d)</t>
  </si>
  <si>
    <t>Additional acetate (m^3/d)</t>
  </si>
  <si>
    <t>Additional N (m^3/d)</t>
  </si>
  <si>
    <t>Additional P (m^3/d)</t>
  </si>
  <si>
    <t>CODsol New Solution (kg/m^3/d)</t>
  </si>
  <si>
    <t>Vol of COD stream required for initial loading</t>
  </si>
  <si>
    <t>Sludge Going to Digestion (kg/d)</t>
  </si>
  <si>
    <t>PET Offset</t>
  </si>
  <si>
    <t>PET Ofset</t>
  </si>
  <si>
    <t>https://www.mdpi.com/2071-1050/11/14/3836</t>
  </si>
  <si>
    <t>Acetate (t/year)</t>
  </si>
  <si>
    <t>NH4Cl (t/year)</t>
  </si>
  <si>
    <t>KH2PO4 (t/year)</t>
  </si>
  <si>
    <t>DMC  (t/year)</t>
  </si>
  <si>
    <t>Initial Loading (kgCODsol)</t>
  </si>
  <si>
    <t>Extraction Vessel</t>
  </si>
  <si>
    <t>Fermentation reactor</t>
  </si>
  <si>
    <t>Centrifuge 1</t>
  </si>
  <si>
    <t>selection Reactor</t>
  </si>
  <si>
    <t>Accumulation Reactor</t>
  </si>
  <si>
    <t>Centrifuge 2</t>
  </si>
  <si>
    <t>Dryer</t>
  </si>
  <si>
    <t>Extraction reactor</t>
  </si>
  <si>
    <t>Heated Anaerobic Batch</t>
  </si>
  <si>
    <t>Continuous</t>
  </si>
  <si>
    <t>Sequencing Batch</t>
  </si>
  <si>
    <t>Falling curtain</t>
  </si>
  <si>
    <t>Heated Batch</t>
  </si>
  <si>
    <t xml:space="preserve">Rotary </t>
  </si>
  <si>
    <t>Type</t>
  </si>
  <si>
    <t>Reference Capacity</t>
  </si>
  <si>
    <t xml:space="preserve">Cost </t>
  </si>
  <si>
    <t>Scale Factor</t>
  </si>
  <si>
    <t>Required Capacity</t>
  </si>
  <si>
    <t>Units</t>
  </si>
  <si>
    <t>m^3</t>
  </si>
  <si>
    <t>m^3/h</t>
  </si>
  <si>
    <t>kg vapour/h</t>
  </si>
  <si>
    <t>Centrifuge 3</t>
  </si>
  <si>
    <t>Evaporator 1 (DMC-PHA)</t>
  </si>
  <si>
    <t>Evaporator 2 (DMC-Biomass)</t>
  </si>
  <si>
    <t>Cost of Scale Equipment</t>
  </si>
  <si>
    <t>Number of Reactors</t>
  </si>
  <si>
    <t>Total Cost</t>
  </si>
  <si>
    <t>Total Capex</t>
  </si>
  <si>
    <t>Piping</t>
  </si>
  <si>
    <t>Instrumentation/Electrical</t>
  </si>
  <si>
    <t>Engineering Cost</t>
  </si>
  <si>
    <t>Civil Works</t>
  </si>
  <si>
    <t>Start Up</t>
  </si>
  <si>
    <t>Insurance</t>
  </si>
  <si>
    <t>% CAPEX</t>
  </si>
  <si>
    <t>% investment</t>
  </si>
  <si>
    <t>Total Investment</t>
  </si>
  <si>
    <t>€/kg</t>
  </si>
  <si>
    <t>DMC</t>
  </si>
  <si>
    <t>Unit</t>
  </si>
  <si>
    <t>Vat</t>
  </si>
  <si>
    <t>Price ex VAT cent/kWh</t>
  </si>
  <si>
    <t>Process Water Annual Charge</t>
  </si>
  <si>
    <t xml:space="preserve">Process Water Charge </t>
  </si>
  <si>
    <t>€</t>
  </si>
  <si>
    <t>€/m^3</t>
  </si>
  <si>
    <t>€/tonne</t>
  </si>
  <si>
    <t>https://www.alibaba.com/product-detail/Ammonium-Chloride-Ammonium-Chloride-99-5_60763023912.html?s=p</t>
  </si>
  <si>
    <t>https://www.alibaba.com/product-detail/Industrial-Potassium-Phosphate-Monobasic-MKP-Chemical_1600535164810.html?spm=a2700.galleryofferlist.normal_offer.d_title.11bd3c21Y4JeeE</t>
  </si>
  <si>
    <t>https://www.alibaba.com/product-detail/Price-Dimethyl-Carbonate-Chinese-Brand-Dimethyl_1600465599403.html?spm=a2700.galleryofferlist.normal_offer.d_title.7e9318a5a3eRrH&amp;s=p</t>
  </si>
  <si>
    <t>https://www.alibaba.com/product-detail/Acetic-acid-GAA-CAS-64-19_1600832756986.html?spm=a2700.galleryofferlist.normal_offer.d_title.373a56bam5K8EX&amp;s=p</t>
  </si>
  <si>
    <t>https://www.water.ie/business/billing/charges/</t>
  </si>
  <si>
    <t>https://www.seai.ie/data-and-insights/seai-statistics/key-statistics/prices/</t>
  </si>
  <si>
    <t>Link</t>
  </si>
  <si>
    <t>Sludge Volume (m^3)</t>
  </si>
  <si>
    <t>DMC Extraction</t>
  </si>
  <si>
    <t>Centrifuge1</t>
  </si>
  <si>
    <t>Evaporator (PHA recovery)</t>
  </si>
  <si>
    <t>Evaporator Biomass Waste (DMC Recovery)</t>
  </si>
  <si>
    <t>Acidogenic Fermentation Reactor</t>
  </si>
  <si>
    <t>TSSm Primary Sludge</t>
  </si>
  <si>
    <t>TSSm in WAS</t>
  </si>
  <si>
    <t>TSSm to PHA (kg/d)</t>
  </si>
  <si>
    <t>Default population</t>
  </si>
  <si>
    <t>TSSc in digestor supernatant (kg/L)</t>
  </si>
  <si>
    <t>BODc in digestor supernatant (kg/L)</t>
  </si>
  <si>
    <t>TSSsp (kg/d)</t>
  </si>
  <si>
    <t>Digested Solids (kg/d)</t>
  </si>
  <si>
    <t>Supernatant flowrate (m^3/d)</t>
  </si>
  <si>
    <t>Dgested Sludge Flow Rate</t>
  </si>
  <si>
    <t>BODm of Supernatant (kg/d)</t>
  </si>
  <si>
    <t>Sludge Dewaterng</t>
  </si>
  <si>
    <t>Sludge Dewatering</t>
  </si>
  <si>
    <t>Sludge Cake Solds Content</t>
  </si>
  <si>
    <t>Specific Gravity of Sludge</t>
  </si>
  <si>
    <t>Solids Capture</t>
  </si>
  <si>
    <t>Centrate BODc (kg/L)</t>
  </si>
  <si>
    <t>Sludge Cake Solids (kg/d)</t>
  </si>
  <si>
    <t>Sludge Volume (m^3/d)</t>
  </si>
  <si>
    <t>Centrate Flowrate (m^3/d)</t>
  </si>
  <si>
    <t>Centrate BODm (kg/d)</t>
  </si>
  <si>
    <t>Centrate TSSm (kg/d)</t>
  </si>
  <si>
    <t>Second Iteration</t>
  </si>
  <si>
    <t>Return Flow Total TSSm</t>
  </si>
  <si>
    <t>Return Flow BODm</t>
  </si>
  <si>
    <t>Return Flow Fowrate</t>
  </si>
  <si>
    <t>Volatile Fracton of Return TSSm</t>
  </si>
  <si>
    <t>sCOD (g/L)</t>
  </si>
  <si>
    <t>Sludge Paramaters for PHA Production</t>
  </si>
  <si>
    <t>Sludge Mass Balance</t>
  </si>
  <si>
    <t>WAS VSSm</t>
  </si>
  <si>
    <t>Primary Sludge TSSm (kg/d)</t>
  </si>
  <si>
    <t>Primary Sludge VSSm (kg/d)</t>
  </si>
  <si>
    <t>Primary Sludge Concentration (% Solds)</t>
  </si>
  <si>
    <t>Primary Sludge Mass (kg/d)</t>
  </si>
  <si>
    <t>Priamry Sludge Volume (m^3/d)</t>
  </si>
  <si>
    <t>WAS TSSm (kg/d)</t>
  </si>
  <si>
    <t>WAS Concnetration (% Solds)</t>
  </si>
  <si>
    <t>WAS Mass (kg/d)</t>
  </si>
  <si>
    <t>WAS Volume (m^3/d)</t>
  </si>
  <si>
    <t>Combined Sludge TSSm (kg/d)</t>
  </si>
  <si>
    <t>Combined Sludge VSSm (kg/d)</t>
  </si>
  <si>
    <t>Combined Sludge Concentration (% Solds)</t>
  </si>
  <si>
    <t>Combined Sludge Mass (kg/d)</t>
  </si>
  <si>
    <t>Combined Sludge Volume (m^3/d)</t>
  </si>
  <si>
    <t>TSSm To PHA (kg/d)</t>
  </si>
  <si>
    <t>VSSm To PHA (kg/d)</t>
  </si>
  <si>
    <t>Total Sludge Mass to PHA (kg/d)</t>
  </si>
  <si>
    <t>Sludge mass (kg/d)</t>
  </si>
  <si>
    <t>Total VSS generated at the end of famine (kg/d)</t>
  </si>
  <si>
    <t>VSS kg/d)</t>
  </si>
  <si>
    <t>VSS (kg/d)</t>
  </si>
  <si>
    <t xml:space="preserve">Thickened Solids (kg/d) </t>
  </si>
  <si>
    <t>thickened Solids (kg/d)</t>
  </si>
  <si>
    <t>VSS</t>
  </si>
  <si>
    <t>VSS/TSS</t>
  </si>
  <si>
    <t>PHA/VSS</t>
  </si>
  <si>
    <t>Wastewater CODsol kg/d)</t>
  </si>
  <si>
    <t>Ratio of DMC:Solids (kg/kg)</t>
  </si>
  <si>
    <t>Total COD per tank per cycle (kg)</t>
  </si>
  <si>
    <t>Volume to reach COD of 4 g/L per tank per cycle (m^3)</t>
  </si>
  <si>
    <t>Initial Volume in reactor per tank per cycle (m^3)</t>
  </si>
  <si>
    <t>Incoming Stream per tank per cycle (m^3)</t>
  </si>
  <si>
    <t>Dlution Stream per tank per cycle (m^3)</t>
  </si>
  <si>
    <t>Dilution stream per cycle (m^3)</t>
  </si>
  <si>
    <t>Dilution stream per day (m^3)</t>
  </si>
  <si>
    <t>Residual COD per tank per cycle (kg)</t>
  </si>
  <si>
    <t>Residual PHA</t>
  </si>
  <si>
    <t>hot water inlet</t>
  </si>
  <si>
    <t>hot water outlet</t>
  </si>
  <si>
    <t>sludge inlet</t>
  </si>
  <si>
    <t>sludge outlet</t>
  </si>
  <si>
    <t>Dleta Tm</t>
  </si>
  <si>
    <t>U value of 5 mm steel pipe</t>
  </si>
  <si>
    <t xml:space="preserve">Area </t>
  </si>
  <si>
    <t>Total heat requirement per tank per day (MJ/h)</t>
  </si>
  <si>
    <t>Watt</t>
  </si>
  <si>
    <t>W/m2K</t>
  </si>
  <si>
    <t>J/m2.s K</t>
  </si>
  <si>
    <t>U</t>
  </si>
  <si>
    <t>Area Required m^2 per tank</t>
  </si>
  <si>
    <t>mass flworate m^3/day</t>
  </si>
  <si>
    <t>pump time</t>
  </si>
  <si>
    <t>flow rate (kg/h</t>
  </si>
  <si>
    <t>mass flowrate (kg/s)</t>
  </si>
  <si>
    <t>Heat capacity W/K</t>
  </si>
  <si>
    <t>Q (w)</t>
  </si>
  <si>
    <t>pipe mass flow rate (kg/s)</t>
  </si>
  <si>
    <t>Total Sludge Volume to PHA (m^3/d)</t>
  </si>
  <si>
    <t>sludge mass</t>
  </si>
  <si>
    <t>Flow time (s)</t>
  </si>
  <si>
    <t>Capacity (m^3/h)</t>
  </si>
  <si>
    <t>kg/h vapour</t>
  </si>
  <si>
    <t>Number of Items</t>
  </si>
  <si>
    <t>https://www.alibaba.com/product-detail/Cstr-Reactor-Biogas-Anaerobic-Digester-Fermenter_1600263010759.html?spm=a2700.galleryofferlist.normal_offer.d_title.22301a8dSdMKRv</t>
  </si>
  <si>
    <t>Cost per item (€)</t>
  </si>
  <si>
    <t>https://www.zkcentrifuge.com/application/sludge-treatment.html?gclid=CjwKCAjwp6CkBhB_EiwAlQVyxR9rMwfgbIp7_E3FqjmzNrq-hBCCiAwswfM57syooSGUAvnWuzPWPBoCI4cQAvD_BwE</t>
  </si>
  <si>
    <t>Model</t>
  </si>
  <si>
    <t>LW 650X2600E</t>
  </si>
  <si>
    <t>Dimensions</t>
  </si>
  <si>
    <t>LW520 x 2150E</t>
  </si>
  <si>
    <t>15-70</t>
  </si>
  <si>
    <t>25-80</t>
  </si>
  <si>
    <t>SDR 5000</t>
  </si>
  <si>
    <t>Evaporator capacity for enthanol (l/h)</t>
  </si>
  <si>
    <t>Ethanol Evopration Ratio</t>
  </si>
  <si>
    <t>DMC evaopration rate</t>
  </si>
  <si>
    <t>for every hour it takes to evaporate ethanol it takes 1.15 hours for the same volume of DMC</t>
  </si>
  <si>
    <t>Capacity (kg DMC evap/hour)</t>
  </si>
  <si>
    <t>Number required</t>
  </si>
  <si>
    <t>Capacity</t>
  </si>
  <si>
    <t xml:space="preserve">Weight </t>
  </si>
  <si>
    <t>7300x2700x4300</t>
  </si>
  <si>
    <t>link</t>
  </si>
  <si>
    <t>https://www.alibaba.com/product-detail/Industrial-Evaporator-Vacuum-with-solvent-recycling_1600868433542.html?spm=a2700.galleryofferlist.normal_offer.d_title.111f2d616X3JzO</t>
  </si>
  <si>
    <t>Evaporator 1 (kg vapour/hour)</t>
  </si>
  <si>
    <t>Evaporator 2 (kg vapour/hour)</t>
  </si>
  <si>
    <t>SDR 1000</t>
  </si>
  <si>
    <t>5000x2700x4000</t>
  </si>
  <si>
    <t>Pumps</t>
  </si>
  <si>
    <t>Required capacity (m^3/h)</t>
  </si>
  <si>
    <t>Required capacity (L/min)</t>
  </si>
  <si>
    <t>Pump</t>
  </si>
  <si>
    <t>https://pumpexpress.co.uk/shop/f-range-din-standard-flanged-high-flow-pumps-50-125/</t>
  </si>
  <si>
    <t>Pedrollo F Range DIN Standard Flanged High Flow Pumps – F50 Range</t>
  </si>
  <si>
    <t>Pump Capacity (l/min)</t>
  </si>
  <si>
    <t>VS(kg/m^3/d)</t>
  </si>
  <si>
    <t>H2 gas production (Nm3/kgTVS</t>
  </si>
  <si>
    <t xml:space="preserve">Volumettric Comp of Gas (hydrogen </t>
  </si>
  <si>
    <t>Volumteric CO2 content</t>
  </si>
  <si>
    <t>Density of Hydrogen Gas (kg/m3)</t>
  </si>
  <si>
    <t>Density of CO2 (kg/m3)</t>
  </si>
  <si>
    <t>H2 Gas (kg/d)</t>
  </si>
  <si>
    <t>Gas total (m^3/d)</t>
  </si>
  <si>
    <t>CO2 Gas (kg/d)</t>
  </si>
  <si>
    <t>CO2 Gas (m^3/d)</t>
  </si>
  <si>
    <t>https://www.sciencedirect.com/science/article/pii/S0016236121005305#b0220</t>
  </si>
  <si>
    <t>https://www.sciencedirect.com/science/article/pii/S0360319920314312#fig1</t>
  </si>
  <si>
    <t>CODsol consumed</t>
  </si>
  <si>
    <t>active Biomass Yield (gCODxa/gCODsol consumed)</t>
  </si>
  <si>
    <t>PHA yield (kgCODpha/kgCODsol) consumed</t>
  </si>
  <si>
    <t>Total Excess sludge</t>
  </si>
  <si>
    <t>TSS Removal Efficiency</t>
  </si>
  <si>
    <t>https://www.sciencedirect.com/science/article/pii/S2215153222001052#!</t>
  </si>
  <si>
    <t>TSS in effluent (kg/m^3/d)</t>
  </si>
  <si>
    <t>Vol of Tank (m^3/d)</t>
  </si>
  <si>
    <t>COD sol Wastewater kg/m^3/d)</t>
  </si>
  <si>
    <t>COD Effluent (kg/m^3/d)</t>
  </si>
  <si>
    <t>COD efffluent (mg/L)</t>
  </si>
  <si>
    <t xml:space="preserve">TSS conc in reactor (kg/m^3) </t>
  </si>
  <si>
    <t>VSS conc in reactor</t>
  </si>
  <si>
    <t>VSS in Effluent (kg/m^3/d)</t>
  </si>
  <si>
    <t>XA in effluent (kg/m^3/d)</t>
  </si>
  <si>
    <t>PHA in effleunt (kg/m^3/d)</t>
  </si>
  <si>
    <t>COD of VSS (kg/m^3/d)</t>
  </si>
  <si>
    <t>VSS generated (kg COD/d)</t>
  </si>
  <si>
    <t>PHA at end of famine (kg (COD/d)</t>
  </si>
  <si>
    <t>Total VSS to be Harvested (kg/d)</t>
  </si>
  <si>
    <t>Total TSS at end of Cycle</t>
  </si>
  <si>
    <t>TSS to be harvestes Harvested (kg/d)</t>
  </si>
  <si>
    <t>TSS Required</t>
  </si>
  <si>
    <t>TSS Harvested</t>
  </si>
  <si>
    <t>Ratio of VSS/TSS</t>
  </si>
  <si>
    <t>VSS Harvested</t>
  </si>
  <si>
    <t>N Removal (Nfinal/Ninitial)</t>
  </si>
  <si>
    <t>P Removal</t>
  </si>
  <si>
    <t>N effluent conc (kg/m^3/d)</t>
  </si>
  <si>
    <t>P (kg/m^3/d)</t>
  </si>
  <si>
    <t>Wastewater TSS (kg/m^3/d)</t>
  </si>
  <si>
    <t>PHA at end of famine kg/d</t>
  </si>
  <si>
    <t>PHA (kg /d)</t>
  </si>
  <si>
    <t>Tickness of material</t>
  </si>
  <si>
    <t>Outer diamter of tank</t>
  </si>
  <si>
    <t>Height of outer tank</t>
  </si>
  <si>
    <t>Volume of outer tank</t>
  </si>
  <si>
    <t>Volume of material used m^3</t>
  </si>
  <si>
    <t>Density of material (kg/m^3)</t>
  </si>
  <si>
    <t>Stainless steel pipes (per kg)</t>
  </si>
  <si>
    <t>https://v391.ecoquery.ecoinvent.org/Details/LCIA/68fe2f3f-56ab-40e6-b650-259e7eb88553/290c1f85-4cc4-4fa1-b0c8-2cb7f4276dce</t>
  </si>
  <si>
    <t>https://v391.ecoquery.ecoinvent.org/Details/LCIA/b2968e8f-78f3-4a75-888d-94cc423f01d3/290c1f85-4cc4-4fa1-b0c8-2cb7f4276dce</t>
  </si>
  <si>
    <t>steel production, electric, chromium steel 18/8, RER</t>
  </si>
  <si>
    <t>metal working, average for steel product manufacturing, RER</t>
  </si>
  <si>
    <t>https://v391.ecoquery.ecoinvent.org/Details/LCIA/36b61af7-e48d-4ae6-8d80-991547841fc2/290c1f85-4cc4-4fa1-b0c8-2cb7f4276dce</t>
  </si>
  <si>
    <t>GWP</t>
  </si>
  <si>
    <t>Water usage</t>
  </si>
  <si>
    <t>Resource depletion</t>
  </si>
  <si>
    <t>Fossil Fuel GWP (kg/CO2 eq</t>
  </si>
  <si>
    <t>Water Depletion</t>
  </si>
  <si>
    <t>Resource Depletion</t>
  </si>
  <si>
    <t>Weight (kg)</t>
  </si>
  <si>
    <t>Wastewater VSS (kg/m^3/d)</t>
  </si>
  <si>
    <t xml:space="preserve">% of water discharged in accordance with Quality requrements </t>
  </si>
  <si>
    <t>Enrichment tank effluent pump</t>
  </si>
  <si>
    <t>Fill Time/Empty Time (hours)</t>
  </si>
  <si>
    <t>No Reference based on plant design</t>
  </si>
  <si>
    <t>Pedrollo HF Centrifugal Pump – High Flow</t>
  </si>
  <si>
    <t>https://pumpexpress.co.uk/shop/hf-centrifugal-pump-high-flow/</t>
  </si>
  <si>
    <t>Current Ratio</t>
  </si>
  <si>
    <t>https://pubs.acs.org/doi/pdf/10.1021/acs.iecr.9b01831?src=getftr</t>
  </si>
  <si>
    <t>Q per cycle</t>
  </si>
  <si>
    <t>XA harvested per cycle</t>
  </si>
  <si>
    <t>Initial loadign per cycle (kgCOD)</t>
  </si>
  <si>
    <t>Volume of initial load (m^3)</t>
  </si>
  <si>
    <t>AF reactor pump oulet to centrifuge</t>
  </si>
  <si>
    <t>Storage tank pump from centrifuge</t>
  </si>
  <si>
    <t>Enrichment tank pump inlet</t>
  </si>
  <si>
    <t>Enrichment tank sludge pump to acc</t>
  </si>
  <si>
    <t>ACC pump inlet</t>
  </si>
  <si>
    <t>ACC pump outlet to centrifuge</t>
  </si>
  <si>
    <t>Required Capacity (kg Vapor/h</t>
  </si>
  <si>
    <t>SHS16200FL</t>
  </si>
  <si>
    <t>Capacity (kg Vapour/h)</t>
  </si>
  <si>
    <t>https://shincci-global.com/products/sludge%20dryer/heat-pump</t>
  </si>
  <si>
    <t>Pipes</t>
  </si>
  <si>
    <t>centrifuge to Storage</t>
  </si>
  <si>
    <t>ACC to cent</t>
  </si>
  <si>
    <t>EN to ACC</t>
  </si>
  <si>
    <t>CEN to dryer</t>
  </si>
  <si>
    <t>EXT to CEN</t>
  </si>
  <si>
    <t>CEN to EVP 1 &amp; EVP 2</t>
  </si>
  <si>
    <t>CEN to EVP 3</t>
  </si>
  <si>
    <t>EVP to EXT Return Line</t>
  </si>
  <si>
    <t>Total Piping lenth (m)</t>
  </si>
  <si>
    <t>Feed Vessel</t>
  </si>
  <si>
    <t>Delta H</t>
  </si>
  <si>
    <t>Mass Flow Rate (kg/s)</t>
  </si>
  <si>
    <t>Pumping Energy Per hour (J)</t>
  </si>
  <si>
    <t>Joules per day</t>
  </si>
  <si>
    <t>KWh per day</t>
  </si>
  <si>
    <t xml:space="preserve">Storage to ENR </t>
  </si>
  <si>
    <t>Storage to ACC</t>
  </si>
  <si>
    <t>Pump operational hours per day</t>
  </si>
  <si>
    <t>Velocity (m/s)</t>
  </si>
  <si>
    <t>Length</t>
  </si>
  <si>
    <t>Friction Factor</t>
  </si>
  <si>
    <t>Diamter (m)</t>
  </si>
  <si>
    <t>AF 1 to centrifuge (m)</t>
  </si>
  <si>
    <t>AF 2 to centrifuge</t>
  </si>
  <si>
    <t>AF 3 to Centrifuge</t>
  </si>
  <si>
    <t>AF 4 To centrifuge</t>
  </si>
  <si>
    <t>AF 5 To centrifuge</t>
  </si>
  <si>
    <t xml:space="preserve">Width </t>
  </si>
  <si>
    <t>Height</t>
  </si>
  <si>
    <t>Pumping Height</t>
  </si>
  <si>
    <t>Cen to Dryer</t>
  </si>
  <si>
    <t>CEN to EVAP 1 and 2</t>
  </si>
  <si>
    <t>CEN to Evap 3</t>
  </si>
  <si>
    <t>Pedrollo CP Centrifugal Pumps – Medium Flow</t>
  </si>
  <si>
    <t>Pedrollo CP Centrifugal Pumps - Medium Flow - Pump Express</t>
  </si>
  <si>
    <t>LW350 x 1435E</t>
  </si>
  <si>
    <t>4-15 m3/h</t>
  </si>
  <si>
    <t>Solubilisation of N  Primary Sludge(N/VSS initial)</t>
  </si>
  <si>
    <t>Solubilisation of N  WAS (N/VSS initial)</t>
  </si>
  <si>
    <t>Solubilisation of N  Combined Sludge(N/VSS initial)</t>
  </si>
  <si>
    <t>Solubiliation of P Primary Sludge(p/VSS initial)</t>
  </si>
  <si>
    <t>Solubiliation of P WAS (p/VSS initial)</t>
  </si>
  <si>
    <t>Solubiliation of P Mixed Sludge (p/VSS initial)</t>
  </si>
  <si>
    <t>Weight (kg/m)</t>
  </si>
  <si>
    <t>Total Weight (kg)</t>
  </si>
  <si>
    <t>https://www.bedu.eu/products/Centrifugal+Pumps/CSK+pump+series</t>
  </si>
  <si>
    <t>Ratio of Fill time to Cycle Length</t>
  </si>
  <si>
    <t>CSK pump series</t>
  </si>
  <si>
    <t>Electricity kWh/t PHA</t>
  </si>
  <si>
    <t>Electricity (MWh/year)</t>
  </si>
  <si>
    <t>Heating kWh/t PHA</t>
  </si>
  <si>
    <t>Price per kgPHA</t>
  </si>
  <si>
    <t>Daily Requirement Per Batch (kWh)</t>
  </si>
  <si>
    <t>Evaporator 1</t>
  </si>
  <si>
    <t>Evaporator (PHA-DMC recovery)</t>
  </si>
  <si>
    <t>Condensor Electricity Requirement (kWh/kg)</t>
  </si>
  <si>
    <t>Infrastructure</t>
  </si>
  <si>
    <t>Total Energy Requirement kWh per tonne PHA</t>
  </si>
  <si>
    <t>natural gas, burned in micro gas turbine, 100kWe</t>
  </si>
  <si>
    <t>https://v391.ecoquery.ecoinvent.org/Details/LCIA/61749828-e815-4f48-b04b-df154bf4fd59/290c1f85-4cc4-4fa1-b0c8-2cb7f4276dce</t>
  </si>
  <si>
    <t>Total Impact</t>
  </si>
  <si>
    <t>Total Vessel Impact</t>
  </si>
  <si>
    <t>total Impact</t>
  </si>
  <si>
    <t>PET Offset (t/year)</t>
  </si>
  <si>
    <t>LHV of Natural Gas Mj/m3</t>
  </si>
  <si>
    <t>biogas offset of natural gas (m3 nautral gas/m3 biogas)</t>
  </si>
  <si>
    <t>Incomng stream per cycle (m^3)</t>
  </si>
  <si>
    <t>Incoming COD per cycle (kg/d)</t>
  </si>
  <si>
    <t>Total Energy Requirements for PHA Production (kWh)</t>
  </si>
  <si>
    <t>GWP Total per year</t>
  </si>
  <si>
    <t>Evaporator 2 (DMC PHA Mixture)</t>
  </si>
  <si>
    <t>Potable Water</t>
  </si>
  <si>
    <t>Water Usage Per Year</t>
  </si>
  <si>
    <t>Methane (m^3)/d</t>
  </si>
  <si>
    <t>Methane (kg/d)</t>
  </si>
  <si>
    <t>Digested Sludge (kg/d)</t>
  </si>
  <si>
    <t>Anaerobic Digestor</t>
  </si>
  <si>
    <t>Sludge Parameters for Biogas Production</t>
  </si>
  <si>
    <t>TSSm to Biogas</t>
  </si>
  <si>
    <t>VSSm to biogas</t>
  </si>
  <si>
    <t>Total Sludge Mass to Biogas (kg/d)</t>
  </si>
  <si>
    <t>Total Sludge Volume to Biogas (m^3/d)</t>
  </si>
  <si>
    <t>Natural Gas Offset (m^3/y)</t>
  </si>
  <si>
    <t>https://v391.ecoquery.ecoinvent.org/Details/LCIA/a6d939d0-fa31-41b9-8e06-c9a8a0fa498d/290c1f85-4cc4-4fa1-b0c8-2cb7f4276dce</t>
  </si>
  <si>
    <t>Fossil Fuel Potential</t>
  </si>
  <si>
    <t>https://v391.ecoquery.ecoinvent.org/Details/LCIA/a2d421ba-1e04-429f-84c8-cebd776b3008/290c1f85-4cc4-4fa1-b0c8-2cb7f4276dce</t>
  </si>
  <si>
    <t>https://v391.ecoquery.ecoinvent.org/Details/LCIA/d3324e9d-0be6-4f4c-ad00-a75b458d8cc1/290c1f85-4cc4-4fa1-b0c8-2cb7f4276dce</t>
  </si>
  <si>
    <t>GWP Per Tonne Sludge</t>
  </si>
  <si>
    <t>O2 requirement per COD removed (g O2/gCOD)</t>
  </si>
  <si>
    <t>Over all O2 requirement (O2/COD removed)</t>
  </si>
  <si>
    <t>)2 Reuirement (kg/d)</t>
  </si>
  <si>
    <t>Aeration Efficiency (kg O2/kWh)</t>
  </si>
  <si>
    <t>https://iwaponline.com/wst/article-abstract/57/7/973/12535/Aeration-of-large-scale-municipal-wastewater</t>
  </si>
  <si>
    <t>O2 Requirement</t>
  </si>
  <si>
    <t>02 requirement 02 /COD removed</t>
  </si>
  <si>
    <t>Total O2 requirement</t>
  </si>
  <si>
    <t>CODsol content (kg/d)</t>
  </si>
  <si>
    <t>Tank</t>
  </si>
  <si>
    <t>Evaporator</t>
  </si>
  <si>
    <t>Required Capacity (kg DMC Evap/h)</t>
  </si>
  <si>
    <t>Model Number</t>
  </si>
  <si>
    <t>Tanks</t>
  </si>
  <si>
    <t>High Flow Pumps - Pump Express</t>
  </si>
  <si>
    <t>Length (m)</t>
  </si>
  <si>
    <t>Width (m)</t>
  </si>
  <si>
    <t>Sludge mass total (kg/d)</t>
  </si>
  <si>
    <t>VSSm of Sludge (kg/d)</t>
  </si>
  <si>
    <t>TSSm of Sludge</t>
  </si>
  <si>
    <t>Pedrollo HF Centrifugal Pump - High Flow - Pump Express</t>
  </si>
  <si>
    <t>Volumetric Flow Through Pipes (m^3/h)</t>
  </si>
  <si>
    <t>Nominal Pipe Size</t>
  </si>
  <si>
    <t>Outside Diameter</t>
  </si>
  <si>
    <t>Wall Thickness</t>
  </si>
  <si>
    <t>Inside Diameter</t>
  </si>
  <si>
    <t>Flow Area</t>
  </si>
  <si>
    <t>Maximum allowable pressure</t>
  </si>
  <si>
    <t>Friction factor in zone</t>
  </si>
  <si>
    <t>NPS (in)</t>
  </si>
  <si>
    <t>DN (mm)</t>
  </si>
  <si>
    <t>(in)</t>
  </si>
  <si>
    <t>(mm)</t>
  </si>
  <si>
    <t>(ft)</t>
  </si>
  <si>
    <t>(lb/ft)</t>
  </si>
  <si>
    <t>(kg/m)</t>
  </si>
  <si>
    <t>(psi)</t>
  </si>
  <si>
    <t>(kPa)</t>
  </si>
  <si>
    <t>Pipe Data</t>
  </si>
  <si>
    <r>
      <t>(in</t>
    </r>
    <r>
      <rPr>
        <b/>
        <vertAlign val="superscript"/>
        <sz val="10"/>
        <color rgb="FFFFFFFF"/>
        <rFont val="Arial"/>
        <family val="2"/>
      </rPr>
      <t>2</t>
    </r>
    <r>
      <rPr>
        <b/>
        <sz val="10"/>
        <color rgb="FFFFFFFF"/>
        <rFont val="Arial"/>
        <family val="2"/>
      </rPr>
      <t>)</t>
    </r>
  </si>
  <si>
    <r>
      <t>(mm</t>
    </r>
    <r>
      <rPr>
        <b/>
        <vertAlign val="superscript"/>
        <sz val="10"/>
        <color rgb="FFFFFFFF"/>
        <rFont val="Arial"/>
        <family val="2"/>
      </rPr>
      <t>2</t>
    </r>
    <r>
      <rPr>
        <b/>
        <sz val="10"/>
        <color rgb="FFFFFFFF"/>
        <rFont val="Arial"/>
        <family val="2"/>
      </rPr>
      <t>)</t>
    </r>
  </si>
  <si>
    <r>
      <t>(ft</t>
    </r>
    <r>
      <rPr>
        <b/>
        <vertAlign val="superscript"/>
        <sz val="10"/>
        <color rgb="FFFFFFFF"/>
        <rFont val="Arial"/>
        <family val="2"/>
      </rPr>
      <t>2</t>
    </r>
    <r>
      <rPr>
        <b/>
        <sz val="10"/>
        <color rgb="FFFFFFFF"/>
        <rFont val="Arial"/>
        <family val="2"/>
      </rPr>
      <t>)</t>
    </r>
  </si>
  <si>
    <r>
      <t>of complete turbulence, </t>
    </r>
    <r>
      <rPr>
        <b/>
        <i/>
        <sz val="10"/>
        <color rgb="FFFFFFFF"/>
        <rFont val="Arial"/>
        <family val="2"/>
      </rPr>
      <t>f</t>
    </r>
    <r>
      <rPr>
        <b/>
        <i/>
        <vertAlign val="subscript"/>
        <sz val="10"/>
        <color rgb="FFFFFFFF"/>
        <rFont val="Arial"/>
        <family val="2"/>
      </rPr>
      <t>T</t>
    </r>
    <r>
      <rPr>
        <b/>
        <sz val="10"/>
        <color rgb="FFFFFFFF"/>
        <rFont val="Arial"/>
        <family val="2"/>
      </rPr>
      <t>.</t>
    </r>
  </si>
  <si>
    <t>Mixer Diameter (m)</t>
  </si>
  <si>
    <t>Power Number for Impellor</t>
  </si>
  <si>
    <t>Impellor Tip Speed (m/s)</t>
  </si>
  <si>
    <t>Roational velocity of impellor</t>
  </si>
  <si>
    <t>Power requirement for mixer (kW)</t>
  </si>
  <si>
    <t>Efficiency of mixer</t>
  </si>
  <si>
    <t>Accumulation Nutrient Requirement</t>
  </si>
  <si>
    <t>Power requirement for mixer (KW)</t>
  </si>
  <si>
    <t>Average Monthly Temp</t>
  </si>
  <si>
    <t>Extraction Temp</t>
  </si>
  <si>
    <t>Surface Area of Walls</t>
  </si>
  <si>
    <t>Heat Loss From Walls (J/cycle)</t>
  </si>
  <si>
    <t>Heat Loss From Floor (j/cycle)</t>
  </si>
  <si>
    <t>Heat Loss From Roof (j/cycle)</t>
  </si>
  <si>
    <t>Total Heat Loss Per Cycle</t>
  </si>
  <si>
    <t>Cycles Per Day</t>
  </si>
  <si>
    <t>Heat Loss Per Day (j/d)</t>
  </si>
  <si>
    <t>Heat Loss Per Month</t>
  </si>
  <si>
    <t>VSSm Going to PHA</t>
  </si>
  <si>
    <t>COD of WAS  (kg/d)</t>
  </si>
  <si>
    <t>COD of Mixed Sludge (kg/d)</t>
  </si>
  <si>
    <t>Determine VSS fed to Digestor/PHA</t>
  </si>
  <si>
    <t>TSSm to Digestor from PHA</t>
  </si>
  <si>
    <t>VSSm to Digestor From PHA</t>
  </si>
  <si>
    <t>Total TSSm to digestor</t>
  </si>
  <si>
    <t>Mass Flow rate to digestor from PHA</t>
  </si>
  <si>
    <t>Total VSSm to Digestor</t>
  </si>
  <si>
    <t>VSSm From WWTP to Digestor</t>
  </si>
  <si>
    <t>TSSm to digestor from WWTP (kg/d)</t>
  </si>
  <si>
    <t>Solids content of digested sludge</t>
  </si>
  <si>
    <t>Determine Flow rate distribution between supernatant at 5000g/m^3</t>
  </si>
  <si>
    <t>Mass Flow rate to digestor from WWTP</t>
  </si>
  <si>
    <t>VSSm Going to Digestion from WWTP (kg/d)</t>
  </si>
  <si>
    <t>Mass flowrate to digestor from WWTP</t>
  </si>
  <si>
    <t>Return Flow Fowrate (m^3/d)</t>
  </si>
  <si>
    <t>Biomass-DMC Mixture (kg/cycle)</t>
  </si>
  <si>
    <t>Biomass- DMC Mixture (kg/cycle)</t>
  </si>
  <si>
    <t>PHA-DMC Mixture (kg/cycle)</t>
  </si>
  <si>
    <t>Biomass DMC Mixture (kg/cycle)</t>
  </si>
  <si>
    <t>TSS (kg/cycle)</t>
  </si>
  <si>
    <t>VSS (kg/cycle)</t>
  </si>
  <si>
    <t>PHA Content  in DMC (Kg/cycle)</t>
  </si>
  <si>
    <t>TSS(kg/cycle)</t>
  </si>
  <si>
    <t>PHA (kg/cycle)</t>
  </si>
  <si>
    <t>Dry Biomass (10% moisture content) (kg/cycle)</t>
  </si>
  <si>
    <t>PHA content (kg/cycle)</t>
  </si>
  <si>
    <t>DMC New (kg/cycle)</t>
  </si>
  <si>
    <t>DMC Recovered (kg/cycle)</t>
  </si>
  <si>
    <t>Waste biomass (kg/cycle)</t>
  </si>
  <si>
    <t>Recovered DMC (kg/cycle)</t>
  </si>
  <si>
    <t>PHA-DMC mixture (kg/cycle)</t>
  </si>
  <si>
    <t>PHA-DMC mixture (m^3/cycle)</t>
  </si>
  <si>
    <t>PHA Recovered (kg/cycle)</t>
  </si>
  <si>
    <t>Evaporated DMC (kg/Cycle)</t>
  </si>
  <si>
    <t>PHA recovered (kg/d)</t>
  </si>
  <si>
    <t>DMC Volume (m^3/cycle)</t>
  </si>
  <si>
    <t>New DMC (kg/d)</t>
  </si>
  <si>
    <t>Biomass- DMC Mixture (m^3/cycle)</t>
  </si>
  <si>
    <t>Mass of Tank Contents (kg/cycle)</t>
  </si>
  <si>
    <t>Extraction Duration (h)</t>
  </si>
  <si>
    <t xml:space="preserve">Cycles per day </t>
  </si>
  <si>
    <t>€/kWh</t>
  </si>
  <si>
    <t>Price incl Vat</t>
  </si>
  <si>
    <t>Total Cost p/a</t>
  </si>
  <si>
    <t>Total Cost of Infrastructure</t>
  </si>
  <si>
    <t>Annual Cost</t>
  </si>
  <si>
    <t>operator reuirements</t>
  </si>
  <si>
    <t>number of opeartions handling solids</t>
  </si>
  <si>
    <t>number of operations not handling solids</t>
  </si>
  <si>
    <t>heating</t>
  </si>
  <si>
    <t>AF</t>
  </si>
  <si>
    <t>Storage</t>
  </si>
  <si>
    <t>Enrcihment</t>
  </si>
  <si>
    <t>extraction</t>
  </si>
  <si>
    <t>evaporation</t>
  </si>
  <si>
    <t>Operator Requirements per shift totla</t>
  </si>
  <si>
    <t>Labour</t>
  </si>
  <si>
    <t>Heating Requirements</t>
  </si>
  <si>
    <t>Biogas resource (m^3/y)</t>
  </si>
  <si>
    <t>Waste Stream from Centrifuge (m^3/d)</t>
  </si>
  <si>
    <t>CHP and Grid</t>
  </si>
  <si>
    <t>CHP Only</t>
  </si>
  <si>
    <t>Heating From Biogas (kWh/year)</t>
  </si>
  <si>
    <t>Electricity from renewables</t>
  </si>
  <si>
    <t>Share of renewable Energy Total</t>
  </si>
  <si>
    <t>Share of Fossil Fuels Total</t>
  </si>
  <si>
    <t>Mass Flowrate to digestor (kg/d)</t>
  </si>
  <si>
    <t>BODm of TSSm</t>
  </si>
  <si>
    <t>Potential Electricity Generation from biogas kWh</t>
  </si>
  <si>
    <t>Digestor Electricity Requirement (kW/m3)</t>
  </si>
  <si>
    <t>Electrical requirement of digestor per year (kWh)</t>
  </si>
  <si>
    <t>Electrical requirement of digestor (kW)</t>
  </si>
  <si>
    <t>heat production, biomethane, at boiler condensing modulating &lt;100kW, Europe without Switzerland</t>
  </si>
  <si>
    <t>https://v391.ecoquery.ecoinvent.org/Details/LCIA/49e4d3aa-2169-4259-b4e7-913b2752b028/290c1f85-4cc4-4fa1-b0c8-2cb7f4276dce</t>
  </si>
  <si>
    <t>Sludge Parameters for PHA Production</t>
  </si>
  <si>
    <t>Nitorgen content of sludge (% solids)</t>
  </si>
  <si>
    <t>Phosphorus content of sludge (% solids)</t>
  </si>
  <si>
    <t>Potassium content of sludge</t>
  </si>
  <si>
    <t>N content of Monoammonium Phospate (kg/t)</t>
  </si>
  <si>
    <t>P Content of MAP 12-52 (kg/t)</t>
  </si>
  <si>
    <t>nutrient supply from monoammonium phosphate, RER</t>
  </si>
  <si>
    <t>CNP ratio of biomass (molar)</t>
  </si>
  <si>
    <t>1 mole biomass</t>
  </si>
  <si>
    <t>Carbon</t>
  </si>
  <si>
    <t>mol waste biomass</t>
  </si>
  <si>
    <t>g C:N:P in biomass</t>
  </si>
  <si>
    <t>g/mol biomas</t>
  </si>
  <si>
    <t>kg C:N:P per day</t>
  </si>
  <si>
    <t>Nutrient content of MAP (52-12-0) (kg/tonne)</t>
  </si>
  <si>
    <t>N (kg/t)</t>
  </si>
  <si>
    <t>N (%)</t>
  </si>
  <si>
    <t>P2O5</t>
  </si>
  <si>
    <t>P % of P2O5</t>
  </si>
  <si>
    <t>P% of fertiliser</t>
  </si>
  <si>
    <t>P (kg/t)</t>
  </si>
  <si>
    <t>https://v391.ecoquery.ecoinvent.org/Details/LCIA/b7755dae-bb05-4f31-bbe6-aa72a6490a0f/290c1f85-4cc4-4fa1-b0c8-2cb7f4276dce</t>
  </si>
  <si>
    <t>Total MAP ofset from sludge (kg/d)</t>
  </si>
  <si>
    <t>Biogas Electricity Requriment (kWh/y)</t>
  </si>
  <si>
    <t>Total Electricity Use per Year (kWh/y)</t>
  </si>
  <si>
    <t>biogas requirement for biogas heating (m^3/year)</t>
  </si>
  <si>
    <t>biogas electricity offset (kWh/year)</t>
  </si>
  <si>
    <t>Total MAP ofset from sludge (kg/y)</t>
  </si>
  <si>
    <t>VSSm in digested sludge</t>
  </si>
  <si>
    <t>VSS/TSS of digested sludge</t>
  </si>
  <si>
    <t>VSSsp (kg/d)</t>
  </si>
  <si>
    <t>Digested Solids TSS (kg/d)</t>
  </si>
  <si>
    <t>Dgested Solds VSS (kg/d)</t>
  </si>
  <si>
    <t>Centrate VSSm (kg/d)</t>
  </si>
  <si>
    <t>Sludge Cake Solds VSS (kg/d)</t>
  </si>
  <si>
    <t>Sludge Cake Solids TSS (kg/d)</t>
  </si>
  <si>
    <t>VSSn recycled to plant nfluent (kg/d)</t>
  </si>
  <si>
    <t>Mixed Liqour TSSc (kg/m^3/d)</t>
  </si>
  <si>
    <t>biogas natural gas offset (kWh/year)</t>
  </si>
  <si>
    <t>biogas requiremnt for electricity (m^3/year)</t>
  </si>
  <si>
    <t>WWTP electricity covered by Biogas (kWh/year) (100% biogas Scenario</t>
  </si>
  <si>
    <t>Shortfall in biogas derived electricity to be made up by grid</t>
  </si>
  <si>
    <t>Heat provided by biogas in 100% biogas scenario (kWh)</t>
  </si>
  <si>
    <t>FFP</t>
  </si>
  <si>
    <t>Heating Requirement for WWTP only (kWh)</t>
  </si>
  <si>
    <t>Nitrogen Content sludge cake (kg/d)</t>
  </si>
  <si>
    <t>Phosphorus (kg/d)</t>
  </si>
  <si>
    <t>Potassium content of sludge (kg/d)</t>
  </si>
  <si>
    <t>Fertiliser Offset</t>
  </si>
  <si>
    <t>% Of Reused Content of Sludge</t>
  </si>
  <si>
    <t>% of Reused Content in DMC</t>
  </si>
  <si>
    <t>% of Virgin Renewable Sludge</t>
  </si>
  <si>
    <t>% of Virgin Non-Renewable DMC</t>
  </si>
  <si>
    <t>% of recicrulation of  Biomass outflow in biological cycle</t>
  </si>
  <si>
    <t>amount of BMW sent to landfill</t>
  </si>
  <si>
    <t>Amount of waste sent to ad/compost</t>
  </si>
  <si>
    <t>Total BMW</t>
  </si>
  <si>
    <t>Waste for incineration</t>
  </si>
  <si>
    <t>Waste for Export</t>
  </si>
  <si>
    <t>% of exported waste incinerated</t>
  </si>
  <si>
    <t>% waste for AD</t>
  </si>
  <si>
    <t>% Municipal waste recyled</t>
  </si>
  <si>
    <t xml:space="preserve">% </t>
  </si>
  <si>
    <t>Amount of MW sent to landfill</t>
  </si>
  <si>
    <t>% BMW in MW</t>
  </si>
  <si>
    <t>Amount of Waste senf for incineration</t>
  </si>
  <si>
    <t>Amount of BMW sent for incineration</t>
  </si>
  <si>
    <t>Amount of BMW sent for AD/compost</t>
  </si>
  <si>
    <t>% of PHA outflow to biological cycle</t>
  </si>
  <si>
    <t>Inflow of electrical energy</t>
  </si>
  <si>
    <t>Inflow of Electrical Energy from CHP</t>
  </si>
  <si>
    <t>Inflow of Electrical Energy From Grid</t>
  </si>
  <si>
    <t>Inflow of RE from grid</t>
  </si>
  <si>
    <t>Electricity requirement of PHA and AD</t>
  </si>
  <si>
    <t>Net Electricity production from Biogas</t>
  </si>
  <si>
    <t>Grid Electricity Requirment</t>
  </si>
  <si>
    <t>Change in Grid Electricity requirement (kWh/year)</t>
  </si>
  <si>
    <t>Proportion of AD/PHA Electricity from biogas</t>
  </si>
  <si>
    <t>Proportion of PHA/AD Electricity comgin fom Grid</t>
  </si>
  <si>
    <t>Proportion of AD/PHA Heating from biogas</t>
  </si>
  <si>
    <t>Heating Requirement for AD/PHA (kWh)</t>
  </si>
  <si>
    <t>proportion of AD/PHA heating from natural gas</t>
  </si>
  <si>
    <t>Proportion of WWTP Electricity Covered by biogas</t>
  </si>
  <si>
    <t>Amount of WWTP Electricity covered by biogas</t>
  </si>
  <si>
    <t>Proportion of WWTP electrcicity coming from grid (kWh)</t>
  </si>
  <si>
    <t>Electricity Circularity</t>
  </si>
  <si>
    <t>Heat Circularity</t>
  </si>
  <si>
    <t>Inflow of Heat Energy</t>
  </si>
  <si>
    <t>Inflow of heat energy from natural gas</t>
  </si>
  <si>
    <t>Outflow of biogas Heat to WWTP</t>
  </si>
  <si>
    <t>Total Energy Circualrity Score</t>
  </si>
  <si>
    <t>Biomass-DMC Mixture (m^3/cycle)</t>
  </si>
  <si>
    <t>DMC Vapour (kg/cycle)</t>
  </si>
  <si>
    <t>Mass flow rate(kg/d)</t>
  </si>
  <si>
    <t>SOP</t>
  </si>
  <si>
    <t>Total Energy Requirement  of AD/PHA Production</t>
  </si>
  <si>
    <t xml:space="preserve">Acidogenic Fermentation </t>
  </si>
  <si>
    <t>Percentage of Power Consumption</t>
  </si>
  <si>
    <t>Power Requirement per day (kWh)</t>
  </si>
  <si>
    <t>Total Power Requirement per day (kWh/d)</t>
  </si>
  <si>
    <t>% of PHA Recycled to biological cycle</t>
  </si>
  <si>
    <t>% of PHA not recycled (incineration/landfill)</t>
  </si>
  <si>
    <t>WWTP sludge Total</t>
  </si>
  <si>
    <t>Used in Agriculture</t>
  </si>
  <si>
    <t>Used in land remediation</t>
  </si>
  <si>
    <t>Landfill</t>
  </si>
  <si>
    <t>Thermal Hydrolysis Tank</t>
  </si>
  <si>
    <t>steam requirement</t>
  </si>
  <si>
    <t>cps of dry sludge</t>
  </si>
  <si>
    <t>CPw</t>
  </si>
  <si>
    <t>solids content</t>
  </si>
  <si>
    <t>Th</t>
  </si>
  <si>
    <t>Ts</t>
  </si>
  <si>
    <t>H</t>
  </si>
  <si>
    <t>Tref</t>
  </si>
  <si>
    <t>Sludge Mass per day (kg/d)</t>
  </si>
  <si>
    <t>Total Steam Requirement (kg/d)</t>
  </si>
  <si>
    <t>Energy Requriemtn for steam kJ/kg</t>
  </si>
  <si>
    <t>Energy Requirement per day (kj)</t>
  </si>
  <si>
    <t>Energy Requirement per day (kWh)</t>
  </si>
  <si>
    <t>Energy Requirement per month</t>
  </si>
  <si>
    <t>Energy Requirment to Maintain AD Temp</t>
  </si>
  <si>
    <t>Proportion of AD/PHA Electricity from natural gas</t>
  </si>
  <si>
    <t>Thermal Hydrolysis and Anaerobic digestion</t>
  </si>
  <si>
    <t>Thermal Hydrolysis oncluded</t>
  </si>
  <si>
    <t>yes</t>
  </si>
  <si>
    <t>THP/AD Heating Requirement (kWh/m^3)</t>
  </si>
  <si>
    <t>THP/AD Electricity Requirement (kWh/m^3)</t>
  </si>
  <si>
    <t>THP/AD VSS Destruction (%)</t>
  </si>
  <si>
    <t>THP/AD Solids Content (%)</t>
  </si>
  <si>
    <t>AD Only Solids Content</t>
  </si>
  <si>
    <t>AD Only VSS Destruction (%)</t>
  </si>
  <si>
    <t>Anaerobic Digestion Process</t>
  </si>
  <si>
    <t>Anaerobic Digestion Only</t>
  </si>
  <si>
    <t>Thermal Hydrolysis and Anaerobic Digestion</t>
  </si>
  <si>
    <t>Biogas Emissions (Net)</t>
  </si>
  <si>
    <t xml:space="preserve">Grid Electricity Avoided </t>
  </si>
  <si>
    <t>Natural Gas Avoided</t>
  </si>
  <si>
    <t>Per day</t>
  </si>
  <si>
    <t>Natural Gas Heating</t>
  </si>
  <si>
    <t>Water Usage</t>
  </si>
  <si>
    <t xml:space="preserve">Net GWP </t>
  </si>
  <si>
    <t>Component GWP</t>
  </si>
  <si>
    <t>Net FFP</t>
  </si>
  <si>
    <t>Fossil Fuel Potential  (kg oil-Eq)</t>
  </si>
  <si>
    <t>Water Use (m^3)</t>
  </si>
  <si>
    <t>Resource Depletion (metals/minerals) (kg Cu-Eq)</t>
  </si>
  <si>
    <t>Freshewater Ecotoxicity (kg 1,4-DCB-Eq)</t>
  </si>
  <si>
    <t>marine ecotoxicity potential (METP) (kg 1,4-DCB-Eq)</t>
  </si>
  <si>
    <t>terrestrial ecotoxicity potential (TETP) (kg 1,4-DCB-Eq)</t>
  </si>
  <si>
    <t>human toxicity potential (HTPc) (kg 1,4-DCB-Eq)</t>
  </si>
  <si>
    <t>human toxicity potential (HTPnc) (kg 1,4-DCB-Eq)</t>
  </si>
  <si>
    <t>combustion of biogas</t>
  </si>
  <si>
    <t>Proportion of WWTP electricity from natural gas</t>
  </si>
  <si>
    <t>Outflow of electrical energy to WWTP from biogas</t>
  </si>
  <si>
    <t>Outflow of electrical energy to WWTP from natural gas</t>
  </si>
  <si>
    <t>Total Outflow of energy</t>
  </si>
  <si>
    <t>Excess Electricity from Natural Gas</t>
  </si>
  <si>
    <t>Electricity Generation from Grid (kWh)</t>
  </si>
  <si>
    <t>Flfow of electrical energy from natural gas</t>
  </si>
  <si>
    <t>Outflow of natural gas heat to WWTP</t>
  </si>
  <si>
    <t>WWTP Heating provided by biogas (kWh)</t>
  </si>
  <si>
    <t>WWTP Heating covered by natural gas</t>
  </si>
  <si>
    <t>Inflow of Heat Energy from Biogas</t>
  </si>
  <si>
    <t>https://v391.ecoquery.ecoinvent.org/Details/LCIA/86b42091-adad-43dd-b4f6-9950342e496f/290c1f85-4cc4-4fa1-b0c8-2cb7f4276dce</t>
  </si>
  <si>
    <t>dimethyl carbonate production, RER</t>
  </si>
  <si>
    <t>market for tap water, Europe without Switzerland (per kg water)</t>
  </si>
  <si>
    <t xml:space="preserve">Biogas Emissions </t>
  </si>
  <si>
    <t>WWTP Natural Gas Avoided</t>
  </si>
  <si>
    <t>Replacement ratio for P</t>
  </si>
  <si>
    <t>Steam requriment (kg steam/kg sludge)</t>
  </si>
  <si>
    <t>Volume of insulation used (m^3)</t>
  </si>
  <si>
    <t>Density of insulation (kg/m^3)</t>
  </si>
  <si>
    <t>mass of insulation (kg)</t>
  </si>
  <si>
    <t>CH4 + 2(O2+3.76N)</t>
  </si>
  <si>
    <t>CH4 + 2(O2 + 3.76 N2) -&gt; CO2 + 2 H2O + 7.52 N2</t>
  </si>
  <si>
    <t>every mole of CH4 combusted 1 mole of CO2 emittied</t>
  </si>
  <si>
    <t>atomic weight of CH4</t>
  </si>
  <si>
    <t>m^3 CH4 per day</t>
  </si>
  <si>
    <t>mo/m^3</t>
  </si>
  <si>
    <t>mol ch4 per day</t>
  </si>
  <si>
    <t>Mols CO2 per day</t>
  </si>
  <si>
    <t>atomic weight of CO2 (g/mol)</t>
  </si>
  <si>
    <t>Weight CO2 per day (kg) from methane combustion</t>
  </si>
  <si>
    <t>CO2 inbiogas M^3</t>
  </si>
  <si>
    <t>CO2 in biogas kg/d</t>
  </si>
  <si>
    <t xml:space="preserve">CO2 emissions from biogas  CHP unit total </t>
  </si>
  <si>
    <t>Natural gas combustion (m^3/d)</t>
  </si>
  <si>
    <t>Mols CH4 in natural gas</t>
  </si>
  <si>
    <t>Mols CO2 from natural gas cobustion</t>
  </si>
  <si>
    <t>Weight of CO2 from Nautral Gas combustion</t>
  </si>
  <si>
    <t>Water from Biogas Combustion (mols/d)</t>
  </si>
  <si>
    <t>Weight of water per day (kg/d)</t>
  </si>
  <si>
    <t>MolsN2 per day</t>
  </si>
  <si>
    <t>Mass of N2 per day kg/d) from Biogas</t>
  </si>
  <si>
    <t>Moles Water</t>
  </si>
  <si>
    <t>Weight water</t>
  </si>
  <si>
    <t>Mols N2</t>
  </si>
  <si>
    <t>Weight N2</t>
  </si>
  <si>
    <t>Total Mass of CO2 from combustion per day (kg/d)</t>
  </si>
  <si>
    <t>Total mass of water from CHP</t>
  </si>
  <si>
    <t>Total Mass of N2</t>
  </si>
  <si>
    <t>Emissions (kg/d)</t>
  </si>
  <si>
    <t>pha outflow (kg/d)</t>
  </si>
  <si>
    <t>Biomass outflow per day (kg/d)</t>
  </si>
  <si>
    <t>Atomic Weight ecetate (g/mol)</t>
  </si>
  <si>
    <t>enrichment acetate consumption (kg/d)</t>
  </si>
  <si>
    <t>moles acetat cosumed per day</t>
  </si>
  <si>
    <t>0.125 moles acetate produced 0.007 moles CO2</t>
  </si>
  <si>
    <t>moles CO2 produced per day</t>
  </si>
  <si>
    <t>mass of CO2 produced per day (kg/d)</t>
  </si>
  <si>
    <t>Enrichement</t>
  </si>
  <si>
    <t>moles CO2 per mole acetate</t>
  </si>
  <si>
    <t>accumulation acetate consumption</t>
  </si>
  <si>
    <t>Performance per KG PHA</t>
  </si>
  <si>
    <t>AD/PHA electricity from natural gas</t>
  </si>
  <si>
    <t>Total Cost Per tonne sludge</t>
  </si>
  <si>
    <t>Electrical Requirement for dewatering (kWh)</t>
  </si>
  <si>
    <t>Total Electricity Requirements</t>
  </si>
  <si>
    <t>linear inflows</t>
  </si>
  <si>
    <t>Nutrients</t>
  </si>
  <si>
    <t>WACC</t>
  </si>
  <si>
    <t>MPP</t>
  </si>
  <si>
    <t>Circular Inflows</t>
  </si>
  <si>
    <t>Sludge (kgdry solids/year)</t>
  </si>
  <si>
    <t>DMC (kg/year)</t>
  </si>
  <si>
    <t>biogas</t>
  </si>
  <si>
    <t>Annual revenue</t>
  </si>
  <si>
    <t>Revenue share of inflows (€/kg inflow)</t>
  </si>
  <si>
    <t>% Circular Inflows</t>
  </si>
  <si>
    <t>Revenue Share from Circular Resourcess (€)</t>
  </si>
  <si>
    <t>Revenue shre of linear resources (€)</t>
  </si>
  <si>
    <t>Revenue share form circular resources (%)</t>
  </si>
  <si>
    <t>Material Productivitiy (€/linear rource mass)</t>
  </si>
  <si>
    <t>Energy Results</t>
  </si>
  <si>
    <t>Grid/gas Derived Electrcicity for AD/PHA</t>
  </si>
  <si>
    <t>Natural Gas Heating For AD/PHA</t>
  </si>
  <si>
    <t xml:space="preserve">WWTP Grid Electricity Avoided (from </t>
  </si>
  <si>
    <t>Ad/PHA Heating Requirement (kWh/y)</t>
  </si>
  <si>
    <t>Ad/PHA Heating Requirement (m^3 biogas/y)</t>
  </si>
  <si>
    <t>excess biogas for use in CHP (m^3)</t>
  </si>
  <si>
    <t>Excess Biogas for use in CHP</t>
  </si>
  <si>
    <t>Boiler efficiency Electricity (%)</t>
  </si>
  <si>
    <t>Boiler Efficiency Heat (%)</t>
  </si>
  <si>
    <t>Residual Heat Recovered (kWh)</t>
  </si>
  <si>
    <t>Proportion of WWTP heating from biogas (from CHP Unit)</t>
  </si>
  <si>
    <t>Heating From Natural gas (AD/PHA) (kWh/y)</t>
  </si>
  <si>
    <t>Natural Gas Requirement for heating AD/PHA (m^3/y)</t>
  </si>
  <si>
    <t>Natural Gas requirement for heating WWTP (%)</t>
  </si>
  <si>
    <t>Natural Gas requirement for WWTP</t>
  </si>
  <si>
    <t>PET Impact</t>
  </si>
  <si>
    <t>Freshewater Ecotoxicity/t sludge solids  (kg 1,4-DCB-Eq)</t>
  </si>
  <si>
    <t>marine ecotoxicity potential/t sludge solids  (METP) (kg 1,4-DCB-Eq)</t>
  </si>
  <si>
    <t>terrestrial ecotoxicity potential/t sludge solids  (TETP) (kg 1,4-DCB-Eq)</t>
  </si>
  <si>
    <t>FFP/t sludge solids</t>
  </si>
  <si>
    <t>Water Depletion/t sludge solids</t>
  </si>
  <si>
    <t>Resource Depletion/t sludge solids</t>
  </si>
  <si>
    <t>human toxicity potential/t sludge solids (HTPc) (kg 1,4-DCB-Eq)</t>
  </si>
  <si>
    <t>human toxicity potential/t sludge solids (HTPnc) (kg 1,4-DCB-Eq)</t>
  </si>
  <si>
    <t>PET Offset per year</t>
  </si>
  <si>
    <t>Sludge Balance Results</t>
  </si>
  <si>
    <t>per day</t>
  </si>
  <si>
    <t>per year</t>
  </si>
  <si>
    <t>Proportion of PHA/AD Heating From Biogas</t>
  </si>
  <si>
    <t>Proportion of PHA/AD Heating from Natural Gas</t>
  </si>
  <si>
    <t>Proportion of WWTP Heating from Biogas</t>
  </si>
  <si>
    <t>Proportion of WWTP Heating From Natural gas</t>
  </si>
  <si>
    <t>Molecular weight (kg/mol)</t>
  </si>
  <si>
    <t>Carbon content (mol C)</t>
  </si>
  <si>
    <t>Total mol C</t>
  </si>
  <si>
    <t>Delta</t>
  </si>
  <si>
    <t>Freshewater Ecotoxicity</t>
  </si>
  <si>
    <t xml:space="preserve">Resource Depletion (metals/minerals) </t>
  </si>
  <si>
    <t>Net METP</t>
  </si>
  <si>
    <t>Difference in PHA and PET</t>
  </si>
  <si>
    <t>Cost per kg PHA</t>
  </si>
  <si>
    <t>photochemical oxidant formation potential: ecosystems (EOFP) kg NOx-Eq</t>
  </si>
  <si>
    <t>photochemical oxidant formation potential: humans (HOFP) kg NOx-Eq</t>
  </si>
  <si>
    <t>particulate matter formation potential (PMFP) kg PM2.5-Eq</t>
  </si>
  <si>
    <t>ozone depletion potential (ODPinfinite) kg CFC-11-Eq</t>
  </si>
  <si>
    <t>agricultural land occupation (LOP) m2*a crop-Eq</t>
  </si>
  <si>
    <t>ionising radiation potential (IRP) kBq Co-60-Eq</t>
  </si>
  <si>
    <t>marine eutrophication potential (MEP) kg N-Eq</t>
  </si>
  <si>
    <t>freshwater eutrophication potential (FEP) kg P-Eq</t>
  </si>
  <si>
    <t>terrestrial acidification potential (TAP) kg SO2-Eq</t>
  </si>
  <si>
    <t>https://v391.ecoquery.ecoinvent.org/Details/LCIA/a7c301fe-ed77-4e34-95d9-b2ab6aa8fba5/290c1f85-4cc4-4fa1-b0c8-2cb7f4276dce</t>
  </si>
  <si>
    <t>Total Impact (W/O Offsets)</t>
  </si>
  <si>
    <t>Compounder</t>
  </si>
  <si>
    <t>Compunder</t>
  </si>
  <si>
    <t>apacity</t>
  </si>
  <si>
    <t>model</t>
  </si>
  <si>
    <t>capacitity (kg PHA/h)</t>
  </si>
  <si>
    <t>weight</t>
  </si>
  <si>
    <t>RTW-58</t>
  </si>
  <si>
    <t>300-400</t>
  </si>
  <si>
    <t>https://www.replast-extruder.com/en_product_detail.php?id=1508482452</t>
  </si>
  <si>
    <t>Fossil Fule Potential</t>
  </si>
  <si>
    <t>Compounding</t>
  </si>
  <si>
    <t xml:space="preserve">Compounding </t>
  </si>
  <si>
    <t>Electricity Requirement (kWh/kg)</t>
  </si>
  <si>
    <t>Twin Screw</t>
  </si>
  <si>
    <t>wind offshore</t>
  </si>
  <si>
    <t>kToe</t>
  </si>
  <si>
    <t>mWh</t>
  </si>
  <si>
    <t>gWh</t>
  </si>
  <si>
    <t>tWh</t>
  </si>
  <si>
    <t>Planned capacity</t>
  </si>
  <si>
    <t>Wind onshore</t>
  </si>
  <si>
    <t>GW</t>
  </si>
  <si>
    <t>GWh</t>
  </si>
  <si>
    <t>Capacity Factor</t>
  </si>
  <si>
    <t>Wind Offshore</t>
  </si>
  <si>
    <t>https://v391.ecoquery.ecoinvent.org/Details/LCIA/6a22541a-3608-4cbe-99fa-b88850cb6acd/290c1f85-4cc4-4fa1-b0c8-2cb7f4276dce</t>
  </si>
  <si>
    <t>https://v391.ecoquery.ecoinvent.org/Details/LCIA/dd7a8922-d7da-4ea0-b7e5-4613528febbe/290c1f85-4cc4-4fa1-b0c8-2cb7f4276dce</t>
  </si>
  <si>
    <t>https://v391.ecoquery.ecoinvent.org/Details/LCIA/9a652e9f-35c8-4085-a948-9b06845d4b85/290c1f85-4cc4-4fa1-b0c8-2cb7f4276dce</t>
  </si>
  <si>
    <t>https://v391.ecoquery.ecoinvent.org/Details/LCIA/d16fdb6c-379f-4013-a853-37998af95806/290c1f85-4cc4-4fa1-b0c8-2cb7f4276dce</t>
  </si>
  <si>
    <t>https://v391.ecoquery.ecoinvent.org/Details/LCIA/bafbfea7-3f43-4495-88b3-0a5c3cbb056e/290c1f85-4cc4-4fa1-b0c8-2cb7f4276dce</t>
  </si>
  <si>
    <t>https://v391.ecoquery.ecoinvent.org/Details/LCIA/8ad3d4ff-adc1-452e-87ae-020fe3f189de/290c1f85-4cc4-4fa1-b0c8-2cb7f4276dce</t>
  </si>
  <si>
    <t>https://v391.ecoquery.ecoinvent.org/Details/LCIA/3ceeb3ed-c1e9-4486-87e5-f68c32c5cd66/290c1f85-4cc4-4fa1-b0c8-2cb7f4276dce</t>
  </si>
  <si>
    <t>https://v391.ecoquery.ecoinvent.org/Details/LCIA/32dbbb13-e585-4be6-94a9-6215fd8f61d9/290c1f85-4cc4-4fa1-b0c8-2cb7f4276dce</t>
  </si>
  <si>
    <t>https://v391.ecoquery.ecoinvent.org/Details/LCIA/b1b6ed1b-c5ce-45f3-a983-42310598532b/290c1f85-4cc4-4fa1-b0c8-2cb7f4276dce</t>
  </si>
  <si>
    <t>Curren Cmix</t>
  </si>
  <si>
    <t>Wind (onshore)</t>
  </si>
  <si>
    <t>https://v391.ecoquery.ecoinvent.org/Details/LCIA/9fe22d51-76a5-443c-aee6-5ef7774852f7/290c1f85-4cc4-4fa1-b0c8-2cb7f4276dce</t>
  </si>
  <si>
    <t>New Mix</t>
  </si>
  <si>
    <t>Impact</t>
  </si>
  <si>
    <t>Current Mix</t>
  </si>
  <si>
    <t>Future Mix</t>
  </si>
  <si>
    <t>Net HTPc</t>
  </si>
  <si>
    <t>Net HTPnc</t>
  </si>
  <si>
    <t>Future Grid Electricity Mix</t>
  </si>
  <si>
    <t>Grid Mix</t>
  </si>
  <si>
    <t>METP</t>
  </si>
  <si>
    <t>TETP</t>
  </si>
  <si>
    <t>HTPc</t>
  </si>
  <si>
    <t>HTPnc</t>
  </si>
  <si>
    <t>FETP</t>
  </si>
  <si>
    <t>Percentage Share</t>
  </si>
  <si>
    <t>Output (GWh)</t>
  </si>
  <si>
    <t>Mass of water insludge</t>
  </si>
  <si>
    <t>Volume of water in sludge</t>
  </si>
  <si>
    <t>compounding</t>
  </si>
  <si>
    <t>Net FETP</t>
  </si>
  <si>
    <t xml:space="preserve">Net Water Usage </t>
  </si>
  <si>
    <t>Expenditure Item</t>
  </si>
  <si>
    <t>Enrichment wastewater discharge (m^3/d)</t>
  </si>
  <si>
    <t>% of Water Discharged According to Quality Requirements</t>
  </si>
  <si>
    <t>Total Water Inflow</t>
  </si>
  <si>
    <t>Power Requirement for mixer per day (kWh/d)</t>
  </si>
  <si>
    <t>Maintenance</t>
  </si>
  <si>
    <t>Impact Category</t>
  </si>
  <si>
    <t>Normalisation Factor</t>
  </si>
  <si>
    <t>Normalised Gross Impact</t>
  </si>
  <si>
    <t>Gross Impact</t>
  </si>
  <si>
    <t>gPHA/cmol OA</t>
  </si>
  <si>
    <t>kgVFA</t>
  </si>
  <si>
    <t>Cmol/gAcetate</t>
  </si>
  <si>
    <t>gPHA/cmol pha</t>
  </si>
  <si>
    <t>molc/gpHA</t>
  </si>
  <si>
    <t>gC/g Acetate</t>
  </si>
  <si>
    <t>g Acetate/cmol</t>
  </si>
  <si>
    <t>Low Biogas</t>
  </si>
  <si>
    <t>Scenario</t>
  </si>
  <si>
    <t>Original Value</t>
  </si>
  <si>
    <t>Biogas Yield (m^3 biogas/VS destroyed</t>
  </si>
  <si>
    <t>Low Labour</t>
  </si>
  <si>
    <t>Low Extraction</t>
  </si>
  <si>
    <t>High Extraction</t>
  </si>
  <si>
    <t>Low Fertiliser</t>
  </si>
  <si>
    <t>High PHA</t>
  </si>
  <si>
    <t>High VFA</t>
  </si>
  <si>
    <t>High Biogas</t>
  </si>
  <si>
    <t>Percentage Annual Cost Spent on Labour</t>
  </si>
  <si>
    <t>Net SOP</t>
  </si>
  <si>
    <t>WU</t>
  </si>
  <si>
    <t>Net  TETP</t>
  </si>
  <si>
    <t>rock</t>
  </si>
  <si>
    <t>dark limestone and shale</t>
  </si>
  <si>
    <t>Density of limestone</t>
  </si>
  <si>
    <t>Soil bearing capacity (kg/m2)</t>
  </si>
  <si>
    <t xml:space="preserve">depth of foundation </t>
  </si>
  <si>
    <t>Tank mass kg</t>
  </si>
  <si>
    <t>content mass</t>
  </si>
  <si>
    <t>Total mass</t>
  </si>
  <si>
    <t>Footing area m2</t>
  </si>
  <si>
    <t>Soil Bearing capcity kN/m2 (soft clay)</t>
  </si>
  <si>
    <t>Angle of repose (deg)</t>
  </si>
  <si>
    <t>Angle of repose (rads)</t>
  </si>
  <si>
    <t>Square footing (length/width)</t>
  </si>
  <si>
    <t>Depth of concrete (m)</t>
  </si>
  <si>
    <t>Acidogenic Fermentation Tanks</t>
  </si>
  <si>
    <t>Vol cement per tank (m3)</t>
  </si>
  <si>
    <t xml:space="preserve">Number of Tanks </t>
  </si>
  <si>
    <t>Total Volume of cement (m^3)</t>
  </si>
  <si>
    <t>Sludge Sidestream Process</t>
  </si>
  <si>
    <t>Process In operation</t>
  </si>
  <si>
    <t>WWTP Sludge Characteristics</t>
  </si>
  <si>
    <t>Soil Type (dublin)</t>
  </si>
  <si>
    <t>Rock type (dublin)</t>
  </si>
  <si>
    <t>Nachinery Buidling</t>
  </si>
  <si>
    <t>combined mass of equipment (kg)</t>
  </si>
  <si>
    <t>extraction vessel mass (kg)</t>
  </si>
  <si>
    <t>Building Height (m)</t>
  </si>
  <si>
    <t>Density of blocks (kg/m3)</t>
  </si>
  <si>
    <t>Building length</t>
  </si>
  <si>
    <t>Building width</t>
  </si>
  <si>
    <t>Wall area</t>
  </si>
  <si>
    <t>Load from walls 225mm blockwork  (kN/m2)</t>
  </si>
  <si>
    <t>Load From walls (kg)</t>
  </si>
  <si>
    <t xml:space="preserve">Load from floor </t>
  </si>
  <si>
    <t>65mm screed (kN/m2)</t>
  </si>
  <si>
    <t>precast concrete floor (kN/m2)</t>
  </si>
  <si>
    <t>Combined load from floor (kN/m2)</t>
  </si>
  <si>
    <t>Total Load from floor (kg)</t>
  </si>
  <si>
    <t>Load from Roof (kg/m2</t>
  </si>
  <si>
    <t>Total roof load</t>
  </si>
  <si>
    <t>Total load of strucutre</t>
  </si>
  <si>
    <t>footing area m2</t>
  </si>
  <si>
    <t>depth of concrete</t>
  </si>
  <si>
    <t>Volume of concrete required</t>
  </si>
  <si>
    <t>Content volume</t>
  </si>
  <si>
    <t>Radius of base</t>
  </si>
  <si>
    <t>https://structville.com/2020/12/unit-weight-of-construction-materials.html</t>
  </si>
  <si>
    <t>https://www.steelbeamcalculator.com/en-ie/standard-loads</t>
  </si>
  <si>
    <t>Mass of material required for tank excluding the base</t>
  </si>
  <si>
    <t>Thickness of insulation</t>
  </si>
  <si>
    <t>https://v391.ecoquery.ecoinvent.org/Details/LCIA/d6d401f0-5046-4808-9a79-8e287dcf01f8/290c1f85-4cc4-4fa1-b0c8-2cb7f4276dce</t>
  </si>
  <si>
    <t>Mass of steel supports per tank</t>
  </si>
  <si>
    <t>Reinforcing steel</t>
  </si>
  <si>
    <t>concrete blocks</t>
  </si>
  <si>
    <t>https://v391.ecoquery.ecoinvent.org/Details/LCIA/4efb68a6-447d-4460-a732-80fd1cd0607b/290c1f85-4cc4-4fa1-b0c8-2cb7f4276dce</t>
  </si>
  <si>
    <t>https://v391.ecoquery.ecoinvent.org/Details/LCIA/7861474e-7eac-4f27-a219-dd90e251fb92/290c1f85-4cc4-4fa1-b0c8-2cb7f4276dce</t>
  </si>
  <si>
    <t>Excavation (m3)</t>
  </si>
  <si>
    <t>excavation required (m^3)</t>
  </si>
  <si>
    <t>Roofing Asphalt (kg)</t>
  </si>
  <si>
    <t>concrete slab production, RoW,</t>
  </si>
  <si>
    <t>https://v391.ecoquery.ecoinvent.org/Details/LCIA/40414155-2568-4a49-b782-e8d127b18646/290c1f85-4cc4-4fa1-b0c8-2cb7f4276dce</t>
  </si>
  <si>
    <t>Concrete Footing m^3</t>
  </si>
  <si>
    <t>Steel Reinforcments (kg)</t>
  </si>
  <si>
    <t>concrete block production, RoW</t>
  </si>
  <si>
    <t>mastic asphalt production, RoW,</t>
  </si>
  <si>
    <t>https://v391.ecoquery.ecoinvent.org/Details/LCIA/cbf8d3cd-88ac-44d1-9e28-726f55591c57/290c1f85-4cc4-4fa1-b0c8-2cb7f4276dce</t>
  </si>
  <si>
    <t>Flooring Slab (m^3)</t>
  </si>
  <si>
    <t>https://www.concrete.org.uk/fingertips-document.asp?id=709#:~:text=Concrete%20%40%20your%20Fingertips&amp;text=Aggregate%20blocks%20come%20in%20two,%E2%80%93%201500%20kg%2Fm3.</t>
  </si>
  <si>
    <t>cost of labour per year</t>
  </si>
  <si>
    <t>HTPc                 (kg 1,4-DCB-eq)</t>
  </si>
  <si>
    <t>HTPnc               (kg 1,4-DCB-eq)</t>
  </si>
  <si>
    <t>GWP                 (kg CO2-eq)</t>
  </si>
  <si>
    <t>TETP                (kg 1,4-DCB-eq)</t>
  </si>
  <si>
    <r>
      <t>WU                    (m</t>
    </r>
    <r>
      <rPr>
        <vertAlign val="superscript"/>
        <sz val="11"/>
        <color theme="1"/>
        <rFont val="Calibri"/>
        <family val="2"/>
        <scheme val="minor"/>
      </rPr>
      <t>3</t>
    </r>
    <r>
      <rPr>
        <sz val="11"/>
        <color theme="1"/>
        <rFont val="Calibri"/>
        <family val="2"/>
        <scheme val="minor"/>
      </rPr>
      <t>)</t>
    </r>
  </si>
  <si>
    <t>SOP                 (kg Cu-eq)</t>
  </si>
  <si>
    <t>FETP                 (kg 1,4-DCB-eq)</t>
  </si>
  <si>
    <t>METP                 (kg 1,4-DCB-eq)</t>
  </si>
  <si>
    <t>FFP                   (kg oil-eq)</t>
  </si>
  <si>
    <t>Wastewater Characteristics</t>
  </si>
  <si>
    <t>density of sludge (kg/m^3)</t>
  </si>
  <si>
    <t>OPEX Items</t>
  </si>
  <si>
    <t>CAPEX Items</t>
  </si>
  <si>
    <t>Cost</t>
  </si>
  <si>
    <t>WAS Solids Content</t>
  </si>
  <si>
    <t>Sludge Specific Gravity</t>
  </si>
  <si>
    <t>Total Nitrogen (kg N/m^3/d)</t>
  </si>
  <si>
    <t>TSSc after grit removal (%)</t>
  </si>
  <si>
    <t>Effluent BODc (g/m^3)</t>
  </si>
  <si>
    <t>Effluent TSSc (g/m^3)</t>
  </si>
  <si>
    <t>Average Monthly Ground Temperature</t>
  </si>
  <si>
    <t>Average Montly Air Temperature (Deg C)</t>
  </si>
  <si>
    <t>Centrifuge Electricity Requirement (kWh/m^3)</t>
  </si>
  <si>
    <r>
      <t>Surface Area of Tank (m</t>
    </r>
    <r>
      <rPr>
        <b/>
        <vertAlign val="superscript"/>
        <sz val="11"/>
        <color theme="1"/>
        <rFont val="Calibri"/>
        <family val="2"/>
        <scheme val="minor"/>
      </rPr>
      <t>2</t>
    </r>
    <r>
      <rPr>
        <b/>
        <sz val="11"/>
        <color theme="1"/>
        <rFont val="Calibri"/>
        <family val="2"/>
        <scheme val="minor"/>
      </rPr>
      <t>)</t>
    </r>
  </si>
  <si>
    <t>Acidogenic Fermentation Outputs</t>
  </si>
  <si>
    <t>Centrifuge 1 Outputs</t>
  </si>
  <si>
    <t>total impact</t>
  </si>
  <si>
    <t>Impact per year</t>
  </si>
  <si>
    <t>Enrichment Reactor Outputs</t>
  </si>
  <si>
    <t>Accumulation Reactor Outputs</t>
  </si>
  <si>
    <t>PHA Content (kg /d)</t>
  </si>
  <si>
    <t>Centrifuge 2 Outputs</t>
  </si>
  <si>
    <t>Wastewater N (kg/m^3)</t>
  </si>
  <si>
    <t>Wastewater P (kg/m^3)</t>
  </si>
  <si>
    <t>COD of VSS in Wastewater (kgCOD/m^3/day)</t>
  </si>
  <si>
    <t>Wastewater COD total (kg/d)</t>
  </si>
  <si>
    <t>Wastewater COD conc (kg/m^3/d)</t>
  </si>
  <si>
    <t>Sludge Dryer Outputs</t>
  </si>
  <si>
    <t>Extraction Outputs</t>
  </si>
  <si>
    <t>Centrifuge 3 Outputs</t>
  </si>
  <si>
    <t>Evaporator 1 Outputs</t>
  </si>
  <si>
    <t>Evaporator 2 Outputs</t>
  </si>
  <si>
    <t>PHA (kg/Cycle)</t>
  </si>
  <si>
    <t>TSS (kg/day)</t>
  </si>
  <si>
    <t>PHA (kg/day)</t>
  </si>
  <si>
    <t>PHA-DMC Mixture (kg/day)</t>
  </si>
  <si>
    <t>PHA Content  in DMC (Kg/day)</t>
  </si>
  <si>
    <t>Biomass DMC Mixture (kg/day)</t>
  </si>
  <si>
    <t>DMC Recovered (kg/day)</t>
  </si>
  <si>
    <t>Waste biomass (kg/day)</t>
  </si>
  <si>
    <t>PHA Recovered (kg/day)</t>
  </si>
  <si>
    <t>Operator Salary</t>
  </si>
  <si>
    <t>Operational Expenses</t>
  </si>
  <si>
    <t>% of equipement</t>
  </si>
  <si>
    <t>Slalary per Operator</t>
  </si>
  <si>
    <t>LHV of Biogas (MJ/m^3)</t>
  </si>
  <si>
    <t xml:space="preserve">Heat and Power Generation </t>
  </si>
  <si>
    <t>User Defined/Default Cost</t>
  </si>
  <si>
    <t>The following selections determine the type and proportion of sludge sent used for PHA and Biogas Production. The number of operational days and the grid mix can also be specified by the used. The grid mix is based on default values found in Section XXX. These values can be edited as needed.</t>
  </si>
  <si>
    <t>Section 1: Process Selection</t>
  </si>
  <si>
    <t>Section 2: Wastewater/Sludge Characteristics</t>
  </si>
  <si>
    <t>Section 3: Location Temperature Data</t>
  </si>
  <si>
    <t>Section 4: Energy System Parameters</t>
  </si>
  <si>
    <t>Current Grid Electricity Mix</t>
  </si>
  <si>
    <t>Future Electrcitiy Mix</t>
  </si>
  <si>
    <t>LCIA Data</t>
  </si>
  <si>
    <t>Process Step</t>
  </si>
  <si>
    <t>Annual Thermal Energy Demand (kWh)</t>
  </si>
  <si>
    <t xml:space="preserve">Percentage of Total Thermal Energy Demand </t>
  </si>
  <si>
    <t>Percentage of Total Electricity Demand</t>
  </si>
  <si>
    <t>Percentage of Heating Demand</t>
  </si>
  <si>
    <t>Electricity Generation from Biogas per Year (kWh/y)</t>
  </si>
  <si>
    <t>Total Heating From Natural gas (kWh/y)</t>
  </si>
  <si>
    <t xml:space="preserve">Proportion of WWTP electrcicity coming from grid </t>
  </si>
  <si>
    <t xml:space="preserve">NH4Cl </t>
  </si>
  <si>
    <t xml:space="preserve">KH2PO4 </t>
  </si>
  <si>
    <t>Grid Derived Electrcicity</t>
  </si>
  <si>
    <t>Net Impact</t>
  </si>
  <si>
    <t>Performance per kg PHA</t>
  </si>
  <si>
    <t>Graphical Results</t>
  </si>
  <si>
    <t>Feb</t>
  </si>
  <si>
    <t>Equipment</t>
  </si>
  <si>
    <t>Euro/kWh</t>
  </si>
  <si>
    <t xml:space="preserve">Price ex VAT </t>
  </si>
  <si>
    <t>Section 5: Infrastructure Inputs</t>
  </si>
  <si>
    <t>This section contains selections for the reaction vessel structure. This information is required to calculate the heatloss through the vessel walls. These selections are an important factor in calculating the heating demand of the PHA production process</t>
  </si>
  <si>
    <t>Section 6: Operational Expenditure Inputs</t>
  </si>
  <si>
    <t>This section contains selections that are required for calculating the cost of PHA production. If equipment costs are known, please slecect "User Define" and input the value in the "Cost" Column. If equipment costs are unkown select "Default"</t>
  </si>
  <si>
    <t>Production Cost Results</t>
  </si>
  <si>
    <t>Infrastructure Capacity Requirements</t>
  </si>
  <si>
    <t>PHA Process Step Outputs</t>
  </si>
  <si>
    <t>Energy Inflows and Outflows of PHA Production and Anaerobic Digestion</t>
  </si>
  <si>
    <t>% of Total Outflow Recirculated to Biological Cycle</t>
  </si>
  <si>
    <t>Circularity Indicators</t>
  </si>
  <si>
    <t>Energy Circularity Indicators</t>
  </si>
  <si>
    <t>Inflow Circulairty Indicator</t>
  </si>
  <si>
    <t>Outflow Circularity Indicator</t>
  </si>
  <si>
    <t>Water Circularity Indicators</t>
  </si>
  <si>
    <t>Economic Circularity Indicators</t>
  </si>
  <si>
    <t>LCIA Results</t>
  </si>
  <si>
    <t>Total Energy Inflow and Outflow</t>
  </si>
  <si>
    <t>Percentage Breakdown of Energy Flows</t>
  </si>
  <si>
    <t>Proportion of Total Electricity from Biogas</t>
  </si>
  <si>
    <t>Cost Analysis</t>
  </si>
  <si>
    <t>Energy Calculations</t>
  </si>
  <si>
    <t xml:space="preserve">Sludge Production </t>
  </si>
  <si>
    <t>Infrastructure Calculations</t>
  </si>
  <si>
    <t>Unstructured Results</t>
  </si>
  <si>
    <t>Misc Calculations</t>
  </si>
  <si>
    <t>Solver Inputs</t>
  </si>
  <si>
    <t>The average monthly temperature data is used to calculate the heat loss through vessel walls. The average air temperature is also used to calculate the average ground temperature for calculculating the heatloss to the ground</t>
  </si>
  <si>
    <t>Terrestriac Acidifcation</t>
  </si>
  <si>
    <t>freshwater eutrophication potential (FEP) kg P-Eq/t sludge</t>
  </si>
  <si>
    <t>Terrestrial Acidification</t>
  </si>
  <si>
    <t>Net TA</t>
  </si>
  <si>
    <t>Net FEU</t>
  </si>
  <si>
    <t>Net MEU</t>
  </si>
  <si>
    <t>Net LU</t>
  </si>
  <si>
    <t>Net O3D</t>
  </si>
  <si>
    <t>Net PMF</t>
  </si>
  <si>
    <t>Net HOFP</t>
  </si>
  <si>
    <t>Net EOFP</t>
  </si>
  <si>
    <t>treatment of wastewater, average, wastewater treatment, Europe without Switzerland,</t>
  </si>
  <si>
    <t>polyethylene terephthalate production, granulate, amorphous, RER,</t>
  </si>
  <si>
    <t>concrete production, 35MPa, for civil engineering, for exterior use, with cement, Portland, RoW,</t>
  </si>
  <si>
    <t>Freshwater Eutrophication</t>
  </si>
  <si>
    <t>Marine Eutrophication</t>
  </si>
  <si>
    <t>Land Use</t>
  </si>
  <si>
    <t>Marine Ecotoxicity Potential (METP) (kg 1,4-DCB-Eq)</t>
  </si>
  <si>
    <t>Terrestrial Ecotoxicity Potential (TETP) (kg 1,4-DCB-Eq)</t>
  </si>
  <si>
    <t>Freshwater Eutrophication Potential (FEP) kg P-Eq</t>
  </si>
  <si>
    <t>Marine Eutrophication Potential (MEP) kg N-Eq</t>
  </si>
  <si>
    <t>Human Toxicity Potential (HTPc) (kg 1,4-DCB-Eq)</t>
  </si>
  <si>
    <t>Human Toxicity Potential (HTPnc) (kg 1,4-DCB-Eq)</t>
  </si>
  <si>
    <t>Ionising Radiation Potential (IRP) kBq Co-60-Eq</t>
  </si>
  <si>
    <t>Agricultural Land Occupation (LOP) m2*a crop-Eq</t>
  </si>
  <si>
    <t>Ozone Depletion Potential (ODPinfinite) kg CFC-11-Eq</t>
  </si>
  <si>
    <t>Particulate Matter Formation Potential (PMFP) kg PM2.5-Eq</t>
  </si>
  <si>
    <t>Photochemical Oxidant Formation Potential: Humans (HOFP) kg NOx-Eq</t>
  </si>
  <si>
    <t>Photochemical Oxidant Formation Potential: Ecosystems (EOFP) kg NOx-Eq</t>
  </si>
  <si>
    <t>Cost of PHA Production (€/kg)</t>
  </si>
  <si>
    <t>Impact of PHA Production (per kg PHA)</t>
  </si>
  <si>
    <t>TA kg SO2-Eq</t>
  </si>
  <si>
    <t>FEU kg P-Eq</t>
  </si>
  <si>
    <t>MEU kg N-Eq</t>
  </si>
  <si>
    <t>IRP kBq Co-60-Eq</t>
  </si>
  <si>
    <t>Net IRP</t>
  </si>
  <si>
    <t>LU m2*a crop-Eq</t>
  </si>
  <si>
    <t>O3D kg CFC-11-Eq</t>
  </si>
  <si>
    <t>PMFP kg PM2.5-Eq</t>
  </si>
  <si>
    <t>HOFP kg NOx-Eq</t>
  </si>
  <si>
    <t>EOFP kg NOx-Eq</t>
  </si>
  <si>
    <t>The solver tool can be used to calculate the optimum usage of sludge. To calculate the minimum production cost, select the desired cell within this section as the objective cell in the solver tool window. Select cells G8 and G10 as the cells to be change. Add the following constraints: G*&lt;=1005, G10=1-G8</t>
  </si>
  <si>
    <t>PHA yield Total (kg/year)</t>
  </si>
  <si>
    <t>PHA Yield from Sludge Solids (kg PHA/kg TS)</t>
  </si>
  <si>
    <t>https://www.mdpi.com/1996-1073/15/14/5255</t>
  </si>
  <si>
    <t>https://www.mdpi.com/2073-4441/12/4/1185/htm https://www.mdpi.com/2073-4441/12/4/1185</t>
  </si>
  <si>
    <t>Metcalf and Eddy: Wastewater Engineering: Treatment and Resource Recovery. Fifth Edition</t>
  </si>
  <si>
    <t>Title: Techno-economic assessment of producing bioplastics from sewage
Lead author: Mohammed Nazeer Khan (VITO), 
Contributors: Thomas Uhrig, Heidrun Steinmetz (TU Kaiserslautern), Jappe de Best (Avans), Amélie 
Raingue (NaturePlast)
Subject: WPT1 Deliverable 3.1 Techno-Economic Assessment (part 2 of 3)</t>
  </si>
  <si>
    <t>https://ec.europa.eu/research/participants/documents/downloadPublic?documentIds=080166e5a25bfb10&amp;appId=PPGMS</t>
  </si>
  <si>
    <t>https://www.sciencedirect.com/science/article/pii/S0921344917300277</t>
  </si>
  <si>
    <t>Section 7: System Perfromance Parameters</t>
  </si>
  <si>
    <t>The current and future grid mix can be edited in this section. Editing the future grid mix will change the energy circularity indicator but will not change the LCIA resutls as the EcoInvent data for grid electricity transmission in independent of these inputs. The future grid mix can be edited to apply a relative change to the ecoinvent data based on the current grid mix values. The ecoinvint data can be edited in Section 7 as needed.</t>
  </si>
  <si>
    <t xml:space="preserve">the wastewater sludge characteristics are required to calculate the quantity of sludge available for PHA/biogas production. If the sludge characterisitics are already known they can by added in this section. If the sludge characteristics are not known, the sludge production rate will be calculated based on the wastewater characteristics and default performance parameters that are listed in Section 7. </t>
  </si>
  <si>
    <t xml:space="preserve">This section contains all the performance parameters for sludge, PHA and Biogas production. Also included are parameters required to calculate energy requirements of these processes. </t>
  </si>
  <si>
    <r>
      <t>Instructions</t>
    </r>
    <r>
      <rPr>
        <sz val="11"/>
        <color theme="1"/>
        <rFont val="Calibri"/>
        <family val="2"/>
        <scheme val="minor"/>
      </rPr>
      <t xml:space="preserve"> This tool can be used to evaluate PHA production from wastewater based on the environmental impact, circularity and cost of production. This sheet contains the input parameters along with the calculation cells required to quantify the amount of PHA that can be produced per year and the consequences that arise from this. All the cells that are highlighted in beige can be edited by the user as needed based on the specific case being assessed. When editing a cell, select "User Defined" in the adjascent cell and input the desired value. This will highlight the edited cell in blue for clarity. If you wish to reinstate the default value, simply clear teh cell contents. The cell will automatically be repopulated with the default value. </t>
    </r>
    <r>
      <rPr>
        <b/>
        <sz val="14"/>
        <color theme="1"/>
        <rFont val="Calibri"/>
        <family val="2"/>
        <scheme val="minor"/>
      </rPr>
      <t xml:space="preserve">NB: Do use the blank space in this sheet for calculations. If data is entered in this blank space and subsequently deleted, excel will crash.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</si>
</sst>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0.0%"/>
    <numFmt numFmtId="165" formatCode="0.0"/>
    <numFmt numFmtId="166" formatCode="0.0000000"/>
    <numFmt numFmtId="167" formatCode="0.00000"/>
    <numFmt numFmtId="168" formatCode="0.000"/>
    <numFmt numFmtId="169" formatCode="0.000000"/>
    <numFmt numFmtId="170" formatCode="0.0000"/>
    <numFmt numFmtId="171" formatCode="0.00000000"/>
    <numFmt numFmtId="172" formatCode="0.00000000000"/>
    <numFmt numFmtId="173" formatCode="0.000E+00"/>
    <numFmt numFmtId="174" formatCode="&quot;€&quot;#,##0.00"/>
    <numFmt numFmtId="175" formatCode="#,##0.0&quot; dt&quot;;[Red]#,##0.0&quot; dt&quot;"/>
    <numFmt numFmtId="176" formatCode="_ [$€-2]\ * #,##0.00_ ;_ [$€-2]\ * \-#,##0.00_ ;_ [$€-2]\ * &quot;-&quot;??_ "/>
    <numFmt numFmtId="177" formatCode="#,##0&quot; kg&quot;;[Red]#,##0&quot; kg&quot;"/>
    <numFmt numFmtId="178" formatCode="#,##0&quot; Liter&quot;;[Red]#,##0&quot; Liter&quot;"/>
    <numFmt numFmtId="179" formatCode="#,##0&quot; m2&quot;;[Red]#,##0&quot; m2&quot;"/>
    <numFmt numFmtId="180" formatCode="#,##0&quot; m2a&quot;;[Red]#,##0&quot; m2a&quot;"/>
    <numFmt numFmtId="181" formatCode="#,##0.0&quot; m3&quot;;[Red]#,##0.0&quot; m3&quot;"/>
    <numFmt numFmtId="182" formatCode="0.00E+0;[=0]&quot;0&quot;;[Red]0.00E+0"/>
    <numFmt numFmtId="183" formatCode="0.00%;[=0]&quot;0&quot;;General"/>
    <numFmt numFmtId="184" formatCode="General_)"/>
    <numFmt numFmtId="185" formatCode="0.0%;[=0]&quot;0%&quot;;0.0%"/>
    <numFmt numFmtId="186" formatCode="[=0]&quot;&quot;;General"/>
    <numFmt numFmtId="187" formatCode="0.0E+0;[=0]&quot;0&quot;;0.0E+0"/>
    <numFmt numFmtId="188" formatCode="0.00E+0;[=0]&quot;0&quot;;0.00E+0"/>
    <numFmt numFmtId="189" formatCode="0.00E+0;[=0]&quot;-&quot;;0.00E+0"/>
    <numFmt numFmtId="190" formatCode="#,##0.0&quot; ZKh&quot;;[Red]#,##0.0&quot; ZKh&quot;"/>
  </numFmts>
  <fonts count="47">
    <font>
      <sz val="11"/>
      <color theme="1"/>
      <name val="Calibri"/>
      <family val="2"/>
      <scheme val="minor"/>
    </font>
    <font>
      <sz val="11"/>
      <color theme="1"/>
      <name val="Calibri"/>
      <family val="2"/>
      <scheme val="minor"/>
    </font>
    <font>
      <u/>
      <sz val="11"/>
      <color theme="10"/>
      <name val="Calibri"/>
      <family val="2"/>
      <scheme val="minor"/>
    </font>
    <font>
      <sz val="8"/>
      <name val="Calibri"/>
      <family val="2"/>
      <scheme val="minor"/>
    </font>
    <font>
      <sz val="11"/>
      <color rgb="FF006100"/>
      <name val="Calibri"/>
      <family val="2"/>
      <scheme val="minor"/>
    </font>
    <font>
      <vertAlign val="superscript"/>
      <sz val="11"/>
      <color theme="1"/>
      <name val="Calibri"/>
      <family val="2"/>
      <scheme val="minor"/>
    </font>
    <font>
      <vertAlign val="subscript"/>
      <sz val="11"/>
      <color theme="1"/>
      <name val="Calibri"/>
      <family val="2"/>
      <scheme val="minor"/>
    </font>
    <font>
      <b/>
      <sz val="11"/>
      <color theme="1"/>
      <name val="Calibri"/>
      <family val="2"/>
      <scheme val="minor"/>
    </font>
    <font>
      <b/>
      <sz val="11"/>
      <color rgb="FF006100"/>
      <name val="Calibri"/>
      <family val="2"/>
      <scheme val="minor"/>
    </font>
    <font>
      <sz val="10"/>
      <color rgb="FF000000"/>
      <name val="Trebuchet MS"/>
      <family val="2"/>
    </font>
    <font>
      <sz val="6"/>
      <color rgb="FF2C2C2C"/>
      <name val="Var(--inter)"/>
    </font>
    <font>
      <b/>
      <sz val="10"/>
      <color rgb="FFFFFFFF"/>
      <name val="Arial"/>
      <family val="2"/>
    </font>
    <font>
      <b/>
      <vertAlign val="superscript"/>
      <sz val="10"/>
      <color rgb="FFFFFFFF"/>
      <name val="Arial"/>
      <family val="2"/>
    </font>
    <font>
      <b/>
      <i/>
      <sz val="10"/>
      <color rgb="FFFFFFFF"/>
      <name val="Arial"/>
      <family val="2"/>
    </font>
    <font>
      <b/>
      <i/>
      <vertAlign val="subscript"/>
      <sz val="10"/>
      <color rgb="FFFFFFFF"/>
      <name val="Arial"/>
      <family val="2"/>
    </font>
    <font>
      <sz val="10"/>
      <color rgb="FF373D3F"/>
      <name val="Arial"/>
      <family val="2"/>
    </font>
    <font>
      <sz val="10"/>
      <color theme="1"/>
      <name val="Calibri"/>
      <family val="2"/>
      <scheme val="minor"/>
    </font>
    <font>
      <b/>
      <sz val="11"/>
      <color rgb="FF000000"/>
      <name val="Arial"/>
      <family val="2"/>
    </font>
    <font>
      <b/>
      <sz val="11"/>
      <color theme="0"/>
      <name val="Calibri"/>
      <family val="2"/>
      <scheme val="minor"/>
    </font>
    <font>
      <sz val="11"/>
      <name val="Calibri"/>
      <family val="2"/>
      <scheme val="minor"/>
    </font>
    <font>
      <sz val="11"/>
      <color rgb="FF000000"/>
      <name val="Calibri"/>
      <family val="2"/>
      <scheme val="minor"/>
    </font>
    <font>
      <sz val="9"/>
      <name val="Times New Roman"/>
      <family val="1"/>
    </font>
    <font>
      <sz val="9"/>
      <name val="Helvetica"/>
      <family val="2"/>
    </font>
    <font>
      <b/>
      <sz val="9"/>
      <name val="Times New Roman"/>
      <family val="1"/>
    </font>
    <font>
      <sz val="10"/>
      <name val="Arial"/>
      <family val="2"/>
    </font>
    <font>
      <sz val="7"/>
      <name val="Helvetica"/>
      <family val="2"/>
    </font>
    <font>
      <sz val="9"/>
      <name val="Helv"/>
    </font>
    <font>
      <sz val="9"/>
      <name val="Arial"/>
      <family val="2"/>
    </font>
    <font>
      <b/>
      <sz val="12"/>
      <name val="Times New Roman"/>
      <family val="1"/>
    </font>
    <font>
      <u/>
      <sz val="9.9"/>
      <color indexed="12"/>
      <name val="Helv"/>
    </font>
    <font>
      <sz val="10"/>
      <name val="Helv"/>
    </font>
    <font>
      <sz val="11"/>
      <color indexed="8"/>
      <name val="Calibri"/>
      <family val="2"/>
      <scheme val="minor"/>
    </font>
    <font>
      <sz val="11"/>
      <color indexed="8"/>
      <name val="Calibri"/>
      <family val="2"/>
    </font>
    <font>
      <sz val="8"/>
      <name val="Arial"/>
      <family val="2"/>
    </font>
    <font>
      <sz val="10"/>
      <name val="Trebuchet MS"/>
      <family val="2"/>
    </font>
    <font>
      <sz val="8"/>
      <name val="Helvetica"/>
      <family val="2"/>
    </font>
    <font>
      <sz val="12"/>
      <color theme="1"/>
      <name val="Calibri"/>
      <family val="2"/>
      <scheme val="minor"/>
    </font>
    <font>
      <b/>
      <sz val="12"/>
      <color theme="1"/>
      <name val="Calibri"/>
      <family val="2"/>
      <scheme val="minor"/>
    </font>
    <font>
      <b/>
      <sz val="11"/>
      <name val="Calibri"/>
      <family val="2"/>
      <scheme val="minor"/>
    </font>
    <font>
      <u/>
      <sz val="11"/>
      <name val="Calibri"/>
      <family val="2"/>
      <scheme val="minor"/>
    </font>
    <font>
      <b/>
      <vertAlign val="superscript"/>
      <sz val="11"/>
      <color theme="1"/>
      <name val="Calibri"/>
      <family val="2"/>
      <scheme val="minor"/>
    </font>
    <font>
      <b/>
      <sz val="10"/>
      <color rgb="FF000000"/>
      <name val="Trebuchet MS"/>
      <family val="2"/>
    </font>
    <font>
      <b/>
      <sz val="14"/>
      <color theme="1"/>
      <name val="Calibri"/>
      <family val="2"/>
      <scheme val="minor"/>
    </font>
    <font>
      <b/>
      <sz val="16"/>
      <color theme="1"/>
      <name val="Calibri"/>
      <family val="2"/>
      <scheme val="minor"/>
    </font>
    <font>
      <sz val="14"/>
      <color theme="1"/>
      <name val="Calibri"/>
      <family val="2"/>
      <scheme val="minor"/>
    </font>
    <font>
      <b/>
      <sz val="10"/>
      <color rgb="FF373D3F"/>
      <name val="Arial"/>
      <family val="2"/>
    </font>
    <font>
      <sz val="9"/>
      <color indexed="81"/>
      <name val="Tahoma"/>
      <family val="2"/>
    </font>
  </fonts>
  <fills count="27">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CC"/>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26"/>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theme="0"/>
        <bgColor theme="4"/>
      </patternFill>
    </fill>
    <fill>
      <patternFill patternType="solid">
        <fgColor theme="0"/>
        <bgColor theme="4" tint="0.79998168889431442"/>
      </patternFill>
    </fill>
    <fill>
      <patternFill patternType="solid">
        <fgColor theme="9" tint="0.79998168889431442"/>
        <bgColor indexed="64"/>
      </patternFill>
    </fill>
    <fill>
      <patternFill patternType="solid">
        <fgColor theme="0"/>
      </patternFill>
    </fill>
    <fill>
      <patternFill patternType="solid">
        <fgColor theme="7" tint="0.79998168889431442"/>
        <bgColor indexed="64"/>
      </patternFill>
    </fill>
    <fill>
      <patternFill patternType="solid">
        <fgColor theme="7" tint="0.79998168889431442"/>
        <bgColor theme="4" tint="0.79998168889431442"/>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7" tint="-0.249977111117893"/>
        <bgColor indexed="64"/>
      </patternFill>
    </fill>
  </fills>
  <borders count="43">
    <border>
      <left/>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right style="medium">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s>
  <cellStyleXfs count="1845">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4" fillId="2" borderId="0" applyNumberFormat="0" applyBorder="0" applyAlignment="0" applyProtection="0"/>
    <xf numFmtId="49" fontId="21" fillId="0" borderId="14" applyNumberFormat="0" applyFont="0" applyFill="0" applyBorder="0" applyProtection="0">
      <alignment horizontal="left" vertical="center" indent="2"/>
    </xf>
    <xf numFmtId="49" fontId="21" fillId="0" borderId="32" applyNumberFormat="0" applyFont="0" applyFill="0" applyBorder="0" applyProtection="0">
      <alignment horizontal="left" vertical="center" indent="5"/>
    </xf>
    <xf numFmtId="0" fontId="22" fillId="7" borderId="0">
      <alignment horizontal="left" vertical="center"/>
    </xf>
    <xf numFmtId="4" fontId="23" fillId="0" borderId="22" applyFill="0" applyBorder="0" applyProtection="0">
      <alignment horizontal="right" vertical="center"/>
    </xf>
    <xf numFmtId="43" fontId="24" fillId="0" borderId="0" applyFont="0" applyFill="0" applyBorder="0" applyAlignment="0" applyProtection="0"/>
    <xf numFmtId="0" fontId="25" fillId="0" borderId="0">
      <alignment vertical="center"/>
    </xf>
    <xf numFmtId="175" fontId="26" fillId="0" borderId="0"/>
    <xf numFmtId="0" fontId="22" fillId="8" borderId="0">
      <alignment horizontal="center" vertical="center" wrapText="1"/>
    </xf>
    <xf numFmtId="176" fontId="27" fillId="0" borderId="0" applyFont="0" applyFill="0" applyBorder="0" applyAlignment="0" applyProtection="0">
      <alignment vertical="center"/>
    </xf>
    <xf numFmtId="0" fontId="28"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177" fontId="26" fillId="0" borderId="0"/>
    <xf numFmtId="178" fontId="30" fillId="0" borderId="0"/>
    <xf numFmtId="0" fontId="22" fillId="9" borderId="0">
      <alignment horizontal="left" vertical="center"/>
    </xf>
    <xf numFmtId="179" fontId="30" fillId="0" borderId="0"/>
    <xf numFmtId="180" fontId="26" fillId="0" borderId="0"/>
    <xf numFmtId="181" fontId="30" fillId="0" borderId="0"/>
    <xf numFmtId="182" fontId="22" fillId="0" borderId="0">
      <alignment horizontal="center" vertical="center"/>
    </xf>
    <xf numFmtId="183" fontId="26" fillId="0" borderId="0"/>
    <xf numFmtId="0" fontId="3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1"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4" fontId="21" fillId="0" borderId="14" applyFill="0" applyBorder="0" applyProtection="0">
      <alignment horizontal="right" vertical="center"/>
    </xf>
    <xf numFmtId="49" fontId="23" fillId="0" borderId="14" applyNumberFormat="0" applyFill="0" applyBorder="0" applyProtection="0">
      <alignment horizontal="left" vertical="center"/>
    </xf>
    <xf numFmtId="0" fontId="21" fillId="0" borderId="14" applyNumberFormat="0" applyFill="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185" fontId="24" fillId="0" borderId="0"/>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0" fontId="22" fillId="0" borderId="0"/>
    <xf numFmtId="186" fontId="22" fillId="0" borderId="0">
      <alignment horizontal="center" vertical="center"/>
    </xf>
    <xf numFmtId="186" fontId="33" fillId="0" borderId="0">
      <alignment vertical="center" wrapText="1"/>
    </xf>
    <xf numFmtId="186" fontId="33" fillId="0" borderId="0">
      <alignment vertical="center" wrapText="1"/>
    </xf>
    <xf numFmtId="186" fontId="22" fillId="0" borderId="0">
      <alignment horizontal="center" vertical="center"/>
    </xf>
    <xf numFmtId="0" fontId="34" fillId="12" borderId="0">
      <alignment vertical="center" wrapText="1"/>
    </xf>
    <xf numFmtId="186" fontId="35" fillId="0" borderId="0">
      <alignment horizontal="center" vertical="center"/>
    </xf>
    <xf numFmtId="0" fontId="22" fillId="13" borderId="0">
      <alignment horizontal="left" vertical="center"/>
    </xf>
    <xf numFmtId="0" fontId="22" fillId="13" borderId="0">
      <alignment horizontal="left" vertical="center"/>
    </xf>
    <xf numFmtId="11" fontId="27" fillId="0" borderId="0">
      <alignment horizontal="center" vertical="center" wrapText="1"/>
    </xf>
    <xf numFmtId="187" fontId="27" fillId="0" borderId="0">
      <alignment horizontal="center" vertical="center"/>
    </xf>
    <xf numFmtId="188" fontId="24" fillId="0" borderId="0">
      <alignment horizontal="center" vertical="center"/>
    </xf>
    <xf numFmtId="189" fontId="24" fillId="0" borderId="0">
      <alignment horizontal="center" vertical="center"/>
    </xf>
    <xf numFmtId="189" fontId="24" fillId="0" borderId="0">
      <alignment horizontal="center" vertical="center"/>
    </xf>
    <xf numFmtId="190" fontId="30" fillId="0" borderId="0"/>
    <xf numFmtId="0" fontId="36" fillId="0" borderId="0"/>
    <xf numFmtId="0" fontId="36" fillId="0" borderId="0"/>
    <xf numFmtId="0" fontId="36" fillId="0" borderId="0"/>
    <xf numFmtId="0" fontId="36" fillId="0" borderId="0"/>
    <xf numFmtId="0" fontId="36" fillId="0" borderId="0"/>
    <xf numFmtId="43" fontId="1" fillId="0" borderId="0" applyFont="0" applyFill="0" applyBorder="0" applyAlignment="0" applyProtection="0"/>
    <xf numFmtId="43" fontId="24" fillId="0" borderId="0" applyFont="0" applyFill="0" applyBorder="0" applyAlignment="0" applyProtection="0"/>
  </cellStyleXfs>
  <cellXfs count="352">
    <xf numFmtId="0" fontId="0" fillId="0" borderId="0" xfId="0"/>
    <xf numFmtId="165" fontId="0" fillId="0" borderId="0" xfId="0" applyNumberFormat="1"/>
    <xf numFmtId="0" fontId="0" fillId="3" borderId="0" xfId="0" applyFill="1"/>
    <xf numFmtId="0" fontId="0" fillId="0" borderId="14" xfId="0" applyBorder="1"/>
    <xf numFmtId="0" fontId="0" fillId="5" borderId="0" xfId="0" applyFill="1"/>
    <xf numFmtId="0" fontId="0" fillId="14" borderId="0" xfId="0" applyFill="1"/>
    <xf numFmtId="0" fontId="0" fillId="14" borderId="5" xfId="0" applyFill="1" applyBorder="1"/>
    <xf numFmtId="0" fontId="0" fillId="14" borderId="7" xfId="0" applyFill="1" applyBorder="1"/>
    <xf numFmtId="0" fontId="0" fillId="14" borderId="14" xfId="0" applyFill="1" applyBorder="1"/>
    <xf numFmtId="0" fontId="0" fillId="14" borderId="13" xfId="0" applyFill="1" applyBorder="1"/>
    <xf numFmtId="0" fontId="0" fillId="14" borderId="26" xfId="0" applyFill="1" applyBorder="1"/>
    <xf numFmtId="0" fontId="0" fillId="14" borderId="10" xfId="0" applyFill="1" applyBorder="1"/>
    <xf numFmtId="0" fontId="0" fillId="14" borderId="28" xfId="0" applyFill="1" applyBorder="1"/>
    <xf numFmtId="0" fontId="0" fillId="14" borderId="18" xfId="0" applyFill="1" applyBorder="1"/>
    <xf numFmtId="0" fontId="0" fillId="14" borderId="16" xfId="0" applyFill="1" applyBorder="1"/>
    <xf numFmtId="0" fontId="0" fillId="14" borderId="22" xfId="0" applyFill="1" applyBorder="1"/>
    <xf numFmtId="0" fontId="7" fillId="14" borderId="0" xfId="0" applyFont="1" applyFill="1"/>
    <xf numFmtId="0" fontId="0" fillId="14" borderId="9" xfId="0" applyFill="1" applyBorder="1"/>
    <xf numFmtId="0" fontId="7" fillId="14" borderId="9" xfId="0" applyFont="1" applyFill="1" applyBorder="1"/>
    <xf numFmtId="165" fontId="0" fillId="14" borderId="16" xfId="0" applyNumberFormat="1" applyFill="1" applyBorder="1"/>
    <xf numFmtId="2" fontId="0" fillId="14" borderId="16" xfId="0" applyNumberFormat="1" applyFill="1" applyBorder="1"/>
    <xf numFmtId="0" fontId="9" fillId="0" borderId="14" xfId="0" applyFont="1" applyBorder="1"/>
    <xf numFmtId="0" fontId="0" fillId="14" borderId="8" xfId="0" applyFill="1" applyBorder="1"/>
    <xf numFmtId="174" fontId="0" fillId="14" borderId="2" xfId="0" applyNumberFormat="1" applyFill="1" applyBorder="1"/>
    <xf numFmtId="174" fontId="0" fillId="14" borderId="3" xfId="0" applyNumberFormat="1" applyFill="1" applyBorder="1"/>
    <xf numFmtId="174" fontId="0" fillId="14" borderId="4" xfId="0" applyNumberFormat="1" applyFill="1" applyBorder="1"/>
    <xf numFmtId="2" fontId="0" fillId="14" borderId="3" xfId="0" applyNumberFormat="1" applyFill="1" applyBorder="1"/>
    <xf numFmtId="2" fontId="0" fillId="14" borderId="4" xfId="0" applyNumberFormat="1" applyFill="1" applyBorder="1"/>
    <xf numFmtId="0" fontId="0" fillId="14" borderId="6" xfId="0" applyFill="1" applyBorder="1"/>
    <xf numFmtId="0" fontId="0" fillId="14" borderId="34" xfId="0" applyFill="1" applyBorder="1"/>
    <xf numFmtId="0" fontId="0" fillId="14" borderId="35" xfId="0" applyFill="1" applyBorder="1"/>
    <xf numFmtId="0" fontId="0" fillId="14" borderId="30" xfId="0" applyFill="1" applyBorder="1"/>
    <xf numFmtId="0" fontId="0" fillId="14" borderId="36" xfId="0" applyFill="1" applyBorder="1"/>
    <xf numFmtId="174" fontId="0" fillId="14" borderId="37" xfId="0" applyNumberFormat="1" applyFill="1" applyBorder="1"/>
    <xf numFmtId="2" fontId="0" fillId="14" borderId="37" xfId="0" applyNumberFormat="1" applyFill="1" applyBorder="1"/>
    <xf numFmtId="9" fontId="0" fillId="14" borderId="16" xfId="1" applyFont="1" applyFill="1" applyBorder="1"/>
    <xf numFmtId="0" fontId="0" fillId="14" borderId="27" xfId="0" applyFill="1" applyBorder="1"/>
    <xf numFmtId="9" fontId="0" fillId="14" borderId="27" xfId="0" applyNumberFormat="1" applyFill="1" applyBorder="1"/>
    <xf numFmtId="0" fontId="0" fillId="14" borderId="26" xfId="0" applyFill="1" applyBorder="1" applyAlignment="1">
      <alignment horizontal="left"/>
    </xf>
    <xf numFmtId="2" fontId="0" fillId="14" borderId="22" xfId="0" applyNumberFormat="1" applyFill="1" applyBorder="1"/>
    <xf numFmtId="0" fontId="0" fillId="5" borderId="0" xfId="0" applyFill="1" applyAlignment="1">
      <alignment wrapText="1"/>
    </xf>
    <xf numFmtId="0" fontId="0" fillId="14" borderId="12" xfId="0" applyFill="1" applyBorder="1"/>
    <xf numFmtId="0" fontId="7" fillId="14" borderId="14" xfId="0" applyFont="1" applyFill="1" applyBorder="1"/>
    <xf numFmtId="165" fontId="0" fillId="14" borderId="12" xfId="0" applyNumberFormat="1" applyFill="1" applyBorder="1"/>
    <xf numFmtId="165" fontId="0" fillId="14" borderId="27" xfId="0" applyNumberFormat="1" applyFill="1" applyBorder="1"/>
    <xf numFmtId="0" fontId="7" fillId="14" borderId="13" xfId="0" applyFont="1" applyFill="1" applyBorder="1"/>
    <xf numFmtId="0" fontId="7" fillId="14" borderId="25" xfId="0" applyFont="1" applyFill="1" applyBorder="1"/>
    <xf numFmtId="2" fontId="0" fillId="14" borderId="14" xfId="0" applyNumberFormat="1" applyFill="1" applyBorder="1"/>
    <xf numFmtId="2" fontId="0" fillId="14" borderId="18" xfId="0" applyNumberFormat="1" applyFill="1" applyBorder="1"/>
    <xf numFmtId="1" fontId="0" fillId="14" borderId="14" xfId="0" applyNumberFormat="1" applyFill="1" applyBorder="1"/>
    <xf numFmtId="165" fontId="0" fillId="14" borderId="14" xfId="0" applyNumberFormat="1" applyFill="1" applyBorder="1"/>
    <xf numFmtId="1" fontId="0" fillId="14" borderId="18" xfId="0" applyNumberFormat="1" applyFill="1" applyBorder="1"/>
    <xf numFmtId="0" fontId="2" fillId="14" borderId="14" xfId="2" applyFill="1" applyBorder="1" applyAlignment="1">
      <alignment horizontal="fill"/>
    </xf>
    <xf numFmtId="0" fontId="0" fillId="14" borderId="15" xfId="0" applyFill="1" applyBorder="1"/>
    <xf numFmtId="165" fontId="0" fillId="14" borderId="15" xfId="0" applyNumberFormat="1" applyFill="1" applyBorder="1"/>
    <xf numFmtId="0" fontId="2" fillId="14" borderId="15" xfId="2" applyFill="1" applyBorder="1" applyAlignment="1">
      <alignment horizontal="fill"/>
    </xf>
    <xf numFmtId="2" fontId="0" fillId="14" borderId="15" xfId="0" applyNumberFormat="1" applyFill="1" applyBorder="1"/>
    <xf numFmtId="0" fontId="17" fillId="14" borderId="14" xfId="0" applyFont="1" applyFill="1" applyBorder="1"/>
    <xf numFmtId="11" fontId="0" fillId="14" borderId="14" xfId="0" applyNumberFormat="1" applyFill="1" applyBorder="1"/>
    <xf numFmtId="0" fontId="0" fillId="14" borderId="15" xfId="0" applyFill="1" applyBorder="1" applyAlignment="1">
      <alignment horizontal="fill"/>
    </xf>
    <xf numFmtId="0" fontId="2" fillId="14" borderId="0" xfId="2" applyFill="1"/>
    <xf numFmtId="0" fontId="2" fillId="14" borderId="14" xfId="2" applyFill="1" applyBorder="1"/>
    <xf numFmtId="1" fontId="0" fillId="14" borderId="15" xfId="0" applyNumberFormat="1" applyFill="1" applyBorder="1"/>
    <xf numFmtId="0" fontId="2" fillId="14" borderId="15" xfId="2" applyFill="1" applyBorder="1"/>
    <xf numFmtId="0" fontId="0" fillId="14" borderId="26" xfId="0" applyFill="1" applyBorder="1" applyAlignment="1">
      <alignment wrapText="1"/>
    </xf>
    <xf numFmtId="9" fontId="0" fillId="14" borderId="27" xfId="1" applyFont="1" applyFill="1" applyBorder="1"/>
    <xf numFmtId="164" fontId="0" fillId="14" borderId="27" xfId="1" applyNumberFormat="1" applyFont="1" applyFill="1" applyBorder="1"/>
    <xf numFmtId="0" fontId="7" fillId="14" borderId="11" xfId="0" applyFont="1" applyFill="1" applyBorder="1"/>
    <xf numFmtId="0" fontId="0" fillId="14" borderId="16" xfId="0" applyFill="1" applyBorder="1" applyAlignment="1">
      <alignment horizontal="left" indent="1"/>
    </xf>
    <xf numFmtId="0" fontId="0" fillId="14" borderId="22" xfId="0" applyFill="1" applyBorder="1" applyAlignment="1">
      <alignment horizontal="left" indent="1"/>
    </xf>
    <xf numFmtId="2" fontId="7" fillId="14" borderId="14" xfId="0" applyNumberFormat="1" applyFont="1" applyFill="1" applyBorder="1"/>
    <xf numFmtId="2" fontId="7" fillId="14" borderId="18" xfId="0" applyNumberFormat="1" applyFont="1" applyFill="1" applyBorder="1"/>
    <xf numFmtId="0" fontId="41" fillId="14" borderId="25" xfId="0" applyFont="1" applyFill="1" applyBorder="1"/>
    <xf numFmtId="0" fontId="41" fillId="14" borderId="12" xfId="0" applyFont="1" applyFill="1" applyBorder="1"/>
    <xf numFmtId="0" fontId="7" fillId="14" borderId="14" xfId="0" applyFont="1" applyFill="1" applyBorder="1" applyAlignment="1">
      <alignment wrapText="1"/>
    </xf>
    <xf numFmtId="0" fontId="7" fillId="14" borderId="0" xfId="0" applyFont="1" applyFill="1" applyAlignment="1">
      <alignment wrapText="1"/>
    </xf>
    <xf numFmtId="0" fontId="41" fillId="14" borderId="0" xfId="0" applyFont="1" applyFill="1" applyAlignment="1">
      <alignment wrapText="1"/>
    </xf>
    <xf numFmtId="0" fontId="41" fillId="14" borderId="0" xfId="0" applyFont="1" applyFill="1"/>
    <xf numFmtId="1" fontId="7" fillId="14" borderId="14" xfId="0" applyNumberFormat="1" applyFont="1" applyFill="1" applyBorder="1"/>
    <xf numFmtId="2" fontId="0" fillId="14" borderId="27" xfId="0" applyNumberFormat="1" applyFill="1" applyBorder="1"/>
    <xf numFmtId="2" fontId="0" fillId="14" borderId="8" xfId="0" applyNumberFormat="1" applyFill="1" applyBorder="1"/>
    <xf numFmtId="0" fontId="0" fillId="14" borderId="11" xfId="0" applyFill="1" applyBorder="1"/>
    <xf numFmtId="171" fontId="0" fillId="14" borderId="14" xfId="0" applyNumberFormat="1" applyFill="1" applyBorder="1"/>
    <xf numFmtId="167" fontId="0" fillId="14" borderId="27" xfId="0" applyNumberFormat="1" applyFill="1" applyBorder="1"/>
    <xf numFmtId="167" fontId="0" fillId="14" borderId="8" xfId="0" applyNumberFormat="1" applyFill="1" applyBorder="1"/>
    <xf numFmtId="9" fontId="0" fillId="14" borderId="0" xfId="1" applyFont="1" applyFill="1" applyBorder="1"/>
    <xf numFmtId="2" fontId="0" fillId="14" borderId="0" xfId="0" applyNumberFormat="1" applyFill="1"/>
    <xf numFmtId="167" fontId="0" fillId="14" borderId="0" xfId="0" applyNumberFormat="1" applyFill="1"/>
    <xf numFmtId="169" fontId="0" fillId="14" borderId="0" xfId="0" applyNumberFormat="1" applyFill="1"/>
    <xf numFmtId="164" fontId="0" fillId="14" borderId="0" xfId="1" applyNumberFormat="1" applyFont="1" applyFill="1" applyBorder="1"/>
    <xf numFmtId="168" fontId="0" fillId="14" borderId="0" xfId="0" applyNumberFormat="1" applyFill="1"/>
    <xf numFmtId="1" fontId="0" fillId="14" borderId="0" xfId="0" applyNumberFormat="1" applyFill="1"/>
    <xf numFmtId="9" fontId="0" fillId="14" borderId="0" xfId="0" applyNumberFormat="1" applyFill="1"/>
    <xf numFmtId="0" fontId="7" fillId="14" borderId="26" xfId="0" applyFont="1" applyFill="1" applyBorder="1"/>
    <xf numFmtId="1" fontId="0" fillId="14" borderId="27" xfId="0" applyNumberFormat="1" applyFill="1" applyBorder="1"/>
    <xf numFmtId="1" fontId="0" fillId="14" borderId="8" xfId="0" applyNumberFormat="1" applyFill="1" applyBorder="1"/>
    <xf numFmtId="164" fontId="0" fillId="14" borderId="0" xfId="0" applyNumberFormat="1" applyFill="1"/>
    <xf numFmtId="0" fontId="0" fillId="14" borderId="0" xfId="0" applyFill="1" applyAlignment="1">
      <alignment wrapText="1"/>
    </xf>
    <xf numFmtId="0" fontId="0" fillId="14" borderId="17" xfId="0" applyFill="1" applyBorder="1"/>
    <xf numFmtId="9" fontId="0" fillId="14" borderId="22" xfId="1" applyFont="1" applyFill="1" applyBorder="1"/>
    <xf numFmtId="0" fontId="38" fillId="15" borderId="0" xfId="0" applyFont="1" applyFill="1" applyAlignment="1">
      <alignment horizontal="center"/>
    </xf>
    <xf numFmtId="0" fontId="0" fillId="16" borderId="0" xfId="0" applyFill="1"/>
    <xf numFmtId="0" fontId="0" fillId="14" borderId="14" xfId="0" applyFill="1" applyBorder="1" applyAlignment="1">
      <alignment wrapText="1"/>
    </xf>
    <xf numFmtId="168" fontId="0" fillId="14" borderId="14" xfId="0" applyNumberFormat="1" applyFill="1" applyBorder="1"/>
    <xf numFmtId="11" fontId="0" fillId="14" borderId="15" xfId="0" applyNumberFormat="1" applyFill="1" applyBorder="1"/>
    <xf numFmtId="165" fontId="0" fillId="14" borderId="0" xfId="0" applyNumberFormat="1" applyFill="1"/>
    <xf numFmtId="11" fontId="0" fillId="14" borderId="0" xfId="0" applyNumberFormat="1" applyFill="1"/>
    <xf numFmtId="0" fontId="7" fillId="14" borderId="0" xfId="0" applyFont="1" applyFill="1" applyAlignment="1">
      <alignment horizontal="center"/>
    </xf>
    <xf numFmtId="165" fontId="0" fillId="16" borderId="0" xfId="0" applyNumberFormat="1" applyFill="1"/>
    <xf numFmtId="0" fontId="0" fillId="14" borderId="0" xfId="0" applyFill="1" applyAlignment="1">
      <alignment horizontal="left"/>
    </xf>
    <xf numFmtId="170" fontId="0" fillId="14" borderId="0" xfId="0" applyNumberFormat="1" applyFill="1"/>
    <xf numFmtId="0" fontId="9" fillId="14" borderId="14" xfId="0" applyFont="1" applyFill="1" applyBorder="1"/>
    <xf numFmtId="1" fontId="0" fillId="14" borderId="0" xfId="1" applyNumberFormat="1" applyFont="1" applyFill="1"/>
    <xf numFmtId="9" fontId="0" fillId="14" borderId="0" xfId="1" applyFont="1" applyFill="1"/>
    <xf numFmtId="9" fontId="0" fillId="14" borderId="8" xfId="1" applyFont="1" applyFill="1" applyBorder="1"/>
    <xf numFmtId="1" fontId="0" fillId="14" borderId="16" xfId="1" applyNumberFormat="1" applyFont="1" applyFill="1" applyBorder="1"/>
    <xf numFmtId="1" fontId="0" fillId="14" borderId="22" xfId="1" applyNumberFormat="1" applyFont="1" applyFill="1" applyBorder="1"/>
    <xf numFmtId="0" fontId="37" fillId="14" borderId="14" xfId="0" applyFont="1" applyFill="1" applyBorder="1"/>
    <xf numFmtId="0" fontId="37" fillId="16" borderId="14" xfId="0" applyFont="1" applyFill="1" applyBorder="1"/>
    <xf numFmtId="1" fontId="37" fillId="14" borderId="9" xfId="1" applyNumberFormat="1" applyFont="1" applyFill="1" applyBorder="1"/>
    <xf numFmtId="0" fontId="37" fillId="14" borderId="9" xfId="0" applyFont="1" applyFill="1" applyBorder="1"/>
    <xf numFmtId="0" fontId="7" fillId="14" borderId="14" xfId="0" applyFont="1" applyFill="1" applyBorder="1" applyAlignment="1">
      <alignment horizontal="center"/>
    </xf>
    <xf numFmtId="173" fontId="0" fillId="14" borderId="16" xfId="0" applyNumberFormat="1" applyFill="1" applyBorder="1"/>
    <xf numFmtId="173" fontId="0" fillId="14" borderId="22" xfId="0" applyNumberFormat="1" applyFill="1" applyBorder="1"/>
    <xf numFmtId="1" fontId="0" fillId="14" borderId="12" xfId="0" applyNumberFormat="1" applyFill="1" applyBorder="1"/>
    <xf numFmtId="0" fontId="9" fillId="14" borderId="14" xfId="0" applyFont="1" applyFill="1" applyBorder="1" applyAlignment="1">
      <alignment wrapText="1"/>
    </xf>
    <xf numFmtId="10" fontId="0" fillId="14" borderId="0" xfId="0" applyNumberFormat="1" applyFill="1"/>
    <xf numFmtId="0" fontId="43" fillId="14" borderId="0" xfId="0" applyFont="1" applyFill="1" applyAlignment="1">
      <alignment horizontal="center"/>
    </xf>
    <xf numFmtId="0" fontId="0" fillId="14" borderId="0" xfId="0" applyFill="1" applyAlignment="1">
      <alignment horizontal="center"/>
    </xf>
    <xf numFmtId="0" fontId="0" fillId="14" borderId="0" xfId="0" applyFill="1" applyAlignment="1">
      <alignment horizontal="left" indent="1"/>
    </xf>
    <xf numFmtId="0" fontId="2" fillId="14" borderId="0" xfId="2" applyFill="1" applyBorder="1" applyAlignment="1">
      <alignment horizontal="fill"/>
    </xf>
    <xf numFmtId="0" fontId="0" fillId="14" borderId="0" xfId="0" applyFill="1" applyAlignment="1">
      <alignment horizontal="fill"/>
    </xf>
    <xf numFmtId="0" fontId="2" fillId="14" borderId="0" xfId="2" applyFill="1" applyBorder="1"/>
    <xf numFmtId="2" fontId="0" fillId="14" borderId="0" xfId="1" applyNumberFormat="1" applyFont="1" applyFill="1"/>
    <xf numFmtId="0" fontId="9" fillId="14" borderId="0" xfId="0" applyFont="1" applyFill="1"/>
    <xf numFmtId="0" fontId="9" fillId="14" borderId="0" xfId="0" applyFont="1" applyFill="1" applyAlignment="1">
      <alignment wrapText="1"/>
    </xf>
    <xf numFmtId="0" fontId="11"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xf numFmtId="4" fontId="0" fillId="14" borderId="14" xfId="0" applyNumberFormat="1" applyFill="1" applyBorder="1"/>
    <xf numFmtId="1" fontId="0" fillId="14" borderId="14" xfId="0" applyNumberFormat="1" applyFill="1" applyBorder="1" applyAlignment="1">
      <alignment wrapText="1"/>
    </xf>
    <xf numFmtId="1" fontId="0" fillId="14" borderId="27" xfId="0" applyNumberFormat="1" applyFill="1" applyBorder="1" applyAlignment="1">
      <alignment horizontal="right"/>
    </xf>
    <xf numFmtId="165" fontId="0" fillId="14" borderId="8" xfId="0" applyNumberFormat="1" applyFill="1" applyBorder="1"/>
    <xf numFmtId="0" fontId="0" fillId="14" borderId="11" xfId="0" applyFill="1" applyBorder="1" applyAlignment="1">
      <alignment horizontal="center"/>
    </xf>
    <xf numFmtId="0" fontId="0" fillId="14" borderId="9" xfId="0" applyFill="1" applyBorder="1" applyAlignment="1">
      <alignment horizontal="center"/>
    </xf>
    <xf numFmtId="0" fontId="0" fillId="14" borderId="26" xfId="0" applyFill="1" applyBorder="1" applyAlignment="1">
      <alignment horizontal="center"/>
    </xf>
    <xf numFmtId="0" fontId="0" fillId="14" borderId="27" xfId="0" applyFill="1" applyBorder="1" applyAlignment="1">
      <alignment horizontal="center"/>
    </xf>
    <xf numFmtId="0" fontId="0" fillId="14" borderId="13" xfId="0" applyFill="1" applyBorder="1" applyAlignment="1">
      <alignment horizontal="center"/>
    </xf>
    <xf numFmtId="0" fontId="0" fillId="14" borderId="12" xfId="0" applyFill="1" applyBorder="1" applyAlignment="1">
      <alignment horizontal="center"/>
    </xf>
    <xf numFmtId="0" fontId="0" fillId="14" borderId="11" xfId="0" applyFill="1" applyBorder="1" applyAlignment="1">
      <alignment horizontal="center" wrapText="1"/>
    </xf>
    <xf numFmtId="0" fontId="0" fillId="14" borderId="9" xfId="0" applyFill="1" applyBorder="1" applyAlignment="1">
      <alignment horizontal="center" wrapText="1"/>
    </xf>
    <xf numFmtId="0" fontId="0" fillId="14" borderId="27" xfId="0" applyFill="1" applyBorder="1" applyAlignment="1">
      <alignment horizontal="left"/>
    </xf>
    <xf numFmtId="0" fontId="0" fillId="14" borderId="13" xfId="0" applyFill="1" applyBorder="1" applyAlignment="1">
      <alignment horizontal="center" wrapText="1"/>
    </xf>
    <xf numFmtId="0" fontId="0" fillId="14" borderId="12" xfId="0" applyFill="1" applyBorder="1" applyAlignment="1">
      <alignment horizontal="center" wrapText="1"/>
    </xf>
    <xf numFmtId="0" fontId="0" fillId="14" borderId="26" xfId="0" applyFill="1" applyBorder="1" applyAlignment="1">
      <alignment horizontal="center" wrapText="1"/>
    </xf>
    <xf numFmtId="0" fontId="0" fillId="14" borderId="27" xfId="0" applyFill="1" applyBorder="1" applyAlignment="1">
      <alignment horizontal="center" wrapText="1"/>
    </xf>
    <xf numFmtId="0" fontId="7" fillId="14" borderId="9" xfId="0" applyFont="1" applyFill="1" applyBorder="1" applyAlignment="1">
      <alignment horizontal="center"/>
    </xf>
    <xf numFmtId="0" fontId="0" fillId="14" borderId="18" xfId="0" applyFill="1" applyBorder="1" applyAlignment="1">
      <alignment horizontal="center"/>
    </xf>
    <xf numFmtId="0" fontId="7" fillId="14" borderId="11" xfId="0" applyFont="1" applyFill="1" applyBorder="1" applyAlignment="1">
      <alignment horizontal="center"/>
    </xf>
    <xf numFmtId="170" fontId="0" fillId="14" borderId="14" xfId="0" applyNumberFormat="1" applyFill="1" applyBorder="1"/>
    <xf numFmtId="0" fontId="4" fillId="14" borderId="0" xfId="3" applyFill="1"/>
    <xf numFmtId="0" fontId="0" fillId="14" borderId="22" xfId="0" applyFill="1" applyBorder="1" applyAlignment="1">
      <alignment horizontal="center"/>
    </xf>
    <xf numFmtId="0" fontId="7" fillId="14" borderId="17" xfId="0" applyFont="1" applyFill="1" applyBorder="1" applyAlignment="1">
      <alignment horizontal="center"/>
    </xf>
    <xf numFmtId="164" fontId="0" fillId="14" borderId="0" xfId="1" applyNumberFormat="1" applyFont="1" applyFill="1"/>
    <xf numFmtId="0" fontId="4" fillId="18" borderId="11" xfId="3" applyFill="1" applyBorder="1" applyAlignment="1"/>
    <xf numFmtId="0" fontId="4" fillId="18" borderId="17" xfId="3" applyFill="1" applyBorder="1" applyAlignment="1"/>
    <xf numFmtId="0" fontId="4" fillId="18" borderId="9" xfId="3" applyFill="1" applyBorder="1" applyAlignment="1"/>
    <xf numFmtId="9" fontId="0" fillId="14" borderId="14" xfId="0" applyNumberFormat="1" applyFill="1" applyBorder="1"/>
    <xf numFmtId="174" fontId="0" fillId="14" borderId="0" xfId="0" applyNumberFormat="1" applyFill="1"/>
    <xf numFmtId="0" fontId="10" fillId="14" borderId="0" xfId="0" applyFont="1" applyFill="1" applyAlignment="1">
      <alignment vertical="center" wrapText="1"/>
    </xf>
    <xf numFmtId="171" fontId="0" fillId="14" borderId="0" xfId="0" applyNumberFormat="1" applyFill="1" applyAlignment="1">
      <alignment horizontal="left" indent="2"/>
    </xf>
    <xf numFmtId="0" fontId="9" fillId="14" borderId="0" xfId="0" applyFont="1" applyFill="1" applyAlignment="1">
      <alignment horizontal="left" vertical="center" wrapText="1"/>
    </xf>
    <xf numFmtId="0" fontId="43" fillId="14" borderId="0" xfId="0" applyFont="1" applyFill="1"/>
    <xf numFmtId="0" fontId="43" fillId="3" borderId="0" xfId="0" applyFont="1" applyFill="1"/>
    <xf numFmtId="0" fontId="0" fillId="19" borderId="0" xfId="0" applyFill="1"/>
    <xf numFmtId="0" fontId="37" fillId="14" borderId="0" xfId="0" applyFont="1" applyFill="1"/>
    <xf numFmtId="0" fontId="0" fillId="19" borderId="29" xfId="0" applyFill="1" applyBorder="1"/>
    <xf numFmtId="9" fontId="0" fillId="19" borderId="29" xfId="1" applyFont="1" applyFill="1" applyBorder="1"/>
    <xf numFmtId="9" fontId="0" fillId="3" borderId="0" xfId="0" applyNumberFormat="1" applyFill="1"/>
    <xf numFmtId="165" fontId="0" fillId="19" borderId="29" xfId="0" applyNumberFormat="1" applyFill="1" applyBorder="1"/>
    <xf numFmtId="2" fontId="0" fillId="19" borderId="29" xfId="0" applyNumberFormat="1" applyFill="1" applyBorder="1"/>
    <xf numFmtId="0" fontId="7" fillId="19" borderId="29" xfId="0" applyFont="1" applyFill="1" applyBorder="1"/>
    <xf numFmtId="164" fontId="0" fillId="19" borderId="29" xfId="1" applyNumberFormat="1" applyFont="1" applyFill="1" applyBorder="1"/>
    <xf numFmtId="9" fontId="0" fillId="19" borderId="29" xfId="0" applyNumberFormat="1" applyFill="1" applyBorder="1"/>
    <xf numFmtId="0" fontId="0" fillId="19" borderId="29" xfId="0" applyFill="1" applyBorder="1" applyAlignment="1">
      <alignment wrapText="1"/>
    </xf>
    <xf numFmtId="0" fontId="0" fillId="4" borderId="0" xfId="0" applyFill="1"/>
    <xf numFmtId="0" fontId="38" fillId="14" borderId="0" xfId="0" applyFont="1" applyFill="1" applyAlignment="1">
      <alignment horizontal="center"/>
    </xf>
    <xf numFmtId="0" fontId="19" fillId="14" borderId="0" xfId="0" applyFont="1" applyFill="1"/>
    <xf numFmtId="0" fontId="39" fillId="14" borderId="0" xfId="2" applyFont="1" applyFill="1" applyBorder="1" applyAlignment="1">
      <alignment horizontal="fill"/>
    </xf>
    <xf numFmtId="0" fontId="19" fillId="14" borderId="0" xfId="0" applyFont="1" applyFill="1" applyAlignment="1">
      <alignment horizontal="fill"/>
    </xf>
    <xf numFmtId="0" fontId="2" fillId="16" borderId="0" xfId="2" applyFill="1" applyBorder="1" applyAlignment="1">
      <alignment horizontal="fill"/>
    </xf>
    <xf numFmtId="0" fontId="38" fillId="15" borderId="0" xfId="0" applyFont="1" applyFill="1"/>
    <xf numFmtId="0" fontId="18" fillId="15" borderId="0" xfId="0" applyFont="1" applyFill="1"/>
    <xf numFmtId="0" fontId="0" fillId="16" borderId="0" xfId="0" applyFill="1" applyAlignment="1">
      <alignment horizontal="fill"/>
    </xf>
    <xf numFmtId="166" fontId="0" fillId="14" borderId="0" xfId="0" applyNumberFormat="1" applyFill="1"/>
    <xf numFmtId="0" fontId="19" fillId="16" borderId="0" xfId="0" applyFont="1" applyFill="1"/>
    <xf numFmtId="0" fontId="19" fillId="16" borderId="0" xfId="0" applyFont="1" applyFill="1" applyAlignment="1">
      <alignment horizontal="fill"/>
    </xf>
    <xf numFmtId="0" fontId="38" fillId="14" borderId="0" xfId="0" applyFont="1" applyFill="1"/>
    <xf numFmtId="171" fontId="0" fillId="14" borderId="0" xfId="0" applyNumberFormat="1" applyFill="1" applyAlignment="1">
      <alignment horizontal="left" wrapText="1"/>
    </xf>
    <xf numFmtId="171" fontId="0" fillId="14" borderId="0" xfId="0" applyNumberFormat="1" applyFill="1"/>
    <xf numFmtId="171" fontId="0" fillId="14" borderId="0" xfId="0" applyNumberFormat="1" applyFill="1" applyAlignment="1">
      <alignment wrapText="1"/>
    </xf>
    <xf numFmtId="165" fontId="0" fillId="20" borderId="0" xfId="0" applyNumberFormat="1" applyFill="1"/>
    <xf numFmtId="0" fontId="42" fillId="14" borderId="14" xfId="0" applyFont="1" applyFill="1" applyBorder="1"/>
    <xf numFmtId="0" fontId="0" fillId="14" borderId="18" xfId="0" applyFill="1" applyBorder="1" applyAlignment="1">
      <alignment horizontal="left" indent="1"/>
    </xf>
    <xf numFmtId="174" fontId="0" fillId="14" borderId="27" xfId="0" applyNumberFormat="1" applyFill="1" applyBorder="1"/>
    <xf numFmtId="174" fontId="0" fillId="14" borderId="8" xfId="0" applyNumberFormat="1" applyFill="1" applyBorder="1"/>
    <xf numFmtId="0" fontId="0" fillId="16" borderId="16" xfId="0" applyFill="1" applyBorder="1" applyAlignment="1">
      <alignment horizontal="left" indent="1"/>
    </xf>
    <xf numFmtId="0" fontId="0" fillId="16" borderId="22" xfId="0" applyFill="1" applyBorder="1" applyAlignment="1">
      <alignment horizontal="left" indent="1"/>
    </xf>
    <xf numFmtId="171" fontId="0" fillId="14" borderId="0" xfId="0" applyNumberFormat="1" applyFill="1" applyAlignment="1">
      <alignment horizontal="left" wrapText="1" indent="1"/>
    </xf>
    <xf numFmtId="171" fontId="0" fillId="19" borderId="29" xfId="0" applyNumberFormat="1" applyFill="1" applyBorder="1"/>
    <xf numFmtId="171" fontId="0" fillId="14" borderId="0" xfId="0" applyNumberFormat="1" applyFill="1" applyAlignment="1">
      <alignment horizontal="left" wrapText="1" indent="2"/>
    </xf>
    <xf numFmtId="0" fontId="7" fillId="5" borderId="0" xfId="0" applyFont="1" applyFill="1"/>
    <xf numFmtId="1" fontId="0" fillId="14" borderId="26" xfId="0" applyNumberFormat="1" applyFill="1" applyBorder="1"/>
    <xf numFmtId="9" fontId="0" fillId="14" borderId="26" xfId="0" applyNumberFormat="1" applyFill="1" applyBorder="1"/>
    <xf numFmtId="0" fontId="0" fillId="21" borderId="0" xfId="0" applyFill="1"/>
    <xf numFmtId="0" fontId="0" fillId="21" borderId="0" xfId="0" applyFill="1" applyAlignment="1">
      <alignment horizontal="center"/>
    </xf>
    <xf numFmtId="0" fontId="7" fillId="21" borderId="0" xfId="0" applyFont="1" applyFill="1" applyAlignment="1">
      <alignment horizontal="left"/>
    </xf>
    <xf numFmtId="0" fontId="0" fillId="22" borderId="0" xfId="0" applyFill="1"/>
    <xf numFmtId="0" fontId="45" fillId="22" borderId="0" xfId="0" applyFont="1" applyFill="1" applyAlignment="1">
      <alignment horizontal="left" vertical="center" wrapText="1"/>
    </xf>
    <xf numFmtId="0" fontId="15" fillId="22" borderId="0" xfId="0" applyFont="1" applyFill="1" applyAlignment="1">
      <alignment horizontal="center" vertical="center" wrapText="1"/>
    </xf>
    <xf numFmtId="0" fontId="16" fillId="22" borderId="0" xfId="0" applyFont="1" applyFill="1"/>
    <xf numFmtId="0" fontId="0" fillId="23" borderId="0" xfId="0" applyFill="1"/>
    <xf numFmtId="0" fontId="7" fillId="23" borderId="0" xfId="0" applyFont="1" applyFill="1"/>
    <xf numFmtId="165" fontId="0" fillId="23" borderId="0" xfId="0" applyNumberFormat="1" applyFill="1"/>
    <xf numFmtId="0" fontId="0" fillId="24" borderId="0" xfId="0" applyFill="1"/>
    <xf numFmtId="0" fontId="7" fillId="24" borderId="0" xfId="0" applyFont="1" applyFill="1"/>
    <xf numFmtId="0" fontId="0" fillId="25" borderId="0" xfId="0" applyFill="1"/>
    <xf numFmtId="0" fontId="7" fillId="25" borderId="0" xfId="0" applyFont="1" applyFill="1"/>
    <xf numFmtId="0" fontId="0" fillId="26" borderId="0" xfId="0" applyFill="1"/>
    <xf numFmtId="0" fontId="7" fillId="26" borderId="0" xfId="0" applyFont="1" applyFill="1"/>
    <xf numFmtId="0" fontId="0" fillId="3" borderId="0" xfId="0" applyFill="1" applyAlignment="1">
      <alignment horizontal="center"/>
    </xf>
    <xf numFmtId="2" fontId="0" fillId="19" borderId="29" xfId="0" applyNumberFormat="1" applyFill="1" applyBorder="1" applyAlignment="1">
      <alignment horizontal="center"/>
    </xf>
    <xf numFmtId="169" fontId="0" fillId="14" borderId="14" xfId="0" applyNumberFormat="1" applyFill="1" applyBorder="1"/>
    <xf numFmtId="165" fontId="0" fillId="14" borderId="18" xfId="0" applyNumberFormat="1" applyFill="1" applyBorder="1"/>
    <xf numFmtId="0" fontId="44" fillId="14" borderId="16" xfId="0" applyFont="1" applyFill="1" applyBorder="1" applyAlignment="1">
      <alignment horizontal="left" indent="1"/>
    </xf>
    <xf numFmtId="0" fontId="44" fillId="14" borderId="18" xfId="0" applyFont="1" applyFill="1" applyBorder="1" applyAlignment="1">
      <alignment horizontal="left" indent="1"/>
    </xf>
    <xf numFmtId="0" fontId="0" fillId="14" borderId="27" xfId="0" applyFill="1" applyBorder="1" applyAlignment="1">
      <alignment horizontal="fill"/>
    </xf>
    <xf numFmtId="0" fontId="0" fillId="14" borderId="4" xfId="0" applyFill="1" applyBorder="1"/>
    <xf numFmtId="164" fontId="0" fillId="14" borderId="3" xfId="1" applyNumberFormat="1" applyFont="1" applyFill="1" applyBorder="1"/>
    <xf numFmtId="167" fontId="0" fillId="14" borderId="32" xfId="0" applyNumberFormat="1" applyFill="1" applyBorder="1"/>
    <xf numFmtId="1" fontId="0" fillId="14" borderId="11" xfId="0" applyNumberFormat="1" applyFill="1" applyBorder="1"/>
    <xf numFmtId="168" fontId="0" fillId="14" borderId="32" xfId="0" applyNumberFormat="1" applyFill="1" applyBorder="1"/>
    <xf numFmtId="9" fontId="0" fillId="14" borderId="42" xfId="1" applyFont="1" applyFill="1" applyBorder="1"/>
    <xf numFmtId="168" fontId="0" fillId="14" borderId="3" xfId="0" applyNumberFormat="1" applyFill="1" applyBorder="1"/>
    <xf numFmtId="168" fontId="0" fillId="14" borderId="40" xfId="0" applyNumberFormat="1" applyFill="1" applyBorder="1"/>
    <xf numFmtId="0" fontId="0" fillId="14" borderId="2" xfId="0" applyFill="1" applyBorder="1"/>
    <xf numFmtId="0" fontId="0" fillId="14" borderId="39" xfId="0" applyFill="1" applyBorder="1"/>
    <xf numFmtId="0" fontId="0" fillId="14" borderId="38" xfId="0" applyFill="1" applyBorder="1"/>
    <xf numFmtId="0" fontId="7" fillId="14" borderId="1" xfId="0" applyFont="1" applyFill="1" applyBorder="1" applyAlignment="1">
      <alignment horizontal="left"/>
    </xf>
    <xf numFmtId="0" fontId="7" fillId="14" borderId="0" xfId="0" applyFont="1" applyFill="1" applyAlignment="1">
      <alignment horizontal="left"/>
    </xf>
    <xf numFmtId="0" fontId="41" fillId="14" borderId="1" xfId="0" applyFont="1" applyFill="1" applyBorder="1"/>
    <xf numFmtId="0" fontId="7" fillId="14" borderId="3" xfId="0" applyFont="1" applyFill="1" applyBorder="1" applyAlignment="1">
      <alignment horizontal="center"/>
    </xf>
    <xf numFmtId="0" fontId="7" fillId="14" borderId="1" xfId="0" applyFont="1" applyFill="1" applyBorder="1" applyAlignment="1">
      <alignment horizontal="center"/>
    </xf>
    <xf numFmtId="2" fontId="9" fillId="14" borderId="32" xfId="0" applyNumberFormat="1" applyFont="1" applyFill="1" applyBorder="1" applyAlignment="1">
      <alignment horizontal="right"/>
    </xf>
    <xf numFmtId="2" fontId="9" fillId="14" borderId="32" xfId="0" applyNumberFormat="1" applyFont="1" applyFill="1" applyBorder="1" applyAlignment="1">
      <alignment horizontal="right" vertical="center" wrapText="1"/>
    </xf>
    <xf numFmtId="168" fontId="0" fillId="14" borderId="11" xfId="0" applyNumberFormat="1" applyFill="1" applyBorder="1"/>
    <xf numFmtId="9" fontId="0" fillId="14" borderId="4" xfId="1" applyFont="1" applyFill="1" applyBorder="1"/>
    <xf numFmtId="0" fontId="0" fillId="14" borderId="42" xfId="0" applyFill="1" applyBorder="1"/>
    <xf numFmtId="0" fontId="0" fillId="14" borderId="41" xfId="0" applyFill="1" applyBorder="1"/>
    <xf numFmtId="9" fontId="0" fillId="14" borderId="3" xfId="1" applyFont="1" applyFill="1" applyBorder="1"/>
    <xf numFmtId="0" fontId="0" fillId="14" borderId="3" xfId="0" applyFill="1" applyBorder="1"/>
    <xf numFmtId="0" fontId="0" fillId="14" borderId="1" xfId="0" applyFill="1" applyBorder="1"/>
    <xf numFmtId="0" fontId="0" fillId="14" borderId="40" xfId="0" applyFill="1" applyBorder="1"/>
    <xf numFmtId="2" fontId="0" fillId="14" borderId="32" xfId="0" applyNumberFormat="1" applyFill="1" applyBorder="1"/>
    <xf numFmtId="0" fontId="7" fillId="14" borderId="3" xfId="0" applyFont="1" applyFill="1" applyBorder="1"/>
    <xf numFmtId="0" fontId="7" fillId="14" borderId="1" xfId="0" applyFont="1" applyFill="1" applyBorder="1"/>
    <xf numFmtId="171" fontId="19" fillId="14" borderId="0" xfId="0" applyNumberFormat="1" applyFont="1" applyFill="1" applyAlignment="1">
      <alignment horizontal="left"/>
    </xf>
    <xf numFmtId="171" fontId="0" fillId="19" borderId="29" xfId="0" applyNumberFormat="1" applyFill="1" applyBorder="1" applyAlignment="1">
      <alignment horizontal="right"/>
    </xf>
    <xf numFmtId="171" fontId="19" fillId="14" borderId="0" xfId="0" applyNumberFormat="1" applyFont="1" applyFill="1" applyAlignment="1">
      <alignment horizontal="left" wrapText="1" indent="1"/>
    </xf>
    <xf numFmtId="11" fontId="0" fillId="14" borderId="22" xfId="0" applyNumberFormat="1" applyFill="1" applyBorder="1" applyAlignment="1">
      <alignment horizontal="right"/>
    </xf>
    <xf numFmtId="11" fontId="20" fillId="0" borderId="0" xfId="0" applyNumberFormat="1" applyFont="1" applyAlignment="1">
      <alignment horizontal="right" vertical="top" wrapText="1"/>
    </xf>
    <xf numFmtId="11" fontId="20" fillId="0" borderId="0" xfId="0" applyNumberFormat="1" applyFont="1" applyAlignment="1">
      <alignment horizontal="right" wrapText="1"/>
    </xf>
    <xf numFmtId="0" fontId="0" fillId="14" borderId="16" xfId="0" applyFill="1" applyBorder="1" applyAlignment="1">
      <alignment horizontal="right"/>
    </xf>
    <xf numFmtId="11" fontId="0" fillId="14" borderId="16" xfId="0" applyNumberFormat="1" applyFill="1" applyBorder="1" applyAlignment="1">
      <alignment horizontal="right"/>
    </xf>
    <xf numFmtId="2" fontId="0" fillId="14" borderId="16" xfId="0" applyNumberFormat="1" applyFill="1" applyBorder="1" applyAlignment="1">
      <alignment horizontal="right"/>
    </xf>
    <xf numFmtId="11" fontId="0" fillId="0" borderId="0" xfId="0" applyNumberFormat="1" applyAlignment="1">
      <alignment horizontal="right"/>
    </xf>
    <xf numFmtId="0" fontId="7" fillId="14" borderId="2" xfId="0" applyFont="1" applyFill="1" applyBorder="1"/>
    <xf numFmtId="0" fontId="7" fillId="14" borderId="39" xfId="0" applyFont="1" applyFill="1" applyBorder="1"/>
    <xf numFmtId="0" fontId="7" fillId="14" borderId="38" xfId="0" applyFont="1" applyFill="1" applyBorder="1"/>
    <xf numFmtId="0" fontId="0" fillId="19" borderId="5" xfId="0" applyFill="1" applyBorder="1"/>
    <xf numFmtId="165" fontId="0" fillId="0" borderId="35" xfId="0" applyNumberFormat="1" applyBorder="1"/>
    <xf numFmtId="165" fontId="0" fillId="19" borderId="5" xfId="0" applyNumberFormat="1" applyFill="1" applyBorder="1"/>
    <xf numFmtId="165" fontId="7" fillId="0" borderId="0" xfId="0" applyNumberFormat="1" applyFont="1"/>
    <xf numFmtId="165" fontId="7" fillId="14" borderId="0" xfId="0" applyNumberFormat="1" applyFont="1" applyFill="1"/>
    <xf numFmtId="9" fontId="0" fillId="14" borderId="14" xfId="1" applyFont="1" applyFill="1" applyBorder="1"/>
    <xf numFmtId="164" fontId="0" fillId="14" borderId="14" xfId="1" applyNumberFormat="1" applyFont="1" applyFill="1" applyBorder="1"/>
    <xf numFmtId="0" fontId="0" fillId="14" borderId="14" xfId="0" applyFill="1" applyBorder="1" applyAlignment="1">
      <alignment horizontal="center"/>
    </xf>
    <xf numFmtId="3" fontId="0" fillId="14" borderId="14" xfId="0" applyNumberFormat="1" applyFill="1" applyBorder="1"/>
    <xf numFmtId="0" fontId="0" fillId="14" borderId="14" xfId="0" applyFill="1" applyBorder="1" applyAlignment="1">
      <alignment horizontal="fill"/>
    </xf>
    <xf numFmtId="9" fontId="0" fillId="14" borderId="18" xfId="0" applyNumberFormat="1" applyFill="1" applyBorder="1"/>
    <xf numFmtId="169" fontId="0" fillId="14" borderId="9" xfId="0" applyNumberFormat="1" applyFill="1" applyBorder="1"/>
    <xf numFmtId="1" fontId="0" fillId="14" borderId="9" xfId="0" applyNumberFormat="1" applyFill="1" applyBorder="1"/>
    <xf numFmtId="165" fontId="0" fillId="14" borderId="9" xfId="0" applyNumberFormat="1" applyFill="1" applyBorder="1"/>
    <xf numFmtId="1" fontId="0" fillId="14" borderId="14" xfId="1" applyNumberFormat="1" applyFont="1" applyFill="1" applyBorder="1"/>
    <xf numFmtId="9" fontId="0" fillId="14" borderId="11" xfId="1" applyFont="1" applyFill="1" applyBorder="1"/>
    <xf numFmtId="9" fontId="0" fillId="14" borderId="18" xfId="1" applyFont="1" applyFill="1" applyBorder="1"/>
    <xf numFmtId="167" fontId="0" fillId="14" borderId="14" xfId="0" applyNumberFormat="1" applyFill="1" applyBorder="1"/>
    <xf numFmtId="172" fontId="0" fillId="14" borderId="14" xfId="0" applyNumberFormat="1" applyFill="1" applyBorder="1"/>
    <xf numFmtId="0" fontId="4" fillId="18" borderId="14" xfId="3" applyFill="1" applyBorder="1" applyAlignment="1"/>
    <xf numFmtId="164" fontId="0" fillId="14" borderId="14" xfId="0" applyNumberFormat="1" applyFill="1" applyBorder="1"/>
    <xf numFmtId="0" fontId="0" fillId="16" borderId="14" xfId="0" applyFill="1" applyBorder="1"/>
    <xf numFmtId="0" fontId="0" fillId="16" borderId="14" xfId="0" applyFill="1" applyBorder="1" applyAlignment="1">
      <alignment horizontal="right"/>
    </xf>
    <xf numFmtId="1" fontId="0" fillId="16" borderId="14" xfId="0" applyNumberFormat="1" applyFill="1" applyBorder="1"/>
    <xf numFmtId="2" fontId="0" fillId="16" borderId="14" xfId="1" applyNumberFormat="1" applyFont="1" applyFill="1" applyBorder="1"/>
    <xf numFmtId="165" fontId="0" fillId="16" borderId="14" xfId="0" applyNumberFormat="1" applyFill="1" applyBorder="1"/>
    <xf numFmtId="9" fontId="0" fillId="16" borderId="14" xfId="1" applyFont="1" applyFill="1" applyBorder="1"/>
    <xf numFmtId="2" fontId="0" fillId="14" borderId="14" xfId="1" applyNumberFormat="1" applyFont="1" applyFill="1" applyBorder="1"/>
    <xf numFmtId="0" fontId="0" fillId="14" borderId="14" xfId="0" applyFill="1" applyBorder="1" applyAlignment="1">
      <alignment horizontal="left"/>
    </xf>
    <xf numFmtId="168" fontId="0" fillId="16" borderId="14" xfId="0" applyNumberFormat="1" applyFill="1" applyBorder="1"/>
    <xf numFmtId="0" fontId="0" fillId="14" borderId="14" xfId="0" applyFill="1" applyBorder="1" applyAlignment="1">
      <alignment horizontal="left" indent="1"/>
    </xf>
    <xf numFmtId="0" fontId="0" fillId="14" borderId="14" xfId="0" applyFill="1" applyBorder="1" applyAlignment="1">
      <alignment horizontal="left" indent="2"/>
    </xf>
    <xf numFmtId="0" fontId="0" fillId="14" borderId="14" xfId="0" applyFill="1" applyBorder="1" applyAlignment="1">
      <alignment horizontal="justify" vertical="center"/>
    </xf>
    <xf numFmtId="0" fontId="2" fillId="16" borderId="0" xfId="2" applyFill="1" applyAlignment="1">
      <alignment horizontal="fill"/>
    </xf>
    <xf numFmtId="0" fontId="19" fillId="14" borderId="0" xfId="0" applyFont="1" applyFill="1" applyAlignment="1">
      <alignment horizontal="fill" wrapText="1"/>
    </xf>
    <xf numFmtId="0" fontId="43" fillId="17" borderId="0" xfId="0" applyFont="1" applyFill="1" applyAlignment="1">
      <alignment horizontal="center"/>
    </xf>
    <xf numFmtId="0" fontId="0" fillId="14" borderId="0" xfId="0" applyFill="1" applyAlignment="1">
      <alignment wrapText="1"/>
    </xf>
    <xf numFmtId="0" fontId="7" fillId="14" borderId="11" xfId="0" applyFont="1" applyFill="1" applyBorder="1" applyAlignment="1">
      <alignment horizontal="center"/>
    </xf>
    <xf numFmtId="0" fontId="7" fillId="14" borderId="9" xfId="0" applyFont="1" applyFill="1" applyBorder="1" applyAlignment="1">
      <alignment horizontal="center"/>
    </xf>
    <xf numFmtId="0" fontId="0" fillId="14" borderId="18" xfId="0" applyFill="1" applyBorder="1" applyAlignment="1">
      <alignment horizontal="center"/>
    </xf>
    <xf numFmtId="0" fontId="0" fillId="14" borderId="16" xfId="0" applyFill="1" applyBorder="1" applyAlignment="1">
      <alignment horizontal="center"/>
    </xf>
    <xf numFmtId="0" fontId="0" fillId="14" borderId="22" xfId="0" applyFill="1" applyBorder="1" applyAlignment="1">
      <alignment horizontal="center"/>
    </xf>
    <xf numFmtId="0" fontId="7" fillId="17" borderId="0" xfId="0" applyFont="1" applyFill="1" applyAlignment="1">
      <alignment horizontal="center" wrapText="1"/>
    </xf>
    <xf numFmtId="0" fontId="0" fillId="14" borderId="0" xfId="0" applyFill="1" applyAlignment="1">
      <alignment horizontal="left"/>
    </xf>
    <xf numFmtId="0" fontId="0" fillId="14" borderId="0" xfId="0" applyFill="1" applyAlignment="1">
      <alignment horizontal="center" wrapText="1"/>
    </xf>
    <xf numFmtId="0" fontId="0" fillId="14" borderId="0" xfId="0" applyFill="1" applyAlignment="1">
      <alignment horizontal="center"/>
    </xf>
    <xf numFmtId="0" fontId="7" fillId="17" borderId="0" xfId="0" applyFont="1" applyFill="1" applyAlignment="1">
      <alignment horizontal="center"/>
    </xf>
    <xf numFmtId="0" fontId="11" fillId="14" borderId="0" xfId="0" applyFont="1" applyFill="1" applyAlignment="1">
      <alignment horizontal="center" vertical="center" wrapText="1"/>
    </xf>
    <xf numFmtId="0" fontId="0" fillId="14" borderId="11" xfId="0" applyFill="1" applyBorder="1" applyAlignment="1">
      <alignment horizontal="center"/>
    </xf>
    <xf numFmtId="0" fontId="0" fillId="14" borderId="9" xfId="0" applyFill="1" applyBorder="1" applyAlignment="1">
      <alignment horizontal="center"/>
    </xf>
    <xf numFmtId="0" fontId="4" fillId="18" borderId="19" xfId="3" applyFill="1" applyBorder="1" applyAlignment="1">
      <alignment horizontal="center"/>
    </xf>
    <xf numFmtId="0" fontId="4" fillId="18" borderId="20" xfId="3" applyFill="1" applyBorder="1" applyAlignment="1">
      <alignment horizontal="center"/>
    </xf>
    <xf numFmtId="0" fontId="4" fillId="18" borderId="21" xfId="3" applyFill="1" applyBorder="1" applyAlignment="1">
      <alignment horizontal="center"/>
    </xf>
    <xf numFmtId="0" fontId="7" fillId="14" borderId="23" xfId="0" applyFont="1" applyFill="1" applyBorder="1" applyAlignment="1">
      <alignment horizontal="center"/>
    </xf>
    <xf numFmtId="0" fontId="7" fillId="14" borderId="24" xfId="0" applyFont="1" applyFill="1" applyBorder="1" applyAlignment="1">
      <alignment horizontal="center"/>
    </xf>
    <xf numFmtId="0" fontId="0" fillId="14" borderId="14" xfId="0" applyFill="1" applyBorder="1" applyAlignment="1">
      <alignment horizontal="center"/>
    </xf>
    <xf numFmtId="0" fontId="0" fillId="14" borderId="5" xfId="0" applyFill="1" applyBorder="1" applyAlignment="1">
      <alignment horizontal="center"/>
    </xf>
    <xf numFmtId="0" fontId="0" fillId="14" borderId="6" xfId="0" applyFill="1" applyBorder="1" applyAlignment="1">
      <alignment horizontal="center"/>
    </xf>
    <xf numFmtId="0" fontId="0" fillId="14" borderId="7" xfId="0" applyFill="1" applyBorder="1" applyAlignment="1">
      <alignment horizontal="center"/>
    </xf>
    <xf numFmtId="0" fontId="4" fillId="18" borderId="11" xfId="3" applyFill="1" applyBorder="1" applyAlignment="1">
      <alignment horizontal="center"/>
    </xf>
    <xf numFmtId="0" fontId="4" fillId="18" borderId="17" xfId="3" applyFill="1" applyBorder="1" applyAlignment="1">
      <alignment horizontal="center"/>
    </xf>
    <xf numFmtId="0" fontId="4" fillId="18" borderId="9" xfId="3" applyFill="1" applyBorder="1" applyAlignment="1">
      <alignment horizontal="center"/>
    </xf>
    <xf numFmtId="0" fontId="4" fillId="18" borderId="14" xfId="3" applyFill="1" applyBorder="1" applyAlignment="1">
      <alignment horizontal="center"/>
    </xf>
    <xf numFmtId="0" fontId="4" fillId="18" borderId="13" xfId="3" applyFill="1" applyBorder="1" applyAlignment="1">
      <alignment horizontal="center"/>
    </xf>
    <xf numFmtId="0" fontId="4" fillId="18" borderId="25" xfId="3" applyFill="1" applyBorder="1" applyAlignment="1">
      <alignment horizontal="center"/>
    </xf>
    <xf numFmtId="0" fontId="4" fillId="18" borderId="12" xfId="3" applyFill="1" applyBorder="1" applyAlignment="1">
      <alignment horizontal="center"/>
    </xf>
    <xf numFmtId="0" fontId="7" fillId="14" borderId="17" xfId="0" applyFont="1" applyFill="1" applyBorder="1" applyAlignment="1">
      <alignment horizontal="center"/>
    </xf>
    <xf numFmtId="0" fontId="7" fillId="14" borderId="14" xfId="0" applyFont="1" applyFill="1" applyBorder="1" applyAlignment="1">
      <alignment horizontal="center"/>
    </xf>
    <xf numFmtId="0" fontId="8" fillId="18" borderId="14" xfId="3" applyFont="1" applyFill="1" applyBorder="1" applyAlignment="1">
      <alignment horizontal="center"/>
    </xf>
    <xf numFmtId="0" fontId="42" fillId="17" borderId="0" xfId="0" applyFont="1" applyFill="1" applyAlignment="1">
      <alignment horizontal="center"/>
    </xf>
    <xf numFmtId="0" fontId="0" fillId="17" borderId="0" xfId="0" applyFill="1" applyAlignment="1">
      <alignment horizontal="center"/>
    </xf>
    <xf numFmtId="0" fontId="0" fillId="14" borderId="11" xfId="0" applyFill="1" applyBorder="1" applyAlignment="1">
      <alignment horizontal="left"/>
    </xf>
    <xf numFmtId="0" fontId="0" fillId="14" borderId="9" xfId="0" applyFill="1" applyBorder="1" applyAlignment="1">
      <alignment horizontal="left"/>
    </xf>
  </cellXfs>
  <cellStyles count="1845">
    <cellStyle name="2x indented GHG Textfiels" xfId="4" xr:uid="{1EBF9BB9-CEF8-49B9-90D3-743DB48A35A2}"/>
    <cellStyle name="5x indented GHG Textfiels" xfId="5" xr:uid="{1382362D-6731-4048-905B-7472143A4244}"/>
    <cellStyle name="Boden" xfId="6" xr:uid="{18F90A65-4480-4AC6-8594-CF19778F10AE}"/>
    <cellStyle name="Bold GHG Numbers (0.00)" xfId="7" xr:uid="{DEE2581A-91F8-422C-AF5E-2AD1849138B3}"/>
    <cellStyle name="Comma 2" xfId="8" xr:uid="{65BE2C35-F0A3-4916-845B-994324B38149}"/>
    <cellStyle name="Comma 2 2" xfId="1844" xr:uid="{C70575C9-6CA3-493B-97FA-602ECC16B11D}"/>
    <cellStyle name="Comma 3" xfId="1843" xr:uid="{72685051-DDE2-44DF-915E-BC6E6B96980F}"/>
    <cellStyle name="comment" xfId="9" xr:uid="{B62EAC03-7F0A-4187-8071-619E6E335BCF}"/>
    <cellStyle name="dt" xfId="10" xr:uid="{55DD29B5-531A-4E64-8F63-C10510B67EE3}"/>
    <cellStyle name="EcoTitel" xfId="11" xr:uid="{15FD93FA-E815-4D7A-BD59-16DE922CCA0B}"/>
    <cellStyle name="Euro" xfId="12" xr:uid="{95E3493E-D685-4B4D-8A18-52E0B81F6ED6}"/>
    <cellStyle name="Good" xfId="3" builtinId="26"/>
    <cellStyle name="Headline" xfId="13" xr:uid="{C154B821-8DA5-404E-B98C-2CF16A507B7C}"/>
    <cellStyle name="Hyperlink" xfId="2" builtinId="8"/>
    <cellStyle name="Hyperlink 3 10" xfId="14" xr:uid="{6E3C9788-3E23-4D6F-8BE7-AC632942DC9F}"/>
    <cellStyle name="Hyperlink 3 11" xfId="15" xr:uid="{C30DC206-2FC2-449E-B038-465B3E3FDA15}"/>
    <cellStyle name="Hyperlink 3 12" xfId="16" xr:uid="{0AA66E79-03D1-400D-8B06-42995CC20148}"/>
    <cellStyle name="Hyperlink 3 13" xfId="17" xr:uid="{68AA7B69-1506-4B4B-99F1-9C2A7C40D930}"/>
    <cellStyle name="Hyperlink 3 2" xfId="18" xr:uid="{39A8CA97-32D2-4741-B337-146744680B0D}"/>
    <cellStyle name="Hyperlink 3 3" xfId="19" xr:uid="{7BB4D6B0-A315-439F-BADC-547F6A21B07B}"/>
    <cellStyle name="Hyperlink 3 4" xfId="20" xr:uid="{083C2196-8EDC-4A31-AADC-503CBAE93C7A}"/>
    <cellStyle name="Hyperlink 3 5" xfId="21" xr:uid="{4B9C7C14-7632-41BF-BCEC-62C316EB20D6}"/>
    <cellStyle name="Hyperlink 3 6" xfId="22" xr:uid="{582E3B80-9A30-4357-B097-2F0A0E4EC6C8}"/>
    <cellStyle name="Hyperlink 3 7" xfId="23" xr:uid="{7F9CB857-51F9-47F0-B4B3-AE6ACCE1E7CA}"/>
    <cellStyle name="Hyperlink 3 8" xfId="24" xr:uid="{B1904915-9EEB-4727-8709-F92AE9F1CA41}"/>
    <cellStyle name="Hyperlink 3 9" xfId="25" xr:uid="{271A3B9C-8361-4322-86B4-6368F883F303}"/>
    <cellStyle name="kg" xfId="26" xr:uid="{3DB6C262-878B-47B0-8C14-1D78931A7AEA}"/>
    <cellStyle name="l" xfId="27" xr:uid="{186713FD-8892-49EE-B84D-BBD0AFF1CACD}"/>
    <cellStyle name="Luft" xfId="28" xr:uid="{3A2E60F5-F486-4BE3-99D0-E4D1D8FB2BAC}"/>
    <cellStyle name="m2" xfId="29" xr:uid="{9BC4B3AB-AF0E-4461-A5FF-AD5E712B3671}"/>
    <cellStyle name="m2a" xfId="30" xr:uid="{8AC7A5C2-4B61-4835-914D-6743742DDED1}"/>
    <cellStyle name="m3" xfId="31" xr:uid="{930091C2-51B4-40C4-A371-47344FD64227}"/>
    <cellStyle name="Niels" xfId="32" xr:uid="{F52BD89A-8BEF-4F1D-91F8-7B431F66D8ED}"/>
    <cellStyle name="NielsProz" xfId="33" xr:uid="{41F28533-C0A9-4175-8EA7-B3E0A13D6C9C}"/>
    <cellStyle name="Normal" xfId="0" builtinId="0"/>
    <cellStyle name="Normal 10" xfId="1838" xr:uid="{1DB69568-B876-4763-A01A-8E7D08BE0F94}"/>
    <cellStyle name="Normal 2" xfId="34" xr:uid="{EFB73CB9-9342-45ED-AAC7-1A9792E2078D}"/>
    <cellStyle name="Normal 2 10" xfId="35" xr:uid="{8829A15A-EB6D-4336-84A5-80F7AE107932}"/>
    <cellStyle name="Normal 2 10 10" xfId="36" xr:uid="{7ABA1C7E-C1EB-4686-AED9-5A0015EA5DD9}"/>
    <cellStyle name="Normal 2 10 11" xfId="37" xr:uid="{7A66ED7F-3697-4DE0-B82F-2BB1E0889B6F}"/>
    <cellStyle name="Normal 2 10 12" xfId="38" xr:uid="{8E702BC0-20E6-4188-958C-064FAFD562F9}"/>
    <cellStyle name="Normal 2 10 13" xfId="39" xr:uid="{914E3E5F-74F7-4DAD-AFE7-772A8C615006}"/>
    <cellStyle name="Normal 2 10 2" xfId="40" xr:uid="{E076F547-A21D-45BE-B1F5-3990F501A259}"/>
    <cellStyle name="Normal 2 10 3" xfId="41" xr:uid="{C72B0D10-04B0-43AC-8DAA-D422A26661B4}"/>
    <cellStyle name="Normal 2 10 4" xfId="42" xr:uid="{CD0B3A1D-5749-4DFB-8597-542EC6C62FB9}"/>
    <cellStyle name="Normal 2 10 5" xfId="43" xr:uid="{BE1417C1-1C32-41CD-A78E-D02F8C9D3F4D}"/>
    <cellStyle name="Normal 2 10 6" xfId="44" xr:uid="{06A069FE-40A8-4571-B377-95149A47DD60}"/>
    <cellStyle name="Normal 2 10 7" xfId="45" xr:uid="{08A8E0C2-DA76-4911-8AD8-C9C8C20DA953}"/>
    <cellStyle name="Normal 2 10 8" xfId="46" xr:uid="{D2BF8854-E6BE-4185-94BC-F669C9E49B78}"/>
    <cellStyle name="Normal 2 10 9" xfId="47" xr:uid="{A0C3B9C4-B1BB-4864-8975-6D1EFCE53D29}"/>
    <cellStyle name="Normal 2 10_100114_ReCiPe_endpoint_orginalversion-Sander" xfId="48" xr:uid="{32CA8340-6044-4EB2-857D-D9701598197D}"/>
    <cellStyle name="Normal 2 11" xfId="49" xr:uid="{7F626304-0A5D-439D-BEF2-4EB44BFA3858}"/>
    <cellStyle name="Normal 2 11 10" xfId="50" xr:uid="{C2B9D121-570C-4B6E-846E-55F1AB981B9B}"/>
    <cellStyle name="Normal 2 11 11" xfId="51" xr:uid="{563608E3-4EB2-49B5-AED8-6D3A3F5CB90D}"/>
    <cellStyle name="Normal 2 11 12" xfId="52" xr:uid="{AFA1BEA2-B816-4202-B67A-243144010299}"/>
    <cellStyle name="Normal 2 11 13" xfId="53" xr:uid="{F5BD467A-0FE2-4A03-BC3C-B86C1D47625A}"/>
    <cellStyle name="Normal 2 11 2" xfId="54" xr:uid="{A0D198E5-65B4-4079-9722-5CE42EED1FEB}"/>
    <cellStyle name="Normal 2 11 3" xfId="55" xr:uid="{E4452B83-9898-4378-984D-D27CFCFA0407}"/>
    <cellStyle name="Normal 2 11 4" xfId="56" xr:uid="{D31DAC8C-B277-4E05-ADA1-F11A6955F0CE}"/>
    <cellStyle name="Normal 2 11 5" xfId="57" xr:uid="{AD2683CC-0DF6-447D-AFA6-73A0FFC8407B}"/>
    <cellStyle name="Normal 2 11 6" xfId="58" xr:uid="{C5359761-56A7-4A06-B5DB-7547DAAAA3CA}"/>
    <cellStyle name="Normal 2 11 7" xfId="59" xr:uid="{54F0A4C2-DD05-4FF4-9EF3-421BB1279CC3}"/>
    <cellStyle name="Normal 2 11 8" xfId="60" xr:uid="{78BC42ED-D1AB-4957-A650-0317623B1560}"/>
    <cellStyle name="Normal 2 11 9" xfId="61" xr:uid="{3DBB906E-C70B-4A7D-B275-D14E64463021}"/>
    <cellStyle name="Normal 2 11_100114_ReCiPe_endpoint_orginalversion-Sander" xfId="62" xr:uid="{E5510E97-9D98-48DC-BCC5-0EECDD4A90CD}"/>
    <cellStyle name="Normal 2 12" xfId="63" xr:uid="{5E4109E8-D7F9-4052-B068-A220526FC2D6}"/>
    <cellStyle name="Normal 2 12 10" xfId="64" xr:uid="{74308547-E332-4B1E-A867-36207A8C2DF7}"/>
    <cellStyle name="Normal 2 12 11" xfId="65" xr:uid="{5D2483A1-E66E-41AB-BF11-585635E1689F}"/>
    <cellStyle name="Normal 2 12 12" xfId="66" xr:uid="{A3BA6B7F-5D5D-48C1-BB8C-039A5811079A}"/>
    <cellStyle name="Normal 2 12 13" xfId="67" xr:uid="{6E5851AE-B596-48C8-8CCA-7130D80E20E3}"/>
    <cellStyle name="Normal 2 12 2" xfId="68" xr:uid="{2B2A748D-969D-4EDE-85B0-50B7A6C33AA6}"/>
    <cellStyle name="Normal 2 12 3" xfId="69" xr:uid="{C871CDD1-838E-4B7E-A90F-5630F99A6707}"/>
    <cellStyle name="Normal 2 12 4" xfId="70" xr:uid="{94DB26F1-EF4A-4F79-A764-9D70564E244B}"/>
    <cellStyle name="Normal 2 12 5" xfId="71" xr:uid="{140DD3B4-62A8-4E23-BF20-3B6BF7E30EA5}"/>
    <cellStyle name="Normal 2 12 6" xfId="72" xr:uid="{6002602E-C821-4D24-B7B3-5337D410904C}"/>
    <cellStyle name="Normal 2 12 7" xfId="73" xr:uid="{C47D98A4-808F-477B-8103-DFD6891F9348}"/>
    <cellStyle name="Normal 2 12 8" xfId="74" xr:uid="{56DC0C4B-00DF-4CC2-A6E5-E7B9B9FEF371}"/>
    <cellStyle name="Normal 2 12 9" xfId="75" xr:uid="{894B0EAC-F6B0-4A03-8810-E6982322E677}"/>
    <cellStyle name="Normal 2 12_100114_ReCiPe_endpoint_orginalversion-Sander" xfId="76" xr:uid="{41809FEF-F9A4-4909-9455-ADA2EFA0ECAF}"/>
    <cellStyle name="Normal 2 13" xfId="77" xr:uid="{50299DB6-6F57-4EAE-8E4A-C65332FFE392}"/>
    <cellStyle name="Normal 2 13 10" xfId="78" xr:uid="{062C53A7-889E-4BD2-AB4B-D1BB3B79BC70}"/>
    <cellStyle name="Normal 2 13 11" xfId="79" xr:uid="{09E911B5-9C3A-456F-9938-F4DFF613625D}"/>
    <cellStyle name="Normal 2 13 12" xfId="80" xr:uid="{0A92C735-FC11-4634-883F-BAEEAD8941AC}"/>
    <cellStyle name="Normal 2 13 13" xfId="81" xr:uid="{55B1F551-CA6A-4BE0-9956-2B51B9E68B58}"/>
    <cellStyle name="Normal 2 13 2" xfId="82" xr:uid="{0C9A8611-F8EA-4FD2-81AD-936E65D776A5}"/>
    <cellStyle name="Normal 2 13 3" xfId="83" xr:uid="{7AE38AC5-38F3-4A5D-9007-E02EEFBB648E}"/>
    <cellStyle name="Normal 2 13 4" xfId="84" xr:uid="{1C53D789-8290-41F8-B68B-EE888E8D5120}"/>
    <cellStyle name="Normal 2 13 5" xfId="85" xr:uid="{9B7F99C2-7946-4FD5-BF95-5F38C5DFC7D1}"/>
    <cellStyle name="Normal 2 13 6" xfId="86" xr:uid="{4A62D62E-87CE-47DE-9EEE-02331C59D31F}"/>
    <cellStyle name="Normal 2 13 7" xfId="87" xr:uid="{1B0F7161-8D1C-40FF-94A0-33F83A88537E}"/>
    <cellStyle name="Normal 2 13 8" xfId="88" xr:uid="{2A422CE3-4497-4253-ABD6-F75B7B322E97}"/>
    <cellStyle name="Normal 2 13 9" xfId="89" xr:uid="{28276A97-5FDC-4AAA-AEBB-9365BB617840}"/>
    <cellStyle name="Normal 2 13_100114_ReCiPe_endpoint_orginalversion-Sander" xfId="90" xr:uid="{8211B0ED-43A5-461A-BA7A-16A3C8D68750}"/>
    <cellStyle name="Normal 2 14" xfId="91" xr:uid="{42D18BBB-CF5D-4A3E-B728-D9E40F427096}"/>
    <cellStyle name="Normal 2 14 10" xfId="92" xr:uid="{7F1A2A1C-A837-4A25-B83A-EE96862506B9}"/>
    <cellStyle name="Normal 2 14 11" xfId="93" xr:uid="{A78AF6D2-D3F0-46EF-BE03-08AD2B936A65}"/>
    <cellStyle name="Normal 2 14 12" xfId="94" xr:uid="{A48C6A9B-3414-439D-8A0E-3C22ECACDFDF}"/>
    <cellStyle name="Normal 2 14 13" xfId="95" xr:uid="{443D8DF6-34A8-443A-A658-823C0A461D21}"/>
    <cellStyle name="Normal 2 14 2" xfId="96" xr:uid="{326C61BD-7297-466F-B4F5-04C73245AE3C}"/>
    <cellStyle name="Normal 2 14 3" xfId="97" xr:uid="{8ACFE131-4815-41FF-AB44-307F44C79173}"/>
    <cellStyle name="Normal 2 14 4" xfId="98" xr:uid="{CB80B248-BCB0-4823-BF61-8EC4C46E762A}"/>
    <cellStyle name="Normal 2 14 5" xfId="99" xr:uid="{D3B3AE50-DDFC-4444-A11D-692104BCCA30}"/>
    <cellStyle name="Normal 2 14 6" xfId="100" xr:uid="{355AE3B7-E7D3-41D5-B101-395DC7400B62}"/>
    <cellStyle name="Normal 2 14 7" xfId="101" xr:uid="{565D5B2D-D019-4196-A385-7D9D247DD34F}"/>
    <cellStyle name="Normal 2 14 8" xfId="102" xr:uid="{32840B87-816D-4F52-AD40-DA4AA7ED8F20}"/>
    <cellStyle name="Normal 2 14 9" xfId="103" xr:uid="{8DC2B003-5A37-4ADC-94AB-3C9605FBB441}"/>
    <cellStyle name="Normal 2 14_100114_ReCiPe_endpoint_orginalversion-Sander" xfId="104" xr:uid="{CF9A2962-9EEC-4534-B2D8-88C60A4AB1A4}"/>
    <cellStyle name="Normal 2 15" xfId="105" xr:uid="{087E6C6B-14EC-4CC7-9AE4-AA8845245D0B}"/>
    <cellStyle name="Normal 2 15 10" xfId="106" xr:uid="{AE5D1238-25AC-4761-B829-80F60DA8D1EB}"/>
    <cellStyle name="Normal 2 15 11" xfId="107" xr:uid="{C0600469-BD4A-4A1A-B68D-5ECDF1CE1731}"/>
    <cellStyle name="Normal 2 15 12" xfId="108" xr:uid="{B4829EDA-F3D5-40F1-99D4-E0491D8B430F}"/>
    <cellStyle name="Normal 2 15 13" xfId="109" xr:uid="{7450AF9F-C7AB-4C63-A194-F19751403F8B}"/>
    <cellStyle name="Normal 2 15 2" xfId="110" xr:uid="{F1EB78D6-76B5-4ECF-A43D-405F390DBA99}"/>
    <cellStyle name="Normal 2 15 3" xfId="111" xr:uid="{FD0C02DB-EC53-47E1-9472-28470B303C7B}"/>
    <cellStyle name="Normal 2 15 4" xfId="112" xr:uid="{497A6C55-04FF-4941-A6C6-FDA57229B089}"/>
    <cellStyle name="Normal 2 15 5" xfId="113" xr:uid="{31C9EFE7-3EF3-4F27-B543-C0BE4729F14B}"/>
    <cellStyle name="Normal 2 15 6" xfId="114" xr:uid="{2A99D7C2-193A-435D-AD9F-BED3244E0936}"/>
    <cellStyle name="Normal 2 15 7" xfId="115" xr:uid="{43C99034-EB34-449B-8934-AFB70DC476CB}"/>
    <cellStyle name="Normal 2 15 8" xfId="116" xr:uid="{660FFD3B-3A42-4000-83BE-B0FB3777107E}"/>
    <cellStyle name="Normal 2 15 9" xfId="117" xr:uid="{3AA9B9CF-704C-4A1D-8E0B-0A6B1A7AFA82}"/>
    <cellStyle name="Normal 2 15_100114_ReCiPe_endpoint_orginalversion-Sander" xfId="118" xr:uid="{D23D5B19-7352-4EC5-AD02-FA1CC60E920D}"/>
    <cellStyle name="Normal 2 16" xfId="119" xr:uid="{5C50B648-6665-4AF3-B018-1D5335609E57}"/>
    <cellStyle name="Normal 2 16 10" xfId="120" xr:uid="{7BA706B0-283E-4AA9-99B9-9AADE2E57535}"/>
    <cellStyle name="Normal 2 16 11" xfId="121" xr:uid="{A6E45774-58DC-4B83-8510-2DC78816D0E3}"/>
    <cellStyle name="Normal 2 16 12" xfId="122" xr:uid="{9E645F27-5F28-4690-85C5-5825304EDA1B}"/>
    <cellStyle name="Normal 2 16 13" xfId="123" xr:uid="{6404712A-F638-4372-B9F2-A39C08E6A418}"/>
    <cellStyle name="Normal 2 16 2" xfId="124" xr:uid="{E2F8BE30-5220-4614-BFAD-A3EED370EC82}"/>
    <cellStyle name="Normal 2 16 3" xfId="125" xr:uid="{B0E6F0C9-07C7-4A80-B080-E26A25E1662E}"/>
    <cellStyle name="Normal 2 16 4" xfId="126" xr:uid="{2047DA5D-6F60-4CE9-AA59-92C503C77673}"/>
    <cellStyle name="Normal 2 16 5" xfId="127" xr:uid="{63C9C267-3A86-4BCB-A461-6A4F3D55E98C}"/>
    <cellStyle name="Normal 2 16 6" xfId="128" xr:uid="{69429AD4-E03E-46C8-8C0D-B9BEC5857222}"/>
    <cellStyle name="Normal 2 16 7" xfId="129" xr:uid="{ABA39505-80BF-49C2-AB2A-3E610D88E9FD}"/>
    <cellStyle name="Normal 2 16 8" xfId="130" xr:uid="{BBE424F7-2A98-43CC-82C6-25D4A1D7A7F2}"/>
    <cellStyle name="Normal 2 16 9" xfId="131" xr:uid="{051D7BA1-001D-497E-BD33-9BA24F1CD38E}"/>
    <cellStyle name="Normal 2 16_100114_ReCiPe_endpoint_orginalversion-Sander" xfId="132" xr:uid="{3133E3DD-2C7F-443C-955B-185CACC713D8}"/>
    <cellStyle name="Normal 2 17" xfId="133" xr:uid="{82A36FE5-F799-4D64-887A-F7E4C42FA1DF}"/>
    <cellStyle name="Normal 2 17 10" xfId="134" xr:uid="{7D7DDEB2-63EE-4021-A608-6C35AF2AB4EC}"/>
    <cellStyle name="Normal 2 17 11" xfId="135" xr:uid="{0CDDDBC7-259F-4981-9FAC-6FD31B61A711}"/>
    <cellStyle name="Normal 2 17 12" xfId="136" xr:uid="{FF4ED59E-6CF7-4D5B-8E1D-DE5AF867D25B}"/>
    <cellStyle name="Normal 2 17 13" xfId="137" xr:uid="{1C500FA8-6FB0-4463-914B-4942C3DD0150}"/>
    <cellStyle name="Normal 2 17 2" xfId="138" xr:uid="{1439FCE4-3484-46D9-92C0-A2F7375E8BD5}"/>
    <cellStyle name="Normal 2 17 3" xfId="139" xr:uid="{7C6D92AA-0992-4B03-A64E-184CFC6D0FA9}"/>
    <cellStyle name="Normal 2 17 4" xfId="140" xr:uid="{05E18D4C-8521-40BA-AAC9-CA8F720A774B}"/>
    <cellStyle name="Normal 2 17 5" xfId="141" xr:uid="{0EAFC131-E282-450A-B497-FB94762115FE}"/>
    <cellStyle name="Normal 2 17 6" xfId="142" xr:uid="{60B48E09-E69F-468F-BC38-66A3EFA9390E}"/>
    <cellStyle name="Normal 2 17 7" xfId="143" xr:uid="{C485121B-A5C4-4A14-9947-02440A33F5A6}"/>
    <cellStyle name="Normal 2 17 8" xfId="144" xr:uid="{81740416-0D07-4CAE-A015-D1F25CE390C9}"/>
    <cellStyle name="Normal 2 17 9" xfId="145" xr:uid="{3D92EF2F-CA57-49DC-885C-413BE54A2F03}"/>
    <cellStyle name="Normal 2 17_100114_ReCiPe_endpoint_orginalversion-Sander" xfId="146" xr:uid="{B97D1595-A163-480B-9FF6-CF85D510A080}"/>
    <cellStyle name="Normal 2 18" xfId="147" xr:uid="{409997FB-31C0-44A5-B86E-11CF47353085}"/>
    <cellStyle name="Normal 2 18 10" xfId="148" xr:uid="{9DE14260-08B6-4F62-A254-4981ABDCBD82}"/>
    <cellStyle name="Normal 2 18 11" xfId="149" xr:uid="{DACB94E0-104C-46FD-A7FA-9E86AC71E3B7}"/>
    <cellStyle name="Normal 2 18 12" xfId="150" xr:uid="{6EEBD302-F647-40A6-BBF8-4E0DF6FDB3B8}"/>
    <cellStyle name="Normal 2 18 13" xfId="151" xr:uid="{A4E3FA62-A91E-46DC-97EE-E0BFCEE8C436}"/>
    <cellStyle name="Normal 2 18 2" xfId="152" xr:uid="{8C189A9A-5528-45D7-85EE-0C2CEFE60470}"/>
    <cellStyle name="Normal 2 18 3" xfId="153" xr:uid="{86A9B2CF-4875-43E3-9E11-E5743604523C}"/>
    <cellStyle name="Normal 2 18 4" xfId="154" xr:uid="{6523AB5D-A864-453E-9E8C-18B1DD29FCF4}"/>
    <cellStyle name="Normal 2 18 5" xfId="155" xr:uid="{D1838DAC-037B-47BA-ABAC-9CFD0AC27223}"/>
    <cellStyle name="Normal 2 18 6" xfId="156" xr:uid="{01D2CCB3-F6F5-4C91-A5C5-A98CEE9C79CF}"/>
    <cellStyle name="Normal 2 18 7" xfId="157" xr:uid="{DAB486C5-617A-4AFF-BAD3-DC07ADBA9B44}"/>
    <cellStyle name="Normal 2 18 8" xfId="158" xr:uid="{875A2D4D-6095-4E3F-AB5C-38A53D77C4CA}"/>
    <cellStyle name="Normal 2 18 9" xfId="159" xr:uid="{EB98C703-D479-40D4-909E-8CB9FBC40A63}"/>
    <cellStyle name="Normal 2 18_100114_ReCiPe_endpoint_orginalversion-Sander" xfId="160" xr:uid="{FF47F9BA-7810-4FEA-A7D1-22CD3E65A5FA}"/>
    <cellStyle name="Normal 2 19" xfId="161" xr:uid="{401EB4D3-3271-4671-A68B-DC37763A13CF}"/>
    <cellStyle name="Normal 2 19 10" xfId="162" xr:uid="{77D46CF7-C542-4195-8479-525598F90DA8}"/>
    <cellStyle name="Normal 2 19 11" xfId="163" xr:uid="{48D7B329-ACFC-4FE7-A343-4B95F320524F}"/>
    <cellStyle name="Normal 2 19 12" xfId="164" xr:uid="{F5569F34-62B6-4084-8C72-A46ABA925AD3}"/>
    <cellStyle name="Normal 2 19 13" xfId="165" xr:uid="{1E2C56D9-0A08-483C-8646-0B1BA367BDF2}"/>
    <cellStyle name="Normal 2 19 2" xfId="166" xr:uid="{E4B18D0F-5A1C-4A36-9678-FFF748B10B25}"/>
    <cellStyle name="Normal 2 19 3" xfId="167" xr:uid="{0C24B5FD-CC49-4251-AA2B-E620E749C24A}"/>
    <cellStyle name="Normal 2 19 4" xfId="168" xr:uid="{C3D9A086-947A-41CA-9A33-2B2E1D27E3F0}"/>
    <cellStyle name="Normal 2 19 5" xfId="169" xr:uid="{9758BF12-037D-494A-A620-2F370F90FF77}"/>
    <cellStyle name="Normal 2 19 6" xfId="170" xr:uid="{16FAEBBB-EBD5-49F0-BC98-493DF9A3E662}"/>
    <cellStyle name="Normal 2 19 7" xfId="171" xr:uid="{484913F5-CFAF-42BF-B6CD-EC4F1AC92CAB}"/>
    <cellStyle name="Normal 2 19 8" xfId="172" xr:uid="{380CDEEB-13F4-4859-B5B4-4100CE4112D8}"/>
    <cellStyle name="Normal 2 19 9" xfId="173" xr:uid="{D752AA71-B9C2-411F-8D38-AE3F8D61724E}"/>
    <cellStyle name="Normal 2 19_100114_ReCiPe_endpoint_orginalversion-Sander" xfId="174" xr:uid="{EDD017D8-DBE0-4FD1-9572-57605618EC87}"/>
    <cellStyle name="Normal 2 2" xfId="175" xr:uid="{C8AF1E90-FAFD-442C-838C-BFB130502BC6}"/>
    <cellStyle name="Normal 2 2 2" xfId="176" xr:uid="{E39A5177-F544-4D00-8053-40D7523663B4}"/>
    <cellStyle name="Normal 2 2 2 10" xfId="177" xr:uid="{8BB5CF00-A39B-42DE-A571-7968CA2D01AC}"/>
    <cellStyle name="Normal 2 2 2 11" xfId="178" xr:uid="{B5B40736-11A5-4451-9988-357FB6EB7340}"/>
    <cellStyle name="Normal 2 2 2 12" xfId="179" xr:uid="{904FE61D-9C09-4808-A209-142FA383769E}"/>
    <cellStyle name="Normal 2 2 2 13" xfId="180" xr:uid="{5DFE27EB-89B9-482E-ACB4-787F7DF880DC}"/>
    <cellStyle name="Normal 2 2 2 14" xfId="181" xr:uid="{8A55BB7D-4483-42C3-A74A-17455EEB5B95}"/>
    <cellStyle name="Normal 2 2 2 15" xfId="182" xr:uid="{01C29F16-2821-43D9-B2AE-37E3A631C146}"/>
    <cellStyle name="Normal 2 2 2 16" xfId="183" xr:uid="{B6863990-1E8B-4A63-8853-794B6E9FDF27}"/>
    <cellStyle name="Normal 2 2 2 17" xfId="184" xr:uid="{9DC7DC86-4E6D-46BC-96CB-0AD66B46B341}"/>
    <cellStyle name="Normal 2 2 2 18" xfId="185" xr:uid="{C5AE450A-7C2E-44D0-84D3-ABE21F88F76D}"/>
    <cellStyle name="Normal 2 2 2 19" xfId="186" xr:uid="{4C1D6C99-D720-4F66-A06B-A45C135EEF87}"/>
    <cellStyle name="Normal 2 2 2 2" xfId="187" xr:uid="{ED20C89E-85D4-48B2-9A15-9845F3C1B586}"/>
    <cellStyle name="Normal 2 2 2 20" xfId="188" xr:uid="{9E37F53C-ABEC-47D6-9683-19FE80DC3CD5}"/>
    <cellStyle name="Normal 2 2 2 21" xfId="189" xr:uid="{8E5DE5A8-B2A0-435F-8778-6E1F6C52FA12}"/>
    <cellStyle name="Normal 2 2 2 22" xfId="190" xr:uid="{D933EF85-1428-4F02-A24D-F19AF6F1230F}"/>
    <cellStyle name="Normal 2 2 2 23" xfId="191" xr:uid="{AF64F593-0FCD-481F-A759-24FD5CC8FCD6}"/>
    <cellStyle name="Normal 2 2 2 24" xfId="192" xr:uid="{96FA5366-A46B-4639-942A-8D20F0CC6B87}"/>
    <cellStyle name="Normal 2 2 2 25" xfId="193" xr:uid="{86739F5F-49A2-4B51-8A6E-7963E9883B11}"/>
    <cellStyle name="Normal 2 2 2 26" xfId="194" xr:uid="{78044259-FCBB-4DA1-9071-4DFE0C2FB709}"/>
    <cellStyle name="Normal 2 2 2 27" xfId="195" xr:uid="{7333C7DC-1A26-4198-8BDD-7B5C48B5A10B}"/>
    <cellStyle name="Normal 2 2 2 28" xfId="196" xr:uid="{AB87E5C8-66AC-4A6A-AC8F-884BDF0206E3}"/>
    <cellStyle name="Normal 2 2 2 29" xfId="197" xr:uid="{779C1284-F3BB-416C-9E8A-D93CF0FBE820}"/>
    <cellStyle name="Normal 2 2 2 3" xfId="198" xr:uid="{6CDAA800-D936-44A9-B30F-648571494E24}"/>
    <cellStyle name="Normal 2 2 2 30" xfId="199" xr:uid="{F3A87B26-98F7-4E04-991C-C7A058CEF6AF}"/>
    <cellStyle name="Normal 2 2 2 31" xfId="200" xr:uid="{23714589-680F-44E8-B613-63E922FCA2DE}"/>
    <cellStyle name="Normal 2 2 2 32" xfId="201" xr:uid="{72D7D5BD-82D0-4C39-981C-CD3F6F01F9FA}"/>
    <cellStyle name="Normal 2 2 2 33" xfId="202" xr:uid="{B9087953-3C08-44FF-B442-BF4CF3EA55D3}"/>
    <cellStyle name="Normal 2 2 2 34" xfId="203" xr:uid="{753A0A6E-AE47-4727-8293-8D15D3C9C8EB}"/>
    <cellStyle name="Normal 2 2 2 35" xfId="204" xr:uid="{E52E19CE-A148-4F9E-9F67-CC52B22AFABF}"/>
    <cellStyle name="Normal 2 2 2 36" xfId="205" xr:uid="{67E1A0D2-B107-45C3-8217-51D5D79FB128}"/>
    <cellStyle name="Normal 2 2 2 37" xfId="206" xr:uid="{4A7223AF-24F0-4C84-9750-2E4061C0EEBF}"/>
    <cellStyle name="Normal 2 2 2 38" xfId="207" xr:uid="{314C53CD-0141-4460-A22D-3EACD5384F32}"/>
    <cellStyle name="Normal 2 2 2 39" xfId="208" xr:uid="{15A7EBB9-1870-421A-9071-5E2A88C7EE58}"/>
    <cellStyle name="Normal 2 2 2 4" xfId="209" xr:uid="{CB815750-797B-49CD-8E27-E7824DDB8663}"/>
    <cellStyle name="Normal 2 2 2 40" xfId="210" xr:uid="{CD1792B8-3B10-4E02-A58A-CEE045290D73}"/>
    <cellStyle name="Normal 2 2 2 41" xfId="211" xr:uid="{A2320DA2-29D7-49C9-A53E-9D5150EDC8F0}"/>
    <cellStyle name="Normal 2 2 2 42" xfId="212" xr:uid="{260306D4-5842-4D0A-BFD9-1B0F0813BBDC}"/>
    <cellStyle name="Normal 2 2 2 43" xfId="213" xr:uid="{8580E329-D593-425A-BF4E-B411C92F0D9B}"/>
    <cellStyle name="Normal 2 2 2 44" xfId="214" xr:uid="{0D9A42AA-5B0A-4063-894F-896760C1BC7A}"/>
    <cellStyle name="Normal 2 2 2 45" xfId="215" xr:uid="{3CF8508F-2DAB-4A4A-A163-22403D1D142E}"/>
    <cellStyle name="Normal 2 2 2 46" xfId="216" xr:uid="{C67A4770-6A8F-450B-9DE9-D74539F05366}"/>
    <cellStyle name="Normal 2 2 2 47" xfId="217" xr:uid="{0A7ADDAE-6082-4F1F-B11D-6993A0673DF4}"/>
    <cellStyle name="Normal 2 2 2 48" xfId="218" xr:uid="{A25265F2-7CB1-47E9-9652-DB6F164F605B}"/>
    <cellStyle name="Normal 2 2 2 49" xfId="219" xr:uid="{E42CF3BB-0209-4CEF-9FE8-FF8BB665F0BF}"/>
    <cellStyle name="Normal 2 2 2 5" xfId="220" xr:uid="{DB76A255-3930-4047-B0B1-EC9A27F33A2A}"/>
    <cellStyle name="Normal 2 2 2 50" xfId="221" xr:uid="{41EEFE79-C23F-4FA4-9AB5-CCC515434BE4}"/>
    <cellStyle name="Normal 2 2 2 51" xfId="222" xr:uid="{A2C7F2DD-9790-44E6-B2FE-7254DC06562B}"/>
    <cellStyle name="Normal 2 2 2 52" xfId="223" xr:uid="{6B544A08-E5C2-4341-8108-1EB224D1B1DA}"/>
    <cellStyle name="Normal 2 2 2 53" xfId="224" xr:uid="{4FC092F9-8D3E-4598-AA29-E53240C31052}"/>
    <cellStyle name="Normal 2 2 2 54" xfId="225" xr:uid="{A2895182-677E-484D-BEF5-3937B2DF9E08}"/>
    <cellStyle name="Normal 2 2 2 55" xfId="226" xr:uid="{BF531890-6998-4368-A0C4-8C70F9023A96}"/>
    <cellStyle name="Normal 2 2 2 56" xfId="227" xr:uid="{4BBF0B19-4B7E-449D-BC7A-7445E078F16A}"/>
    <cellStyle name="Normal 2 2 2 57" xfId="228" xr:uid="{A1F98AF4-FB86-46F5-9D17-ED136BA9BB64}"/>
    <cellStyle name="Normal 2 2 2 58" xfId="229" xr:uid="{DDA65301-CBBC-4B03-B702-C413ED98F60A}"/>
    <cellStyle name="Normal 2 2 2 59" xfId="230" xr:uid="{DACB25AD-1CE6-45D8-B7A0-55E80A5122B3}"/>
    <cellStyle name="Normal 2 2 2 6" xfId="231" xr:uid="{6BA340D4-D471-4A06-ABF6-8D5DF643C1DF}"/>
    <cellStyle name="Normal 2 2 2 60" xfId="232" xr:uid="{F4467982-B315-4700-A171-800F59552D96}"/>
    <cellStyle name="Normal 2 2 2 61" xfId="233" xr:uid="{E940ADF8-C318-4483-9836-07AE06CD33FF}"/>
    <cellStyle name="Normal 2 2 2 62" xfId="234" xr:uid="{2CD85C90-B3B4-4972-B11B-0C5129A01EAA}"/>
    <cellStyle name="Normal 2 2 2 63" xfId="235" xr:uid="{4CB8E7EB-3729-428A-9211-2F9B75F8F17C}"/>
    <cellStyle name="Normal 2 2 2 64" xfId="236" xr:uid="{B522C1BB-5D98-460B-A540-3AAB4392F751}"/>
    <cellStyle name="Normal 2 2 2 65" xfId="237" xr:uid="{B6C07D94-D2BD-425A-B63E-87FB33C92526}"/>
    <cellStyle name="Normal 2 2 2 7" xfId="238" xr:uid="{D4126ED8-3E4D-4B26-9280-59C47F997DF9}"/>
    <cellStyle name="Normal 2 2 2 8" xfId="239" xr:uid="{8B5FAF07-039B-48B6-85E4-602C36DEDDD0}"/>
    <cellStyle name="Normal 2 2 2 9" xfId="240" xr:uid="{25A321FF-AEC9-483E-8F71-418D9BB4828D}"/>
    <cellStyle name="Normal 2 2 2_100114_ReCiPe_endpoint_orginalversion-Sander" xfId="241" xr:uid="{94C10468-5E07-46EC-AF0C-19B6DEA8B0F2}"/>
    <cellStyle name="Normal 2 2 3" xfId="242" xr:uid="{849533E2-8C39-4104-A226-22949470D8BC}"/>
    <cellStyle name="Normal 2 2 3 10" xfId="243" xr:uid="{797D293F-AAD1-4929-A3CE-A959019DB316}"/>
    <cellStyle name="Normal 2 2 3 11" xfId="244" xr:uid="{7AE1A2D2-00B1-41AF-A176-DD844ADC79CE}"/>
    <cellStyle name="Normal 2 2 3 12" xfId="245" xr:uid="{9A15CFC7-DE77-44F1-8DB0-CE988176A10A}"/>
    <cellStyle name="Normal 2 2 3 13" xfId="246" xr:uid="{8F426886-E353-4096-A627-5AD443CB32CF}"/>
    <cellStyle name="Normal 2 2 3 14" xfId="247" xr:uid="{2A27C479-C2EF-42D5-BB19-BEBBAC0720C1}"/>
    <cellStyle name="Normal 2 2 3 15" xfId="248" xr:uid="{3D821764-8065-40EA-908A-4A7E761563F7}"/>
    <cellStyle name="Normal 2 2 3 16" xfId="249" xr:uid="{159624CD-CD3A-4EFD-8B9C-56F4261F55DE}"/>
    <cellStyle name="Normal 2 2 3 17" xfId="250" xr:uid="{CC2468CD-1E53-47C7-BF3B-6039FB13E84B}"/>
    <cellStyle name="Normal 2 2 3 18" xfId="251" xr:uid="{D5354D69-6B3A-4DE8-8C95-308ED7353171}"/>
    <cellStyle name="Normal 2 2 3 19" xfId="252" xr:uid="{9310A0AF-F357-4DE6-9BA6-E95AED18D104}"/>
    <cellStyle name="Normal 2 2 3 2" xfId="253" xr:uid="{72C07B1D-AED9-43F9-9207-B4CC0A8014C8}"/>
    <cellStyle name="Normal 2 2 3 20" xfId="254" xr:uid="{0C715836-7593-461E-B8D6-D2B92B7058FB}"/>
    <cellStyle name="Normal 2 2 3 21" xfId="255" xr:uid="{9F880CDD-DAE2-4381-8594-59D551D7F836}"/>
    <cellStyle name="Normal 2 2 3 22" xfId="256" xr:uid="{2EF32F29-8676-455D-AE2F-B2DB8BFB85A8}"/>
    <cellStyle name="Normal 2 2 3 23" xfId="257" xr:uid="{80A88660-DE56-4577-85FB-FB5A0D76ACCA}"/>
    <cellStyle name="Normal 2 2 3 24" xfId="258" xr:uid="{2D5CAC52-1E0B-4B9B-8F6F-4B6A2DB2D8E8}"/>
    <cellStyle name="Normal 2 2 3 25" xfId="259" xr:uid="{9E697756-3483-48C0-AEE0-6BC2DDEA1F14}"/>
    <cellStyle name="Normal 2 2 3 26" xfId="260" xr:uid="{8EACACB0-7FC0-421B-BC9B-19043815A7AC}"/>
    <cellStyle name="Normal 2 2 3 27" xfId="261" xr:uid="{1339F26E-C672-4A79-9D3B-C397CFB472BA}"/>
    <cellStyle name="Normal 2 2 3 28" xfId="262" xr:uid="{EEF9762F-A687-4C29-B9C2-A2061095187D}"/>
    <cellStyle name="Normal 2 2 3 29" xfId="263" xr:uid="{27A5625B-A899-4322-9DD5-0C982EA638BA}"/>
    <cellStyle name="Normal 2 2 3 3" xfId="264" xr:uid="{AEDB1E61-44C2-412A-BACC-98EB75A02C3B}"/>
    <cellStyle name="Normal 2 2 3 30" xfId="265" xr:uid="{4D81CAB7-450E-422F-85A1-AEFB614D00F5}"/>
    <cellStyle name="Normal 2 2 3 31" xfId="266" xr:uid="{F29A7B97-10F7-4541-929B-0938B13D1159}"/>
    <cellStyle name="Normal 2 2 3 32" xfId="267" xr:uid="{88B65B0A-289D-4B5F-836C-4A04D02FC983}"/>
    <cellStyle name="Normal 2 2 3 33" xfId="268" xr:uid="{CA6730E3-7BAD-4BEC-BABE-4FED47D5FA3D}"/>
    <cellStyle name="Normal 2 2 3 34" xfId="269" xr:uid="{452727C9-F967-4931-A562-70E237C079B3}"/>
    <cellStyle name="Normal 2 2 3 35" xfId="270" xr:uid="{2F258AF7-A726-4D14-B84D-D36324A2E64F}"/>
    <cellStyle name="Normal 2 2 3 36" xfId="271" xr:uid="{E11F4FDE-9A88-4D38-B8BA-B6017E22C447}"/>
    <cellStyle name="Normal 2 2 3 37" xfId="272" xr:uid="{58C71DB0-94A9-4BAD-9508-2A928D04A714}"/>
    <cellStyle name="Normal 2 2 3 38" xfId="273" xr:uid="{F9D509B7-E859-40E2-B604-88B31EE173C5}"/>
    <cellStyle name="Normal 2 2 3 39" xfId="274" xr:uid="{60E8F586-0388-416D-AB46-D8D89ADF34A7}"/>
    <cellStyle name="Normal 2 2 3 4" xfId="275" xr:uid="{9A2910EC-31C4-4FE9-95DF-E07BDEA81405}"/>
    <cellStyle name="Normal 2 2 3 40" xfId="276" xr:uid="{775251C5-4D69-4F5C-92CE-F736AE85E768}"/>
    <cellStyle name="Normal 2 2 3 41" xfId="277" xr:uid="{4C342607-2DDD-4AFE-9FB5-E78BB54FE793}"/>
    <cellStyle name="Normal 2 2 3 42" xfId="278" xr:uid="{EDCF3B3A-464E-45D1-BF5D-B07034464DD1}"/>
    <cellStyle name="Normal 2 2 3 43" xfId="279" xr:uid="{8D55C579-B277-416A-869F-CF1DD3A9BAAB}"/>
    <cellStyle name="Normal 2 2 3 44" xfId="280" xr:uid="{6B69D08F-9B74-4ED7-A682-C98DBF469E54}"/>
    <cellStyle name="Normal 2 2 3 45" xfId="281" xr:uid="{08E45E64-8F72-4B04-8CD0-9A01AADBDFA6}"/>
    <cellStyle name="Normal 2 2 3 46" xfId="282" xr:uid="{1834A1EA-5A7F-4197-9339-943F7BD6A4F4}"/>
    <cellStyle name="Normal 2 2 3 47" xfId="283" xr:uid="{BD0477FA-1BE9-4BEF-B55A-7EC70FD150D7}"/>
    <cellStyle name="Normal 2 2 3 48" xfId="284" xr:uid="{89227B91-6D33-4721-8778-7A0D328AE931}"/>
    <cellStyle name="Normal 2 2 3 49" xfId="285" xr:uid="{40B2CF75-5A37-4A5D-8B2B-648A1693849E}"/>
    <cellStyle name="Normal 2 2 3 5" xfId="286" xr:uid="{92D3BEAC-8F8D-4EB6-AEB5-030D690F7DA6}"/>
    <cellStyle name="Normal 2 2 3 50" xfId="287" xr:uid="{CF4D7464-838C-455D-A6A1-0437AB35F395}"/>
    <cellStyle name="Normal 2 2 3 51" xfId="288" xr:uid="{56B12B21-BBF9-485B-9CC8-D575698C804B}"/>
    <cellStyle name="Normal 2 2 3 52" xfId="289" xr:uid="{DC8CC5CB-D1A1-4C45-8FC4-1741863051DC}"/>
    <cellStyle name="Normal 2 2 3 53" xfId="290" xr:uid="{478F8BF8-E87D-4764-BD90-92368A733E63}"/>
    <cellStyle name="Normal 2 2 3 54" xfId="291" xr:uid="{A2AF85F1-0061-48BF-BA92-4DAC51A81F30}"/>
    <cellStyle name="Normal 2 2 3 55" xfId="292" xr:uid="{219A24CA-70F4-4AC2-B11B-FD1E5875926A}"/>
    <cellStyle name="Normal 2 2 3 56" xfId="293" xr:uid="{74EAB10D-AF21-423D-A678-6CCBA6D2E3C3}"/>
    <cellStyle name="Normal 2 2 3 57" xfId="294" xr:uid="{27954965-A78B-4611-8509-D7BBD2F16817}"/>
    <cellStyle name="Normal 2 2 3 58" xfId="295" xr:uid="{0A58B9F9-513A-40D7-9C6C-D3F231742F21}"/>
    <cellStyle name="Normal 2 2 3 59" xfId="296" xr:uid="{6A076C33-6A96-4E35-8EAF-E29811AEADED}"/>
    <cellStyle name="Normal 2 2 3 6" xfId="297" xr:uid="{7CC07EF9-AC01-4665-88D8-D76272721243}"/>
    <cellStyle name="Normal 2 2 3 60" xfId="298" xr:uid="{E397A220-7982-4FEF-995B-DAF571E31297}"/>
    <cellStyle name="Normal 2 2 3 61" xfId="299" xr:uid="{E55AE85E-E3C7-4E34-9A21-4D338D76C1EE}"/>
    <cellStyle name="Normal 2 2 3 62" xfId="300" xr:uid="{BC802CC9-C529-447C-AD22-27D693508687}"/>
    <cellStyle name="Normal 2 2 3 63" xfId="301" xr:uid="{37C6F05F-26F0-4FA0-AF30-85AD40D1FB3E}"/>
    <cellStyle name="Normal 2 2 3 64" xfId="302" xr:uid="{7C7B5F29-542C-49A5-BADF-E8EF4E758043}"/>
    <cellStyle name="Normal 2 2 3 65" xfId="303" xr:uid="{0C170290-2F7F-41A3-B60B-2FABA9916C7C}"/>
    <cellStyle name="Normal 2 2 3 7" xfId="304" xr:uid="{0D35F8F4-1AF8-4239-8996-CD9525BE7990}"/>
    <cellStyle name="Normal 2 2 3 8" xfId="305" xr:uid="{4B63F5D4-C193-4ABC-91BF-2AE3D5068C3D}"/>
    <cellStyle name="Normal 2 2 3 9" xfId="306" xr:uid="{5D7ADCE5-45AA-4AC1-955B-337B8B2A3B7C}"/>
    <cellStyle name="Normal 2 2 3_100114_ReCiPe_endpoint_orginalversion-Sander" xfId="307" xr:uid="{6C18402A-49DD-4B1C-B3E7-FACC3423A6FD}"/>
    <cellStyle name="Normal 2 2 4" xfId="308" xr:uid="{FE5A1F25-FED0-4E8D-B48A-392640386040}"/>
    <cellStyle name="Normal 2 2 4 10" xfId="309" xr:uid="{E4B23555-0CCB-499A-8AAE-53FEDCDD3344}"/>
    <cellStyle name="Normal 2 2 4 11" xfId="310" xr:uid="{57D3573C-93DD-4A0C-8AD1-4D8A9AA96182}"/>
    <cellStyle name="Normal 2 2 4 12" xfId="311" xr:uid="{1050A633-27EA-4762-BCE7-9393635B1B80}"/>
    <cellStyle name="Normal 2 2 4 13" xfId="312" xr:uid="{CE6C33BC-1567-4BB3-AEB5-0D02F5B15F9D}"/>
    <cellStyle name="Normal 2 2 4 14" xfId="313" xr:uid="{365AE327-9D9C-4F97-B96A-423BA80F499C}"/>
    <cellStyle name="Normal 2 2 4 15" xfId="314" xr:uid="{A7921269-CACD-4ED8-9740-19B31559D071}"/>
    <cellStyle name="Normal 2 2 4 16" xfId="315" xr:uid="{A3451946-5D84-4B52-A32D-251FA63423EB}"/>
    <cellStyle name="Normal 2 2 4 17" xfId="316" xr:uid="{4CC426EA-2219-4ABA-8737-DD97F482124E}"/>
    <cellStyle name="Normal 2 2 4 18" xfId="317" xr:uid="{A0CE5A32-B5B6-4359-B734-53F9B58B9584}"/>
    <cellStyle name="Normal 2 2 4 19" xfId="318" xr:uid="{90CFB38F-C2D7-4A5D-88CA-F053BD0CBF2C}"/>
    <cellStyle name="Normal 2 2 4 2" xfId="319" xr:uid="{0DC1169D-1E79-4F7E-A7E1-4EBFC6663203}"/>
    <cellStyle name="Normal 2 2 4 20" xfId="320" xr:uid="{7D269465-05FE-4B99-B617-AD9FAC7381C9}"/>
    <cellStyle name="Normal 2 2 4 21" xfId="321" xr:uid="{D02CDFEC-5EB3-476F-8B6C-BAE5C52FC92C}"/>
    <cellStyle name="Normal 2 2 4 22" xfId="322" xr:uid="{F30BFA03-D089-4F82-80EB-3D993FCE24CA}"/>
    <cellStyle name="Normal 2 2 4 23" xfId="323" xr:uid="{107BB132-9B60-4C4B-B333-8DEDF79E7099}"/>
    <cellStyle name="Normal 2 2 4 24" xfId="324" xr:uid="{84F4C7AA-B2E4-4525-9030-118BE1CF2DE6}"/>
    <cellStyle name="Normal 2 2 4 25" xfId="325" xr:uid="{CF9621DC-F9BE-4B38-BFEB-503FD25F5AE2}"/>
    <cellStyle name="Normal 2 2 4 26" xfId="326" xr:uid="{F694B125-6449-4CD2-887C-A39F1FA3A535}"/>
    <cellStyle name="Normal 2 2 4 27" xfId="327" xr:uid="{54BCE9E0-7BE5-439C-AD09-041297027803}"/>
    <cellStyle name="Normal 2 2 4 28" xfId="328" xr:uid="{DB1A8916-E0FF-420C-BC9C-91588BE08A32}"/>
    <cellStyle name="Normal 2 2 4 29" xfId="329" xr:uid="{E1ACCB20-F064-4CF4-BCFC-6CAF8A8406FA}"/>
    <cellStyle name="Normal 2 2 4 3" xfId="330" xr:uid="{FAE91BA8-1C49-40C0-9658-FEAACD1F6428}"/>
    <cellStyle name="Normal 2 2 4 30" xfId="331" xr:uid="{548EC8FF-AF32-4B6D-8479-2CA6B29C9493}"/>
    <cellStyle name="Normal 2 2 4 31" xfId="332" xr:uid="{3ED6578F-A101-4514-AE4D-DEE6A1415EF2}"/>
    <cellStyle name="Normal 2 2 4 32" xfId="333" xr:uid="{B22F19E8-5C61-4DB9-8151-BAB2EBC8103E}"/>
    <cellStyle name="Normal 2 2 4 33" xfId="334" xr:uid="{D759C7C9-9706-4CFA-B4E4-20A4E31A11D3}"/>
    <cellStyle name="Normal 2 2 4 34" xfId="335" xr:uid="{5E83BA11-29B1-4C7F-B82E-F2E9A02ABDE5}"/>
    <cellStyle name="Normal 2 2 4 35" xfId="336" xr:uid="{B114387C-C59E-4CAC-84B7-94A60B4ADCC3}"/>
    <cellStyle name="Normal 2 2 4 36" xfId="337" xr:uid="{16CF4C5F-3C1A-45F0-BE3E-EB3C479F9073}"/>
    <cellStyle name="Normal 2 2 4 37" xfId="338" xr:uid="{5D3C5937-1D7C-47B2-AFB2-66D7B325871F}"/>
    <cellStyle name="Normal 2 2 4 38" xfId="339" xr:uid="{F67BFADA-55FF-4866-9C4F-6D91F8C66ED0}"/>
    <cellStyle name="Normal 2 2 4 39" xfId="340" xr:uid="{3F63968F-1D92-4144-A535-2C103BE38347}"/>
    <cellStyle name="Normal 2 2 4 4" xfId="341" xr:uid="{9EEF7957-CF0F-4D29-AE25-DE060028FBCA}"/>
    <cellStyle name="Normal 2 2 4 40" xfId="342" xr:uid="{E54C697E-2BBF-4D67-BB26-16F970A6B74B}"/>
    <cellStyle name="Normal 2 2 4 41" xfId="343" xr:uid="{A2CCF824-DD7C-4299-ADBF-DFB4348BCA09}"/>
    <cellStyle name="Normal 2 2 4 42" xfId="344" xr:uid="{8FB4E726-F715-4F3A-BA20-2BE5B1B43E74}"/>
    <cellStyle name="Normal 2 2 4 43" xfId="345" xr:uid="{6987E9DF-627E-43C3-8009-F914CAB02B94}"/>
    <cellStyle name="Normal 2 2 4 44" xfId="346" xr:uid="{4C87408B-75B7-4FE7-9B57-8BF3D0ECB54C}"/>
    <cellStyle name="Normal 2 2 4 45" xfId="347" xr:uid="{6EC9AC6D-7C6B-4B52-A851-5266A87BF404}"/>
    <cellStyle name="Normal 2 2 4 46" xfId="348" xr:uid="{09966C92-951C-4C0D-8BF3-9CDCF9F0AF43}"/>
    <cellStyle name="Normal 2 2 4 47" xfId="349" xr:uid="{FF95C633-555C-4EF5-B8BF-8B8335461CE0}"/>
    <cellStyle name="Normal 2 2 4 48" xfId="350" xr:uid="{253A9607-3F69-42AB-B413-F747B48B7DAB}"/>
    <cellStyle name="Normal 2 2 4 49" xfId="351" xr:uid="{31DEF14F-474A-496F-8F75-C773FDDC01AD}"/>
    <cellStyle name="Normal 2 2 4 5" xfId="352" xr:uid="{4C682FFC-A77E-40E7-AF25-DFA382626105}"/>
    <cellStyle name="Normal 2 2 4 50" xfId="353" xr:uid="{5403A9B6-2A20-4B28-8477-9195BE24B4B3}"/>
    <cellStyle name="Normal 2 2 4 51" xfId="354" xr:uid="{0C3C96B4-E2F8-4CA9-AEF0-279CDAADF851}"/>
    <cellStyle name="Normal 2 2 4 52" xfId="355" xr:uid="{5CCC905F-86C5-4530-AF35-1263FE326CFC}"/>
    <cellStyle name="Normal 2 2 4 53" xfId="356" xr:uid="{56441B84-4970-4C44-BBA8-A54E4A81409A}"/>
    <cellStyle name="Normal 2 2 4 54" xfId="357" xr:uid="{C540610F-A546-4795-96A0-A5BCE94243C4}"/>
    <cellStyle name="Normal 2 2 4 55" xfId="358" xr:uid="{32D0377A-96E2-4D69-B73F-0A0A15095AD6}"/>
    <cellStyle name="Normal 2 2 4 56" xfId="359" xr:uid="{4E0101C3-7C57-4877-8C65-BCD4C39F5C6E}"/>
    <cellStyle name="Normal 2 2 4 57" xfId="360" xr:uid="{55C7C691-2E4E-4625-983E-FA8C2226BDBE}"/>
    <cellStyle name="Normal 2 2 4 58" xfId="361" xr:uid="{A8DB3238-A6D7-4E2E-B1B9-D3286A75861E}"/>
    <cellStyle name="Normal 2 2 4 59" xfId="362" xr:uid="{D400BB65-12BF-4E22-8C25-B844EE0B0130}"/>
    <cellStyle name="Normal 2 2 4 6" xfId="363" xr:uid="{7E202D70-DED6-4A5C-85FD-8F366F6D879D}"/>
    <cellStyle name="Normal 2 2 4 60" xfId="364" xr:uid="{394B7E2E-B982-420E-8799-A0259B9B0351}"/>
    <cellStyle name="Normal 2 2 4 61" xfId="365" xr:uid="{3187BF9D-34AB-4777-88B8-9EC68F0E4BCC}"/>
    <cellStyle name="Normal 2 2 4 62" xfId="366" xr:uid="{5E78A024-4415-40AF-BE06-E47E812F31DB}"/>
    <cellStyle name="Normal 2 2 4 63" xfId="367" xr:uid="{3911C5E2-3020-42C6-9B67-C6D37EA48D7F}"/>
    <cellStyle name="Normal 2 2 4 64" xfId="368" xr:uid="{671465E9-735A-47C3-924E-7DC8516312B1}"/>
    <cellStyle name="Normal 2 2 4 65" xfId="369" xr:uid="{A4D3E0E3-1FEB-47CA-802F-9A920162C388}"/>
    <cellStyle name="Normal 2 2 4 7" xfId="370" xr:uid="{DB1E0494-175F-4B64-A208-E3C98D10F49E}"/>
    <cellStyle name="Normal 2 2 4 8" xfId="371" xr:uid="{13B6D7A8-0D7F-47AD-85C7-DA6427C1D7B5}"/>
    <cellStyle name="Normal 2 2 4 9" xfId="372" xr:uid="{75CB9DD8-2E9F-4CD2-9A39-E77D5A3AC865}"/>
    <cellStyle name="Normal 2 2 4_100114_ReCiPe_endpoint_orginalversion-Sander" xfId="373" xr:uid="{6ABB05AA-737C-48E1-B64E-54E2923AB8E0}"/>
    <cellStyle name="Normal 2 2 5" xfId="374" xr:uid="{1146D8B6-982A-4FA8-A1F3-9D678E59A31B}"/>
    <cellStyle name="Normal 2 2 5 10" xfId="375" xr:uid="{6BCA2E3F-55EE-4F92-B059-B91B94951D09}"/>
    <cellStyle name="Normal 2 2 5 11" xfId="376" xr:uid="{113654D5-ACEE-4AFD-B5DC-ECE84E2465D0}"/>
    <cellStyle name="Normal 2 2 5 12" xfId="377" xr:uid="{485D6488-1FC7-4F74-AB70-26FF15CDBCBF}"/>
    <cellStyle name="Normal 2 2 5 13" xfId="378" xr:uid="{74CD55CD-8B64-4136-B39D-B707C617081C}"/>
    <cellStyle name="Normal 2 2 5 14" xfId="379" xr:uid="{057EE35B-D581-4E5B-AA3C-88E5A3FCC3E1}"/>
    <cellStyle name="Normal 2 2 5 15" xfId="380" xr:uid="{B32B8902-F3F1-478F-81F7-BE8FB663D753}"/>
    <cellStyle name="Normal 2 2 5 16" xfId="381" xr:uid="{1CAE2FE4-ACDC-4ACE-A97A-996B78271550}"/>
    <cellStyle name="Normal 2 2 5 17" xfId="382" xr:uid="{9AEE994B-5A33-458D-B07A-B1E4E7355847}"/>
    <cellStyle name="Normal 2 2 5 18" xfId="383" xr:uid="{B4D5A497-0EC4-48EF-B7FE-5186CE0C8671}"/>
    <cellStyle name="Normal 2 2 5 19" xfId="384" xr:uid="{A4B66B50-49CF-4CB2-A3F6-44DA4C028D7E}"/>
    <cellStyle name="Normal 2 2 5 2" xfId="385" xr:uid="{3102D8B5-8C85-47B3-AFF2-2B88DB321D71}"/>
    <cellStyle name="Normal 2 2 5 20" xfId="386" xr:uid="{865BC925-282E-4868-8A49-B77835125085}"/>
    <cellStyle name="Normal 2 2 5 21" xfId="387" xr:uid="{FBE88B27-7B1A-489E-AB9E-2EB0B88C2F64}"/>
    <cellStyle name="Normal 2 2 5 22" xfId="388" xr:uid="{2598146F-D26A-44C6-9250-38747158B84B}"/>
    <cellStyle name="Normal 2 2 5 23" xfId="389" xr:uid="{100D7FBB-2910-41CA-8C2F-EAEC6861D830}"/>
    <cellStyle name="Normal 2 2 5 24" xfId="390" xr:uid="{CDB4BA89-3094-4020-B87C-C86373B57B27}"/>
    <cellStyle name="Normal 2 2 5 25" xfId="391" xr:uid="{950D10E6-07EA-44CF-9472-A48182EAE1DA}"/>
    <cellStyle name="Normal 2 2 5 26" xfId="392" xr:uid="{D5D6FCA1-ECC7-460D-B76D-8F9A8753CD54}"/>
    <cellStyle name="Normal 2 2 5 27" xfId="393" xr:uid="{CD5BF8A0-612B-429F-B8F4-BA1B1C4562DF}"/>
    <cellStyle name="Normal 2 2 5 28" xfId="394" xr:uid="{34803AA7-A358-4E70-94F2-8A14C38F4A1B}"/>
    <cellStyle name="Normal 2 2 5 29" xfId="395" xr:uid="{F765FCE0-0ED2-41C5-947C-F53D87D340AF}"/>
    <cellStyle name="Normal 2 2 5 3" xfId="396" xr:uid="{F04C6A66-8FDE-490D-9EC4-37D355388803}"/>
    <cellStyle name="Normal 2 2 5 30" xfId="397" xr:uid="{982D0A2E-0B25-4C4B-B056-2B6803D5459F}"/>
    <cellStyle name="Normal 2 2 5 31" xfId="398" xr:uid="{EB42EE4F-FE68-44ED-A3BE-02C5F5E0FDDD}"/>
    <cellStyle name="Normal 2 2 5 32" xfId="399" xr:uid="{D27FE8C9-8AE2-4672-9899-4CE618EF0A12}"/>
    <cellStyle name="Normal 2 2 5 33" xfId="400" xr:uid="{52349D96-89A2-49D9-965E-3BFF72BE368A}"/>
    <cellStyle name="Normal 2 2 5 34" xfId="401" xr:uid="{96F6DA11-3CB1-4658-95BC-4316650AFF5E}"/>
    <cellStyle name="Normal 2 2 5 35" xfId="402" xr:uid="{81B1D8B7-B8AC-498F-AC2C-78AC9334D70F}"/>
    <cellStyle name="Normal 2 2 5 36" xfId="403" xr:uid="{A402C59C-F149-4148-8A4A-9A1E7DEE91AC}"/>
    <cellStyle name="Normal 2 2 5 37" xfId="404" xr:uid="{995F363A-3A94-4234-A681-49C23BC3FACD}"/>
    <cellStyle name="Normal 2 2 5 38" xfId="405" xr:uid="{E26F50E9-8C9B-42E8-9BAC-661A2EA8FAF6}"/>
    <cellStyle name="Normal 2 2 5 39" xfId="406" xr:uid="{C6F10FDC-642F-403A-8AE5-1E6887D06E19}"/>
    <cellStyle name="Normal 2 2 5 4" xfId="407" xr:uid="{13006B3A-5033-4FFA-A336-99F00819EEFD}"/>
    <cellStyle name="Normal 2 2 5 40" xfId="408" xr:uid="{E20347A4-D84B-4E97-8E32-AE45F7F758E9}"/>
    <cellStyle name="Normal 2 2 5 41" xfId="409" xr:uid="{ED44A352-79F0-42CD-BD9A-79F104E860C6}"/>
    <cellStyle name="Normal 2 2 5 42" xfId="410" xr:uid="{F60EFBE2-AA84-46F4-A970-649C8CA82324}"/>
    <cellStyle name="Normal 2 2 5 43" xfId="411" xr:uid="{E0669948-EA8C-4427-8023-DA0E070433B2}"/>
    <cellStyle name="Normal 2 2 5 44" xfId="412" xr:uid="{4B13517E-0692-4634-9FB2-C299DE121A8A}"/>
    <cellStyle name="Normal 2 2 5 45" xfId="413" xr:uid="{1978A85E-D14D-4BBA-90FB-F8B2A95B1868}"/>
    <cellStyle name="Normal 2 2 5 46" xfId="414" xr:uid="{4E35344B-130B-49B3-A303-7E21736858B1}"/>
    <cellStyle name="Normal 2 2 5 47" xfId="415" xr:uid="{E89BFF8A-2DCB-4B7D-A696-B1DB3A8A3991}"/>
    <cellStyle name="Normal 2 2 5 48" xfId="416" xr:uid="{939A0E95-F71B-4BBE-9E64-317F7C1E6EDC}"/>
    <cellStyle name="Normal 2 2 5 49" xfId="417" xr:uid="{CAA44A95-6409-48C1-8838-87A3EFAED0DC}"/>
    <cellStyle name="Normal 2 2 5 5" xfId="418" xr:uid="{BBE8C7ED-05AA-4F8A-8E27-3B661237125D}"/>
    <cellStyle name="Normal 2 2 5 50" xfId="419" xr:uid="{7D2A0471-ADFD-47E4-8851-36EED6A1F41D}"/>
    <cellStyle name="Normal 2 2 5 51" xfId="420" xr:uid="{9D68A605-BE8C-4DDB-8A65-776CAF3B9DBC}"/>
    <cellStyle name="Normal 2 2 5 52" xfId="421" xr:uid="{D60E95CB-3E82-40F3-832B-B7B0C7C7DDE8}"/>
    <cellStyle name="Normal 2 2 5 53" xfId="422" xr:uid="{EBED547A-1197-4E84-86F8-275607910287}"/>
    <cellStyle name="Normal 2 2 5 54" xfId="423" xr:uid="{E4A21BA9-4F54-4A1B-BA5E-0E52A07C435B}"/>
    <cellStyle name="Normal 2 2 5 55" xfId="424" xr:uid="{74EF73E6-0281-4DA2-ADC0-1E466F9DED79}"/>
    <cellStyle name="Normal 2 2 5 56" xfId="425" xr:uid="{D592C50D-C4C6-4137-BB00-55D4FAC115C8}"/>
    <cellStyle name="Normal 2 2 5 57" xfId="426" xr:uid="{4A451AB0-4125-4BBF-B196-F5D7777FC5FA}"/>
    <cellStyle name="Normal 2 2 5 58" xfId="427" xr:uid="{78C434B3-398A-43EA-B695-F8D0A3678079}"/>
    <cellStyle name="Normal 2 2 5 59" xfId="428" xr:uid="{ED691798-90F8-4A66-A2AA-22AF4A0C0EF9}"/>
    <cellStyle name="Normal 2 2 5 6" xfId="429" xr:uid="{66304CA0-83B6-4F4B-AB4B-AC5DFB686251}"/>
    <cellStyle name="Normal 2 2 5 60" xfId="430" xr:uid="{B64CF963-1B50-4679-95B5-D260961D627C}"/>
    <cellStyle name="Normal 2 2 5 61" xfId="431" xr:uid="{946CBDA3-59C8-4DAD-957E-96DDDA82F0E4}"/>
    <cellStyle name="Normal 2 2 5 62" xfId="432" xr:uid="{D7E36028-C64B-4225-A578-DEF4F1A5C0DF}"/>
    <cellStyle name="Normal 2 2 5 63" xfId="433" xr:uid="{580E316F-71AA-4242-A39D-AA195A3BDDF0}"/>
    <cellStyle name="Normal 2 2 5 64" xfId="434" xr:uid="{E42D5282-E129-403E-B171-E5ACA98D8A47}"/>
    <cellStyle name="Normal 2 2 5 65" xfId="435" xr:uid="{137AA811-E25A-4F61-A1BF-C70CB7E51126}"/>
    <cellStyle name="Normal 2 2 5 7" xfId="436" xr:uid="{8E57946D-F31A-4CEC-9CA7-AF8890DB67C9}"/>
    <cellStyle name="Normal 2 2 5 8" xfId="437" xr:uid="{489FA880-2C6D-4E93-87A8-454925639EC3}"/>
    <cellStyle name="Normal 2 2 5 9" xfId="438" xr:uid="{6BF1B183-951D-45AD-83B5-D54DA80F6AF5}"/>
    <cellStyle name="Normal 2 2 5_100114_ReCiPe_endpoint_orginalversion-Sander" xfId="439" xr:uid="{7406F533-3C55-4DC0-B908-1F1A69842293}"/>
    <cellStyle name="Normal 2 2 6" xfId="440" xr:uid="{8EE3EC94-2EE3-4DE4-A830-2FB1E487A4A7}"/>
    <cellStyle name="Normal 2 2 6 10" xfId="441" xr:uid="{73FBABE5-5903-4F5A-862F-CC6C6EC778A4}"/>
    <cellStyle name="Normal 2 2 6 11" xfId="442" xr:uid="{169643E0-305E-47E1-87FC-B94D98700664}"/>
    <cellStyle name="Normal 2 2 6 12" xfId="443" xr:uid="{93C92F6C-BADB-49BB-AC95-297A7676B9D2}"/>
    <cellStyle name="Normal 2 2 6 13" xfId="444" xr:uid="{AFE19E03-7AA4-4EF8-B9DF-E6A92E32E567}"/>
    <cellStyle name="Normal 2 2 6 14" xfId="445" xr:uid="{23A5A7FF-1B1F-4110-84B0-E9284345DFEA}"/>
    <cellStyle name="Normal 2 2 6 15" xfId="446" xr:uid="{4B560A7D-AE70-49AC-B2E8-D3907DC8A977}"/>
    <cellStyle name="Normal 2 2 6 16" xfId="447" xr:uid="{6EE587D9-F0CD-4553-9AF6-F1555D69CD20}"/>
    <cellStyle name="Normal 2 2 6 17" xfId="448" xr:uid="{CB8FB157-5A05-4502-9F45-0B4B9EBB6309}"/>
    <cellStyle name="Normal 2 2 6 18" xfId="449" xr:uid="{0925F72E-0D38-458B-B9A8-C3B0797E4336}"/>
    <cellStyle name="Normal 2 2 6 19" xfId="450" xr:uid="{C2CEB102-7B55-4939-8D3E-2651DE5FC88D}"/>
    <cellStyle name="Normal 2 2 6 2" xfId="451" xr:uid="{4E098D04-CACF-47AA-BE57-F97E4E983690}"/>
    <cellStyle name="Normal 2 2 6 20" xfId="452" xr:uid="{00092D78-F9CF-453B-82EA-E7393AB3AE5A}"/>
    <cellStyle name="Normal 2 2 6 21" xfId="453" xr:uid="{3D5C5305-BD8F-414C-988C-26E32FA633E5}"/>
    <cellStyle name="Normal 2 2 6 22" xfId="454" xr:uid="{0A788803-C9A9-47EB-AD11-DC90A4123D71}"/>
    <cellStyle name="Normal 2 2 6 23" xfId="455" xr:uid="{2C579F75-9E1A-49EB-9457-4A1BF88BBB3B}"/>
    <cellStyle name="Normal 2 2 6 24" xfId="456" xr:uid="{BE1BA209-58C1-4E61-91AA-69FD8B3A36E3}"/>
    <cellStyle name="Normal 2 2 6 25" xfId="457" xr:uid="{52BF158D-1455-4285-A501-04353900B3F8}"/>
    <cellStyle name="Normal 2 2 6 26" xfId="458" xr:uid="{8D953496-F05F-4C68-97F7-8F8AE0E7BDC5}"/>
    <cellStyle name="Normal 2 2 6 27" xfId="459" xr:uid="{F79C29D6-E1A0-4F1B-BE58-4FCD1E7F37FE}"/>
    <cellStyle name="Normal 2 2 6 28" xfId="460" xr:uid="{F976CB8D-DA67-4EB0-B0BB-99E36E5F24F1}"/>
    <cellStyle name="Normal 2 2 6 29" xfId="461" xr:uid="{570A47B1-A719-41F6-AC66-35DDAC6FF123}"/>
    <cellStyle name="Normal 2 2 6 3" xfId="462" xr:uid="{C5492F2C-6968-45AC-9E85-2FD0D9207B8F}"/>
    <cellStyle name="Normal 2 2 6 30" xfId="463" xr:uid="{B1B3120E-308D-4B8B-B826-502EFFD4C136}"/>
    <cellStyle name="Normal 2 2 6 31" xfId="464" xr:uid="{BE0C81DE-B945-4F99-B857-EF2B4705E822}"/>
    <cellStyle name="Normal 2 2 6 32" xfId="465" xr:uid="{32A678E9-D793-4611-82C1-9CF820038154}"/>
    <cellStyle name="Normal 2 2 6 33" xfId="466" xr:uid="{CE303AC1-81A3-4CE5-A835-C69AB7AD1309}"/>
    <cellStyle name="Normal 2 2 6 34" xfId="467" xr:uid="{43154CE2-E425-4D2F-8EB9-70D0ED31789B}"/>
    <cellStyle name="Normal 2 2 6 35" xfId="468" xr:uid="{0AEF2AC6-2932-4CDB-A59C-FDC326117CD7}"/>
    <cellStyle name="Normal 2 2 6 36" xfId="469" xr:uid="{E39C70BB-0A02-4952-A203-D801126E62D7}"/>
    <cellStyle name="Normal 2 2 6 37" xfId="470" xr:uid="{41F5F5BF-FF1D-4205-9E6B-F77740F2D46F}"/>
    <cellStyle name="Normal 2 2 6 38" xfId="471" xr:uid="{A77C4592-1BD0-4525-846F-0C7AE8A11C6A}"/>
    <cellStyle name="Normal 2 2 6 39" xfId="472" xr:uid="{005AEB3D-DE96-4C24-B3E4-AD9FD41CD297}"/>
    <cellStyle name="Normal 2 2 6 4" xfId="473" xr:uid="{FF8016F9-BA4B-42C7-BB08-F60EC29FB364}"/>
    <cellStyle name="Normal 2 2 6 40" xfId="474" xr:uid="{B96F42C5-2518-4A17-9288-2CABAD5A583C}"/>
    <cellStyle name="Normal 2 2 6 41" xfId="475" xr:uid="{83FA3CF3-2D52-4DD7-9485-6823E092D57D}"/>
    <cellStyle name="Normal 2 2 6 42" xfId="476" xr:uid="{E19BF15F-ADD6-4E76-9F2F-BACEE1A4134C}"/>
    <cellStyle name="Normal 2 2 6 43" xfId="477" xr:uid="{C8FBC068-D324-46DD-916B-78A8CB571222}"/>
    <cellStyle name="Normal 2 2 6 44" xfId="478" xr:uid="{B65AA6F9-1853-4ED8-8D04-910B7BE311CB}"/>
    <cellStyle name="Normal 2 2 6 45" xfId="479" xr:uid="{5B583AA8-8B73-49F8-A676-11183BD59937}"/>
    <cellStyle name="Normal 2 2 6 46" xfId="480" xr:uid="{95EED5BE-99DB-4B0E-A38F-976F52A41CC6}"/>
    <cellStyle name="Normal 2 2 6 47" xfId="481" xr:uid="{B57082DC-03CE-46F7-B876-4A27B72EA96D}"/>
    <cellStyle name="Normal 2 2 6 48" xfId="482" xr:uid="{003B10DC-B323-400A-A318-394C31E9ACCD}"/>
    <cellStyle name="Normal 2 2 6 49" xfId="483" xr:uid="{6EF4FCA6-3BB7-4D41-AD19-F48CE8FCB0DE}"/>
    <cellStyle name="Normal 2 2 6 5" xfId="484" xr:uid="{20C7E24F-2D5A-423D-A0A5-E548E871A640}"/>
    <cellStyle name="Normal 2 2 6 50" xfId="485" xr:uid="{54D9E9D6-8B44-46FA-8DC4-1D60A3A40CAF}"/>
    <cellStyle name="Normal 2 2 6 51" xfId="486" xr:uid="{9D54FB2E-A3E6-4B85-BB38-7545CC10D1E6}"/>
    <cellStyle name="Normal 2 2 6 52" xfId="487" xr:uid="{40AA2E42-2287-4915-9406-2B75167BDE8D}"/>
    <cellStyle name="Normal 2 2 6 53" xfId="488" xr:uid="{48A2E30A-76B9-4EB2-8DFC-52D63813CC58}"/>
    <cellStyle name="Normal 2 2 6 54" xfId="489" xr:uid="{DB98F949-0152-4532-A7BA-0BEDE86B144B}"/>
    <cellStyle name="Normal 2 2 6 55" xfId="490" xr:uid="{3CB849E4-CF0A-410E-9D78-4C575790B948}"/>
    <cellStyle name="Normal 2 2 6 56" xfId="491" xr:uid="{3C7433B2-36C8-46C6-B497-6322039498FE}"/>
    <cellStyle name="Normal 2 2 6 57" xfId="492" xr:uid="{572EC50D-EE77-4E2E-88BD-5B491A87B972}"/>
    <cellStyle name="Normal 2 2 6 58" xfId="493" xr:uid="{684A6340-AD25-475C-ACF6-1390AA1E364A}"/>
    <cellStyle name="Normal 2 2 6 59" xfId="494" xr:uid="{080FCC70-B015-4193-9895-7945390B7B3C}"/>
    <cellStyle name="Normal 2 2 6 6" xfId="495" xr:uid="{7FAB8E62-1CB5-4A63-99AD-F9386F467C4F}"/>
    <cellStyle name="Normal 2 2 6 60" xfId="496" xr:uid="{D7E41C28-BF90-4C66-B545-0DB4A4D94FD0}"/>
    <cellStyle name="Normal 2 2 6 61" xfId="497" xr:uid="{12553701-04B2-4782-A61C-56DFFCDA8AA1}"/>
    <cellStyle name="Normal 2 2 6 62" xfId="498" xr:uid="{36D70313-C468-4198-BD92-27E4C60DB3CD}"/>
    <cellStyle name="Normal 2 2 6 63" xfId="499" xr:uid="{AA2BEABD-9FCE-4285-9B87-4032C9961D09}"/>
    <cellStyle name="Normal 2 2 6 64" xfId="500" xr:uid="{CB057665-41B5-45A3-BE1F-137FB3B4E09D}"/>
    <cellStyle name="Normal 2 2 6 65" xfId="501" xr:uid="{0F7E55F7-C7D8-42E6-AC28-DC923FBB8F14}"/>
    <cellStyle name="Normal 2 2 6 7" xfId="502" xr:uid="{6853999F-7621-40E8-8738-6B34AB09EF92}"/>
    <cellStyle name="Normal 2 2 6 8" xfId="503" xr:uid="{8AB04CA6-185D-4862-B93F-1F56DEF7FBDD}"/>
    <cellStyle name="Normal 2 2 6 9" xfId="504" xr:uid="{7F936CDD-2B1A-4E6D-831A-DD673820EB2B}"/>
    <cellStyle name="Normal 2 2 6_100114_ReCiPe_endpoint_orginalversion-Sander" xfId="505" xr:uid="{62D65096-3987-42F1-9D28-B9580B8AC4FA}"/>
    <cellStyle name="Normal 2 2 7" xfId="506" xr:uid="{CEF0BD37-62A6-4296-8DA7-A933DDB69448}"/>
    <cellStyle name="Normal 2 2 7 10" xfId="507" xr:uid="{20023489-71BB-4F7D-9141-E2C5AD7831E2}"/>
    <cellStyle name="Normal 2 2 7 11" xfId="508" xr:uid="{AB371BC1-3115-44E7-9B0F-B47C1C381BCB}"/>
    <cellStyle name="Normal 2 2 7 12" xfId="509" xr:uid="{335BC0C3-0201-46D9-8A19-E00E63C46A9C}"/>
    <cellStyle name="Normal 2 2 7 13" xfId="510" xr:uid="{EBF71375-8F98-43CC-9A71-6D9AEB87BDF6}"/>
    <cellStyle name="Normal 2 2 7 14" xfId="511" xr:uid="{70DFF318-03CA-49FF-B4D2-4BD1973AFC06}"/>
    <cellStyle name="Normal 2 2 7 15" xfId="512" xr:uid="{752BF766-CE80-4549-8745-F616B82DBEF9}"/>
    <cellStyle name="Normal 2 2 7 16" xfId="513" xr:uid="{5F22E1F2-4A43-4FC5-B959-F804CF36D3CC}"/>
    <cellStyle name="Normal 2 2 7 17" xfId="514" xr:uid="{4ABBA8B0-70B1-4C68-B3DF-93993E3DE6FF}"/>
    <cellStyle name="Normal 2 2 7 18" xfId="515" xr:uid="{D0BF273A-2584-40E6-B19D-001326132C63}"/>
    <cellStyle name="Normal 2 2 7 19" xfId="516" xr:uid="{B6F18D7F-0533-4FA1-9351-4490CC2A4044}"/>
    <cellStyle name="Normal 2 2 7 2" xfId="517" xr:uid="{74A1DAEF-ACBC-4561-8884-AC1D783A60C0}"/>
    <cellStyle name="Normal 2 2 7 20" xfId="518" xr:uid="{94D5210A-C073-46BB-A5E8-62B9596628E5}"/>
    <cellStyle name="Normal 2 2 7 21" xfId="519" xr:uid="{7620D442-2DF0-4BEF-A9FB-A9F931A98CF0}"/>
    <cellStyle name="Normal 2 2 7 22" xfId="520" xr:uid="{0E0A6C66-8036-400F-8A67-95B31AF609C1}"/>
    <cellStyle name="Normal 2 2 7 23" xfId="521" xr:uid="{A6B3439B-3AA9-4B0B-8551-ECD5E1E78709}"/>
    <cellStyle name="Normal 2 2 7 24" xfId="522" xr:uid="{DA925C83-D2E5-4E5E-AD57-57D35BBC0730}"/>
    <cellStyle name="Normal 2 2 7 25" xfId="523" xr:uid="{377ADE3D-F9A8-4BD0-A630-130E71951A70}"/>
    <cellStyle name="Normal 2 2 7 26" xfId="524" xr:uid="{C2ED0059-CA33-4370-B2CE-1D547E0833B0}"/>
    <cellStyle name="Normal 2 2 7 27" xfId="525" xr:uid="{B30626D2-ACAE-41EA-9D13-78F92C02D45E}"/>
    <cellStyle name="Normal 2 2 7 28" xfId="526" xr:uid="{DD5EABAC-E0D2-43F6-9C45-329F57AD979A}"/>
    <cellStyle name="Normal 2 2 7 29" xfId="527" xr:uid="{7F420C37-A823-44D6-B09C-07FD6A26AB82}"/>
    <cellStyle name="Normal 2 2 7 3" xfId="528" xr:uid="{319671B3-C04A-4054-B41F-02165BC9F317}"/>
    <cellStyle name="Normal 2 2 7 30" xfId="529" xr:uid="{C5870064-C572-414A-A4EE-C29AB8C22864}"/>
    <cellStyle name="Normal 2 2 7 31" xfId="530" xr:uid="{D8F20E82-A1F8-410F-BFEE-BBC21ECDBF4F}"/>
    <cellStyle name="Normal 2 2 7 32" xfId="531" xr:uid="{93DC18B9-AA76-4ACD-94C6-F130641A21D2}"/>
    <cellStyle name="Normal 2 2 7 33" xfId="532" xr:uid="{3C469686-A0AF-4EFD-8978-EAE041E29D9B}"/>
    <cellStyle name="Normal 2 2 7 34" xfId="533" xr:uid="{6F6C8A1F-33FB-422A-B7FD-DC753986723F}"/>
    <cellStyle name="Normal 2 2 7 35" xfId="534" xr:uid="{49D3675F-1A6B-46CE-A1EB-40B8EE448D13}"/>
    <cellStyle name="Normal 2 2 7 36" xfId="535" xr:uid="{FB6372E0-A837-429C-97A8-2F4179F202D3}"/>
    <cellStyle name="Normal 2 2 7 37" xfId="536" xr:uid="{0BD333AD-CAB4-44C0-901A-5C52F6B53F1A}"/>
    <cellStyle name="Normal 2 2 7 38" xfId="537" xr:uid="{385062BE-B2C0-4E6B-B1FF-D2990B4748E8}"/>
    <cellStyle name="Normal 2 2 7 39" xfId="538" xr:uid="{6396F87A-664D-4CA0-B926-3B6759D0E5DE}"/>
    <cellStyle name="Normal 2 2 7 4" xfId="539" xr:uid="{A19B461F-32E2-484A-B33D-5DC2B4E19E46}"/>
    <cellStyle name="Normal 2 2 7 40" xfId="540" xr:uid="{5DE9EAB6-2F2F-44ED-AAAA-14230E1C182D}"/>
    <cellStyle name="Normal 2 2 7 41" xfId="541" xr:uid="{2B1FE161-37F6-46BE-97CF-3657355AF09D}"/>
    <cellStyle name="Normal 2 2 7 42" xfId="542" xr:uid="{5D1A2AAA-B845-47A7-9117-2F68DC48B5DC}"/>
    <cellStyle name="Normal 2 2 7 43" xfId="543" xr:uid="{0B5C259E-7032-49A3-AF48-B9D272B0768F}"/>
    <cellStyle name="Normal 2 2 7 44" xfId="544" xr:uid="{76909AC1-A08F-43DF-B1D8-93494991DCE5}"/>
    <cellStyle name="Normal 2 2 7 45" xfId="545" xr:uid="{D2AFC475-29D2-435F-9DA8-47D6255E4709}"/>
    <cellStyle name="Normal 2 2 7 46" xfId="546" xr:uid="{19CC0327-0249-423A-A42B-DD2610FE4D79}"/>
    <cellStyle name="Normal 2 2 7 47" xfId="547" xr:uid="{DB839A19-1763-42DB-8A47-B7DED1C8DCEB}"/>
    <cellStyle name="Normal 2 2 7 48" xfId="548" xr:uid="{D7552106-9286-47D7-9073-7F8DA166802E}"/>
    <cellStyle name="Normal 2 2 7 49" xfId="549" xr:uid="{9F183BF5-6D09-4893-B991-134A800B9730}"/>
    <cellStyle name="Normal 2 2 7 5" xfId="550" xr:uid="{62CEDDEF-5BA9-49B2-A6C7-40D2E23408BF}"/>
    <cellStyle name="Normal 2 2 7 50" xfId="551" xr:uid="{FDAD6200-6B5A-4630-AFE8-3B46D13DAF1C}"/>
    <cellStyle name="Normal 2 2 7 51" xfId="552" xr:uid="{AB6E5ED7-3F39-4A03-881C-A299CDEA0B7C}"/>
    <cellStyle name="Normal 2 2 7 52" xfId="553" xr:uid="{154BB39E-031B-4A6D-89C2-B866FF0A655C}"/>
    <cellStyle name="Normal 2 2 7 53" xfId="554" xr:uid="{28118460-0A82-4232-B2F6-3833038E9C03}"/>
    <cellStyle name="Normal 2 2 7 54" xfId="555" xr:uid="{20BA114A-BC7C-40A0-BEBB-5E6D8E3ECDC6}"/>
    <cellStyle name="Normal 2 2 7 55" xfId="556" xr:uid="{6E661E00-5688-4F0E-A73B-DD93217ACB14}"/>
    <cellStyle name="Normal 2 2 7 56" xfId="557" xr:uid="{2A257572-1800-4FE9-AB3C-5B08329AC183}"/>
    <cellStyle name="Normal 2 2 7 57" xfId="558" xr:uid="{3B848B34-0525-4965-8950-BD19F579D105}"/>
    <cellStyle name="Normal 2 2 7 58" xfId="559" xr:uid="{4387B90E-F01E-451C-B014-D911432C077B}"/>
    <cellStyle name="Normal 2 2 7 59" xfId="560" xr:uid="{36933DCC-3B16-4BEB-899F-3B334360690A}"/>
    <cellStyle name="Normal 2 2 7 6" xfId="561" xr:uid="{62DC17E3-1586-451E-839E-982E26409748}"/>
    <cellStyle name="Normal 2 2 7 60" xfId="562" xr:uid="{E3F6CD23-00E0-4F5A-98AF-B9788C795658}"/>
    <cellStyle name="Normal 2 2 7 61" xfId="563" xr:uid="{9A618358-A78F-439F-AC27-15709817AD64}"/>
    <cellStyle name="Normal 2 2 7 62" xfId="564" xr:uid="{40B63AD4-279D-4FB8-BAD4-724EF3A743CE}"/>
    <cellStyle name="Normal 2 2 7 63" xfId="565" xr:uid="{D169F47D-32D8-43CF-B31F-22D40F4BE866}"/>
    <cellStyle name="Normal 2 2 7 64" xfId="566" xr:uid="{72562960-DF87-4314-A506-1DDEB847500A}"/>
    <cellStyle name="Normal 2 2 7 65" xfId="567" xr:uid="{64103C75-F798-4710-A2CE-6B216A2B26C9}"/>
    <cellStyle name="Normal 2 2 7 7" xfId="568" xr:uid="{E18EC349-D471-4A40-9BF7-FD74419E45DF}"/>
    <cellStyle name="Normal 2 2 7 8" xfId="569" xr:uid="{522B0440-71FF-4740-AED3-FEEA57263A24}"/>
    <cellStyle name="Normal 2 2 7 9" xfId="570" xr:uid="{470370A6-DE5E-4286-B560-2DF11DE4415C}"/>
    <cellStyle name="Normal 2 2 7_100114_ReCiPe_endpoint_orginalversion-Sander" xfId="571" xr:uid="{2571774D-AE6C-472D-8344-F785DF75CBF9}"/>
    <cellStyle name="Normal 2 2 8" xfId="572" xr:uid="{B94C8C52-49E0-4C95-B35E-618043BBEE55}"/>
    <cellStyle name="Normal 2 2 8 10" xfId="573" xr:uid="{CCF82921-E354-4235-AD93-7A1E2C11A111}"/>
    <cellStyle name="Normal 2 2 8 11" xfId="574" xr:uid="{56AE7C2E-C94C-474A-AC70-31BF487F0B2E}"/>
    <cellStyle name="Normal 2 2 8 12" xfId="575" xr:uid="{3542C3E4-AF48-4936-AC6A-30E74C363833}"/>
    <cellStyle name="Normal 2 2 8 13" xfId="576" xr:uid="{7CDE31A2-E3F4-4231-B1B2-FDEBCDB23C3C}"/>
    <cellStyle name="Normal 2 2 8 14" xfId="577" xr:uid="{37B309B9-B392-40EC-AC62-C23E072B1097}"/>
    <cellStyle name="Normal 2 2 8 15" xfId="578" xr:uid="{229D2743-24DB-4399-A09A-3B203F878855}"/>
    <cellStyle name="Normal 2 2 8 16" xfId="579" xr:uid="{39C106BB-DF60-4960-A240-85476FB8073E}"/>
    <cellStyle name="Normal 2 2 8 17" xfId="580" xr:uid="{E8B653D6-9C85-47E7-BD38-96514B780C5C}"/>
    <cellStyle name="Normal 2 2 8 18" xfId="581" xr:uid="{0B2FED4C-E394-46EF-82FA-56A087352C11}"/>
    <cellStyle name="Normal 2 2 8 19" xfId="582" xr:uid="{53BDA1F1-7453-4181-B0B9-68BFDE12C22B}"/>
    <cellStyle name="Normal 2 2 8 2" xfId="583" xr:uid="{59E841F5-29A8-4316-9AAF-4F384010435C}"/>
    <cellStyle name="Normal 2 2 8 20" xfId="584" xr:uid="{B9D703BD-B210-463A-9C54-A45E421864D4}"/>
    <cellStyle name="Normal 2 2 8 21" xfId="585" xr:uid="{EF8EEFE0-7E9B-422F-B90F-A6C38A06D5DD}"/>
    <cellStyle name="Normal 2 2 8 22" xfId="586" xr:uid="{32E91F9F-AD0B-4DE5-87DB-5C2E4F7BF4BE}"/>
    <cellStyle name="Normal 2 2 8 23" xfId="587" xr:uid="{91793E79-A870-4768-9542-4DD2E08A4D89}"/>
    <cellStyle name="Normal 2 2 8 24" xfId="588" xr:uid="{C19CE7EA-F6D2-4193-892D-3E943A60A2E7}"/>
    <cellStyle name="Normal 2 2 8 25" xfId="589" xr:uid="{2A8C65A0-87B1-4ECA-A03D-5B47F47DA01D}"/>
    <cellStyle name="Normal 2 2 8 26" xfId="590" xr:uid="{AEB4AD7C-E35C-462E-A5F8-70F58B649BBA}"/>
    <cellStyle name="Normal 2 2 8 27" xfId="591" xr:uid="{237B1810-A64A-4476-B450-086295A6F1FE}"/>
    <cellStyle name="Normal 2 2 8 28" xfId="592" xr:uid="{BB31685D-F633-44C8-87EC-E7B6CFE855B3}"/>
    <cellStyle name="Normal 2 2 8 29" xfId="593" xr:uid="{53D7CF4F-FB70-48CC-A847-C658C8F9FA7F}"/>
    <cellStyle name="Normal 2 2 8 3" xfId="594" xr:uid="{91CF7C66-3A96-49BD-9C97-0FC821685429}"/>
    <cellStyle name="Normal 2 2 8 30" xfId="595" xr:uid="{621A86EF-DD9D-4DD7-B831-2E3D291BF321}"/>
    <cellStyle name="Normal 2 2 8 31" xfId="596" xr:uid="{98CFF22F-083B-469A-89CB-8FDBA4AD275A}"/>
    <cellStyle name="Normal 2 2 8 32" xfId="597" xr:uid="{83F19E0F-EEAC-4865-B3F9-17130F6095C5}"/>
    <cellStyle name="Normal 2 2 8 33" xfId="598" xr:uid="{34B420DC-14B1-4812-B833-EC0BE366437C}"/>
    <cellStyle name="Normal 2 2 8 34" xfId="599" xr:uid="{E3B2447F-BBCF-4426-997F-C51557B37EEA}"/>
    <cellStyle name="Normal 2 2 8 35" xfId="600" xr:uid="{4F17EAB4-F118-4A17-ADA2-4E50B11FB183}"/>
    <cellStyle name="Normal 2 2 8 36" xfId="601" xr:uid="{ECEC55A2-E1F4-4CB6-8D03-079B5EFDC3C1}"/>
    <cellStyle name="Normal 2 2 8 37" xfId="602" xr:uid="{22E9D6DB-0D70-4495-9100-547069CA6EA9}"/>
    <cellStyle name="Normal 2 2 8 38" xfId="603" xr:uid="{5F736946-DF95-46BE-9A74-40793A7946DE}"/>
    <cellStyle name="Normal 2 2 8 39" xfId="604" xr:uid="{10A4CF80-D2C0-4A5C-9BF8-5F81CD8D49FA}"/>
    <cellStyle name="Normal 2 2 8 4" xfId="605" xr:uid="{1D26C983-6F6A-4C5D-817A-BCFEDE9B92EF}"/>
    <cellStyle name="Normal 2 2 8 40" xfId="606" xr:uid="{8EC4F2FE-2D4E-417D-82E0-6B14A5E4E609}"/>
    <cellStyle name="Normal 2 2 8 41" xfId="607" xr:uid="{4ADF5A5A-3A7B-4E4C-9741-5AA9926C1782}"/>
    <cellStyle name="Normal 2 2 8 42" xfId="608" xr:uid="{959F25D3-17ED-4516-A23E-500F9CA41653}"/>
    <cellStyle name="Normal 2 2 8 43" xfId="609" xr:uid="{8D9AD68F-44C0-4325-BB8F-C044029EA295}"/>
    <cellStyle name="Normal 2 2 8 44" xfId="610" xr:uid="{33716079-07DC-4385-8204-7E8A2E90EBCA}"/>
    <cellStyle name="Normal 2 2 8 45" xfId="611" xr:uid="{1C748A82-D144-47FC-B282-15C3C03148E7}"/>
    <cellStyle name="Normal 2 2 8 46" xfId="612" xr:uid="{116D6A63-1736-425E-9FD4-4EEA2F2BE0D1}"/>
    <cellStyle name="Normal 2 2 8 47" xfId="613" xr:uid="{821754A5-691D-4254-82DF-621C541360C2}"/>
    <cellStyle name="Normal 2 2 8 48" xfId="614" xr:uid="{6A119985-7278-4F20-8D69-F98EED435ACE}"/>
    <cellStyle name="Normal 2 2 8 49" xfId="615" xr:uid="{A10E08E2-25CB-4EE1-8D8B-07FCCBBD89AE}"/>
    <cellStyle name="Normal 2 2 8 5" xfId="616" xr:uid="{D2F49701-35DE-4FF4-BE84-17FB51692277}"/>
    <cellStyle name="Normal 2 2 8 50" xfId="617" xr:uid="{B977C6D7-DB18-412D-939E-E3872E39AE93}"/>
    <cellStyle name="Normal 2 2 8 51" xfId="618" xr:uid="{271972FD-4FFC-496D-826D-2C223834DE4A}"/>
    <cellStyle name="Normal 2 2 8 52" xfId="619" xr:uid="{585AE0B2-B745-4D58-8BA4-D5272743B2B5}"/>
    <cellStyle name="Normal 2 2 8 53" xfId="620" xr:uid="{D17C199F-C9FD-4CE9-BD19-D42C1F2E3CB8}"/>
    <cellStyle name="Normal 2 2 8 54" xfId="621" xr:uid="{1FE1984B-6EA2-4FB0-AC05-0A9073BC20A0}"/>
    <cellStyle name="Normal 2 2 8 55" xfId="622" xr:uid="{06DD5C08-F9DB-47B5-AE1F-92037F644071}"/>
    <cellStyle name="Normal 2 2 8 56" xfId="623" xr:uid="{D9BFFB43-0140-4F1F-9E6C-D6331E4AC7CD}"/>
    <cellStyle name="Normal 2 2 8 57" xfId="624" xr:uid="{537A0ECF-5824-4B15-8A77-A2C6490354E3}"/>
    <cellStyle name="Normal 2 2 8 58" xfId="625" xr:uid="{B601323A-9662-40AE-B50A-60E771468879}"/>
    <cellStyle name="Normal 2 2 8 59" xfId="626" xr:uid="{7E1D8BD4-C94B-43A2-BFBD-546FF247E646}"/>
    <cellStyle name="Normal 2 2 8 6" xfId="627" xr:uid="{351796BA-73E2-4B7A-B412-CE5812EB7987}"/>
    <cellStyle name="Normal 2 2 8 60" xfId="628" xr:uid="{1E8F3882-6776-4D3A-9419-1CF3777C9F2E}"/>
    <cellStyle name="Normal 2 2 8 61" xfId="629" xr:uid="{C1428616-D870-4221-9CBB-6C098C3D61B2}"/>
    <cellStyle name="Normal 2 2 8 62" xfId="630" xr:uid="{C0427E22-BAB7-4382-B2FF-C6AABC2D8E63}"/>
    <cellStyle name="Normal 2 2 8 63" xfId="631" xr:uid="{D96B4571-FD2B-4FF7-8BAD-F7758E3CA070}"/>
    <cellStyle name="Normal 2 2 8 64" xfId="632" xr:uid="{235E1CD9-9619-41BF-A59C-6CECB436E738}"/>
    <cellStyle name="Normal 2 2 8 65" xfId="633" xr:uid="{1DA97F9F-9E64-4A01-97C3-90232042C453}"/>
    <cellStyle name="Normal 2 2 8 7" xfId="634" xr:uid="{E22D93FD-A1E5-4EFD-950E-5D6E5B473796}"/>
    <cellStyle name="Normal 2 2 8 8" xfId="635" xr:uid="{5CEBCF2E-AD3A-4BA9-97A5-6549481C7D5C}"/>
    <cellStyle name="Normal 2 2 8 9" xfId="636" xr:uid="{B2220918-28AD-4A5D-8D5E-73C967E2EE2D}"/>
    <cellStyle name="Normal 2 2 8_100114_ReCiPe_endpoint_orginalversion-Sander" xfId="637" xr:uid="{289C7129-EAC2-4E11-8589-A3FFEB4FD6A6}"/>
    <cellStyle name="Normal 2 20" xfId="638" xr:uid="{5CAF4ED4-E124-4F14-A1DD-5C4DDDE51EE1}"/>
    <cellStyle name="Normal 2 20 10" xfId="639" xr:uid="{431DFB2B-1BA1-4FE5-96EA-2468BE6B803B}"/>
    <cellStyle name="Normal 2 20 11" xfId="640" xr:uid="{829D5A8E-DE90-4718-B26C-FEDF667034BF}"/>
    <cellStyle name="Normal 2 20 12" xfId="641" xr:uid="{47BAB5D3-F534-44FA-ADF0-1739F4A67DD7}"/>
    <cellStyle name="Normal 2 20 13" xfId="642" xr:uid="{C45DB081-851D-402C-A051-DB6129B5D47A}"/>
    <cellStyle name="Normal 2 20 2" xfId="643" xr:uid="{FC7F3F0E-323D-4969-9CE4-8F37EA8F142C}"/>
    <cellStyle name="Normal 2 20 3" xfId="644" xr:uid="{41192805-C606-483B-8DA9-12C8733C24E6}"/>
    <cellStyle name="Normal 2 20 4" xfId="645" xr:uid="{30AC1667-4AA9-4A57-96FE-75B58C008891}"/>
    <cellStyle name="Normal 2 20 5" xfId="646" xr:uid="{E744C50F-BE1A-4B27-A79E-67F760165C4F}"/>
    <cellStyle name="Normal 2 20 6" xfId="647" xr:uid="{B9842377-58EF-4F57-8685-7DB3C8765FD5}"/>
    <cellStyle name="Normal 2 20 7" xfId="648" xr:uid="{ADBB253B-0562-41AC-B4B4-0C6067C39280}"/>
    <cellStyle name="Normal 2 20 8" xfId="649" xr:uid="{A9A7EA2B-D1B5-4B94-BA48-CFF96F745CEC}"/>
    <cellStyle name="Normal 2 20 9" xfId="650" xr:uid="{1ECC40C6-DAEE-44AA-A23F-9728CD42CFAD}"/>
    <cellStyle name="Normal 2 20_100114_ReCiPe_endpoint_orginalversion-Sander" xfId="651" xr:uid="{0199C403-7BC8-4B1E-9341-F34BCB96718B}"/>
    <cellStyle name="Normal 2 21" xfId="652" xr:uid="{EE21AC3A-E75C-4BF1-A382-86A7B8A6FD94}"/>
    <cellStyle name="Normal 2 21 10" xfId="653" xr:uid="{B976972F-17D6-41FF-A13C-C374E97B395F}"/>
    <cellStyle name="Normal 2 21 11" xfId="654" xr:uid="{3B39ACBA-538B-47D9-BAE8-7A4731D7C8A2}"/>
    <cellStyle name="Normal 2 21 12" xfId="655" xr:uid="{C23E0F77-1859-4C45-98D2-F0F209E4C2F7}"/>
    <cellStyle name="Normal 2 21 13" xfId="656" xr:uid="{265BCD4A-DCAA-4B7C-878A-609AFD3F6232}"/>
    <cellStyle name="Normal 2 21 2" xfId="657" xr:uid="{5210DF9B-188C-4A09-8E92-F452248E69B7}"/>
    <cellStyle name="Normal 2 21 3" xfId="658" xr:uid="{CEAF9C25-6994-4926-9CEE-4DBDB86B51FE}"/>
    <cellStyle name="Normal 2 21 4" xfId="659" xr:uid="{6F8418A1-97B7-49A4-B3D6-062AC7D332FC}"/>
    <cellStyle name="Normal 2 21 5" xfId="660" xr:uid="{7E6ABEA4-39F3-486E-B779-B2EEB3A0E5FE}"/>
    <cellStyle name="Normal 2 21 6" xfId="661" xr:uid="{96B2AB06-59F2-41C9-A43A-03E1E5BB6E1A}"/>
    <cellStyle name="Normal 2 21 7" xfId="662" xr:uid="{331A4B87-94A2-443B-848C-EEE3F7FADA0D}"/>
    <cellStyle name="Normal 2 21 8" xfId="663" xr:uid="{990AD4A3-1759-4DE4-A217-04379E0EB95F}"/>
    <cellStyle name="Normal 2 21 9" xfId="664" xr:uid="{6D8FEA1F-BD23-4A96-B89B-C9C43B0A1C6F}"/>
    <cellStyle name="Normal 2 21_100114_ReCiPe_endpoint_orginalversion-Sander" xfId="665" xr:uid="{D4EFDA20-4EB0-4995-A44C-921ABBCC67DC}"/>
    <cellStyle name="Normal 2 22" xfId="666" xr:uid="{59FC11F7-0FDC-498E-8B04-4CE2C7FAA07B}"/>
    <cellStyle name="Normal 2 22 10" xfId="667" xr:uid="{AF943C3F-820E-485A-BA63-A5BDD3D70AE5}"/>
    <cellStyle name="Normal 2 22 11" xfId="668" xr:uid="{B5F8C6B1-6602-42AB-9820-5B40618259DB}"/>
    <cellStyle name="Normal 2 22 12" xfId="669" xr:uid="{F35B087D-641B-465A-9F37-2F78475E4BC0}"/>
    <cellStyle name="Normal 2 22 13" xfId="670" xr:uid="{AEBBAE8E-DEBC-44E8-A0A8-5D71390648C8}"/>
    <cellStyle name="Normal 2 22 2" xfId="671" xr:uid="{643C8301-0BEF-4EDF-BB8A-2EC8A4C207B1}"/>
    <cellStyle name="Normal 2 22 3" xfId="672" xr:uid="{B2A29CA0-09E6-4E44-B00D-6634FEEB82AB}"/>
    <cellStyle name="Normal 2 22 4" xfId="673" xr:uid="{A18803E6-3940-4D11-ABAA-532A3D5F8F8D}"/>
    <cellStyle name="Normal 2 22 5" xfId="674" xr:uid="{08F14456-43DE-4E4C-8ACE-93209E178E45}"/>
    <cellStyle name="Normal 2 22 6" xfId="675" xr:uid="{13A46B07-6F59-4A30-B3C3-41376E454A64}"/>
    <cellStyle name="Normal 2 22 7" xfId="676" xr:uid="{3DEC01CC-B6DD-4C57-A13F-8B9DAD9B33D5}"/>
    <cellStyle name="Normal 2 22 8" xfId="677" xr:uid="{9A4966CF-9F92-4012-9B65-B39217290E92}"/>
    <cellStyle name="Normal 2 22 9" xfId="678" xr:uid="{373813D8-D09A-4E91-BF4A-F35D15DA461F}"/>
    <cellStyle name="Normal 2 22_100114_ReCiPe_endpoint_orginalversion-Sander" xfId="679" xr:uid="{D20E3D52-B7F6-45DB-9A88-394CF134960A}"/>
    <cellStyle name="Normal 2 23" xfId="680" xr:uid="{D74B642F-883B-454C-972D-20F853DCE970}"/>
    <cellStyle name="Normal 2 23 10" xfId="681" xr:uid="{16585946-0FE1-4C17-B26D-CBAA2D1DC6F4}"/>
    <cellStyle name="Normal 2 23 11" xfId="682" xr:uid="{A0EA1EF6-B2C3-480B-9D0D-9D585F764679}"/>
    <cellStyle name="Normal 2 23 12" xfId="683" xr:uid="{0303D188-761E-46E0-8151-861B18DA972C}"/>
    <cellStyle name="Normal 2 23 13" xfId="684" xr:uid="{DFF3BB50-FBAA-4B29-810E-7C94D5DF5607}"/>
    <cellStyle name="Normal 2 23 2" xfId="685" xr:uid="{E85A6132-B649-49B8-8A61-0E9FA1A052DC}"/>
    <cellStyle name="Normal 2 23 3" xfId="686" xr:uid="{1B89D09E-AC4D-437A-AB88-5FA105E496F1}"/>
    <cellStyle name="Normal 2 23 4" xfId="687" xr:uid="{2A6AF320-C048-4B42-8A59-227C9817FDB3}"/>
    <cellStyle name="Normal 2 23 5" xfId="688" xr:uid="{5AD5100C-9B83-47B9-A06B-1846DF8D7730}"/>
    <cellStyle name="Normal 2 23 6" xfId="689" xr:uid="{7CA0DF81-8EC5-4A59-8861-35551775D173}"/>
    <cellStyle name="Normal 2 23 7" xfId="690" xr:uid="{0C1B3121-BDDF-4D03-B0AB-69D76910BDBD}"/>
    <cellStyle name="Normal 2 23 8" xfId="691" xr:uid="{7A4ED056-CAA8-4B75-B48F-A43B95433C0E}"/>
    <cellStyle name="Normal 2 23 9" xfId="692" xr:uid="{8B955481-20C5-4CAB-BA96-8F5F7673732A}"/>
    <cellStyle name="Normal 2 23_100114_ReCiPe_endpoint_orginalversion-Sander" xfId="693" xr:uid="{5A5F896C-161F-4958-98B7-198353701749}"/>
    <cellStyle name="Normal 2 24" xfId="694" xr:uid="{7C7C3703-9733-4B49-89A0-5E58D7181AB4}"/>
    <cellStyle name="Normal 2 24 10" xfId="695" xr:uid="{5E10B235-8FE1-412B-A911-7E9C7CF7289F}"/>
    <cellStyle name="Normal 2 24 11" xfId="696" xr:uid="{9710CEF9-1D0A-4571-A68F-72EE2DC6FB27}"/>
    <cellStyle name="Normal 2 24 12" xfId="697" xr:uid="{63C2AE1C-803A-4820-B4DE-E9DFA2960B6A}"/>
    <cellStyle name="Normal 2 24 13" xfId="698" xr:uid="{8E57BAFC-AA5E-46AA-A731-457EF8406369}"/>
    <cellStyle name="Normal 2 24 2" xfId="699" xr:uid="{4C51BBF2-B1B6-473B-97CF-410E9605CE19}"/>
    <cellStyle name="Normal 2 24 3" xfId="700" xr:uid="{41FA4AFD-FF5E-4DEE-B81B-2154DFF5973D}"/>
    <cellStyle name="Normal 2 24 4" xfId="701" xr:uid="{1B3F86CA-DD08-4DA2-9B16-78E3174ABFCF}"/>
    <cellStyle name="Normal 2 24 5" xfId="702" xr:uid="{02629AB2-0AC2-4A1D-A116-4B118A52F0A6}"/>
    <cellStyle name="Normal 2 24 6" xfId="703" xr:uid="{2E140D74-DF37-4A12-9E98-EF70F8489442}"/>
    <cellStyle name="Normal 2 24 7" xfId="704" xr:uid="{1E15A3D3-3E72-4FB2-A46C-C766AE7B1D1E}"/>
    <cellStyle name="Normal 2 24 8" xfId="705" xr:uid="{332C1D5A-D4D3-4E0E-AB4A-3F6275DC6CF6}"/>
    <cellStyle name="Normal 2 24 9" xfId="706" xr:uid="{A9348C27-95CF-45F6-8586-B7ABCE02CF91}"/>
    <cellStyle name="Normal 2 24_100114_ReCiPe_endpoint_orginalversion-Sander" xfId="707" xr:uid="{7E5102EB-57E3-40A3-9DD9-E703029FDA30}"/>
    <cellStyle name="Normal 2 25" xfId="708" xr:uid="{9B7FDFF4-882E-40ED-8E79-91579CC727E3}"/>
    <cellStyle name="Normal 2 25 10" xfId="709" xr:uid="{0DAECB3A-5E20-40FC-86EB-71C9CC0E901D}"/>
    <cellStyle name="Normal 2 25 11" xfId="710" xr:uid="{92BBAEA7-5EFB-4297-936D-0D292666AB76}"/>
    <cellStyle name="Normal 2 25 12" xfId="711" xr:uid="{D79CEC5C-6714-453B-A2A7-F7A819AF1B31}"/>
    <cellStyle name="Normal 2 25 13" xfId="712" xr:uid="{FCCDB71D-FE72-4383-9DB7-7136E4495A71}"/>
    <cellStyle name="Normal 2 25 2" xfId="713" xr:uid="{305236A2-EE59-4F23-B3D3-423AEDF95C2E}"/>
    <cellStyle name="Normal 2 25 3" xfId="714" xr:uid="{1E2D1D75-B94E-447E-AD29-CF820422C590}"/>
    <cellStyle name="Normal 2 25 4" xfId="715" xr:uid="{354C8019-576C-4E91-8241-F0D3F06EBE93}"/>
    <cellStyle name="Normal 2 25 5" xfId="716" xr:uid="{E38488BB-6825-45BC-A16C-4F3A008D61AF}"/>
    <cellStyle name="Normal 2 25 6" xfId="717" xr:uid="{CF5AA70C-1C3A-47AB-88A1-55714E42425F}"/>
    <cellStyle name="Normal 2 25 7" xfId="718" xr:uid="{A0AA3860-52A3-4A9C-B11E-AAE9A2FD96FF}"/>
    <cellStyle name="Normal 2 25 8" xfId="719" xr:uid="{8733D505-327C-4FF1-A9B4-13907CA223A3}"/>
    <cellStyle name="Normal 2 25 9" xfId="720" xr:uid="{1A7B269E-7B32-4931-918F-7D71DF92FF08}"/>
    <cellStyle name="Normal 2 25_100114_ReCiPe_endpoint_orginalversion-Sander" xfId="721" xr:uid="{C8144A3D-6A9D-450E-895A-5FFCD4A3FC2E}"/>
    <cellStyle name="Normal 2 26" xfId="722" xr:uid="{23A401CE-44DC-4ECD-A8B1-7E8459921C46}"/>
    <cellStyle name="Normal 2 26 10" xfId="723" xr:uid="{99D75AF1-6574-4CA0-8142-A71C5FB6258A}"/>
    <cellStyle name="Normal 2 26 11" xfId="724" xr:uid="{5B0ACD97-851B-489A-BD78-96ABED401C3B}"/>
    <cellStyle name="Normal 2 26 12" xfId="725" xr:uid="{8AB8D1D4-86E9-486E-8414-819123E70AFA}"/>
    <cellStyle name="Normal 2 26 13" xfId="726" xr:uid="{2AA22671-4314-4DC3-B751-F8B3560D8E76}"/>
    <cellStyle name="Normal 2 26 2" xfId="727" xr:uid="{6271FFF6-52B5-46D8-A6AD-42F40F3816B2}"/>
    <cellStyle name="Normal 2 26 3" xfId="728" xr:uid="{2934C5A3-842A-4B19-B4D1-B822199BD00B}"/>
    <cellStyle name="Normal 2 26 4" xfId="729" xr:uid="{3325FE5C-8AFE-41CA-82EE-80E0A157E8D2}"/>
    <cellStyle name="Normal 2 26 5" xfId="730" xr:uid="{A8233774-E8FE-42A8-9485-FDEBCB06DD56}"/>
    <cellStyle name="Normal 2 26 6" xfId="731" xr:uid="{4AC5D6D9-73AE-4D99-B645-FF9FA167F19A}"/>
    <cellStyle name="Normal 2 26 7" xfId="732" xr:uid="{58494A8A-4384-4422-A2EB-DAB33D857C85}"/>
    <cellStyle name="Normal 2 26 8" xfId="733" xr:uid="{7D66C1E3-1897-4755-8F3F-4B3A71104AA5}"/>
    <cellStyle name="Normal 2 26 9" xfId="734" xr:uid="{6FCB39B4-C054-425C-92A7-153A3086C68D}"/>
    <cellStyle name="Normal 2 26_100114_ReCiPe_endpoint_orginalversion-Sander" xfId="735" xr:uid="{D368C323-29A9-47F6-8A5C-D09338CEED2D}"/>
    <cellStyle name="Normal 2 27" xfId="736" xr:uid="{3B574624-86C1-491F-B311-07464762D2C2}"/>
    <cellStyle name="Normal 2 27 10" xfId="737" xr:uid="{210A7BE8-1BD3-48CB-8597-C2B67CDAD845}"/>
    <cellStyle name="Normal 2 27 11" xfId="738" xr:uid="{89CE5164-EF86-48A5-B498-4071E73CA224}"/>
    <cellStyle name="Normal 2 27 12" xfId="739" xr:uid="{F023B884-BF53-44D0-99D3-B8251847398B}"/>
    <cellStyle name="Normal 2 27 13" xfId="740" xr:uid="{2ED3B4EB-F61B-4125-843E-1F154414AF82}"/>
    <cellStyle name="Normal 2 27 2" xfId="741" xr:uid="{7B9D2A63-6254-486B-987A-DF6C1BF4A9A5}"/>
    <cellStyle name="Normal 2 27 3" xfId="742" xr:uid="{4E5FF1F7-EE80-44AB-A319-1C23AC18B205}"/>
    <cellStyle name="Normal 2 27 4" xfId="743" xr:uid="{6BCD8C9D-854B-4BD8-ACC1-411320E29502}"/>
    <cellStyle name="Normal 2 27 5" xfId="744" xr:uid="{B6F96C9B-5015-4A65-97BA-74988392FD26}"/>
    <cellStyle name="Normal 2 27 6" xfId="745" xr:uid="{5FAFB506-D216-4885-8AAC-E6176459A28A}"/>
    <cellStyle name="Normal 2 27 7" xfId="746" xr:uid="{6F2C8AB2-9CE9-4FC5-9270-748A798E7BC4}"/>
    <cellStyle name="Normal 2 27 8" xfId="747" xr:uid="{FE1E6EB3-C459-424E-9699-A777B3F30C35}"/>
    <cellStyle name="Normal 2 27 9" xfId="748" xr:uid="{E62A1B23-C49B-4E58-9084-AE55D8DB2FFF}"/>
    <cellStyle name="Normal 2 27_100114_ReCiPe_endpoint_orginalversion-Sander" xfId="749" xr:uid="{1D8A20D2-36BE-4532-968B-E0C7EDE53249}"/>
    <cellStyle name="Normal 2 28" xfId="750" xr:uid="{C2F69CC3-0D68-4AEC-8F72-66B3F2690A28}"/>
    <cellStyle name="Normal 2 28 10" xfId="751" xr:uid="{4CEBD3C8-D9EB-44CD-BEE0-084D7DDEA01C}"/>
    <cellStyle name="Normal 2 28 11" xfId="752" xr:uid="{80161463-75A4-4B1E-9B0F-6C7BE6401B00}"/>
    <cellStyle name="Normal 2 28 12" xfId="753" xr:uid="{27FFDA14-60A0-454A-9DEA-6327890253AE}"/>
    <cellStyle name="Normal 2 28 13" xfId="754" xr:uid="{98568C22-CE92-4F83-A0B4-0C51AD029CD4}"/>
    <cellStyle name="Normal 2 28 2" xfId="755" xr:uid="{D297A037-F70C-4447-A83F-DFF0E1C1862B}"/>
    <cellStyle name="Normal 2 28 3" xfId="756" xr:uid="{13C6BDDB-BEE3-4751-BEE2-8EF9A2B811B5}"/>
    <cellStyle name="Normal 2 28 4" xfId="757" xr:uid="{A5B7A4D2-5E32-44F0-828B-FB5C11E99DCD}"/>
    <cellStyle name="Normal 2 28 5" xfId="758" xr:uid="{466D4064-769C-41EB-B465-E51F843B209A}"/>
    <cellStyle name="Normal 2 28 6" xfId="759" xr:uid="{8F781CF4-5691-419D-AC3D-C3506B5EED9A}"/>
    <cellStyle name="Normal 2 28 7" xfId="760" xr:uid="{8F9EFB09-EC6C-41CA-9D86-46282A62C5C9}"/>
    <cellStyle name="Normal 2 28 8" xfId="761" xr:uid="{F3EF6D09-EF2E-4EAA-B7C3-9CCA7D3BBE02}"/>
    <cellStyle name="Normal 2 28 9" xfId="762" xr:uid="{4D3F412C-8BE7-4E0A-A66A-E8BF03AB66F3}"/>
    <cellStyle name="Normal 2 28_100114_ReCiPe_endpoint_orginalversion-Sander" xfId="763" xr:uid="{78C39D93-022B-47C8-85B4-A9C7D28DB1FA}"/>
    <cellStyle name="Normal 2 29" xfId="764" xr:uid="{E383903B-CC15-4A7D-AA68-9216C56482C5}"/>
    <cellStyle name="Normal 2 29 10" xfId="765" xr:uid="{F3FD2481-EC84-4AAE-8CDD-303E0AAE28B8}"/>
    <cellStyle name="Normal 2 29 11" xfId="766" xr:uid="{D318BF50-388F-4BB7-8BB0-A57A9E457B1A}"/>
    <cellStyle name="Normal 2 29 12" xfId="767" xr:uid="{C8038066-65E4-44A9-B847-2E46C9892564}"/>
    <cellStyle name="Normal 2 29 13" xfId="768" xr:uid="{692DD36A-29F1-48EE-AC28-42DFE40AFE25}"/>
    <cellStyle name="Normal 2 29 2" xfId="769" xr:uid="{03F04353-8F1C-4969-9119-CCB742A9D22A}"/>
    <cellStyle name="Normal 2 29 3" xfId="770" xr:uid="{D6D54B57-BBB8-4493-B64D-366251FE9706}"/>
    <cellStyle name="Normal 2 29 4" xfId="771" xr:uid="{4C8B5A9E-AC9F-4DB9-B8BF-EB76F2F3B4E7}"/>
    <cellStyle name="Normal 2 29 5" xfId="772" xr:uid="{261B006F-CE32-48A0-9ABC-6B2D0F71FFFE}"/>
    <cellStyle name="Normal 2 29 6" xfId="773" xr:uid="{CC09C756-E27A-4794-A042-AC260E752E46}"/>
    <cellStyle name="Normal 2 29 7" xfId="774" xr:uid="{B2FBED0D-D211-4EED-A0F8-3D9F007E1B4D}"/>
    <cellStyle name="Normal 2 29 8" xfId="775" xr:uid="{785F966F-2BBD-4F94-93C7-488553C5663C}"/>
    <cellStyle name="Normal 2 29 9" xfId="776" xr:uid="{B9A08581-4DE6-47BA-8F3A-FACD77BE3E0A}"/>
    <cellStyle name="Normal 2 29_100114_ReCiPe_endpoint_orginalversion-Sander" xfId="777" xr:uid="{BFACBCB9-617F-4424-AA7C-778011CCC6B9}"/>
    <cellStyle name="Normal 2 3" xfId="778" xr:uid="{B9B8A4B9-556F-4716-BB75-4D6414E08C6D}"/>
    <cellStyle name="Normal 2 30" xfId="779" xr:uid="{A32CBE99-3EFD-4AB3-AB6D-97B360332CD5}"/>
    <cellStyle name="Normal 2 30 10" xfId="780" xr:uid="{00DA6B85-3E72-46F0-9122-ADAC29E0B7FA}"/>
    <cellStyle name="Normal 2 30 11" xfId="781" xr:uid="{C3BB3853-1EF7-4E0E-BBE7-D6B70340C1AC}"/>
    <cellStyle name="Normal 2 30 12" xfId="782" xr:uid="{19CFE165-CECE-406B-93AC-4733017A42D5}"/>
    <cellStyle name="Normal 2 30 13" xfId="783" xr:uid="{EE66B292-4041-4E21-B357-99229F23C762}"/>
    <cellStyle name="Normal 2 30 2" xfId="784" xr:uid="{2D06C027-C52B-4BA2-B225-2BB21F1E8CEE}"/>
    <cellStyle name="Normal 2 30 3" xfId="785" xr:uid="{1CC18CA0-C259-48F8-A399-F3F7B78E690B}"/>
    <cellStyle name="Normal 2 30 4" xfId="786" xr:uid="{A52629DC-C4C2-4505-8029-08245FFE7290}"/>
    <cellStyle name="Normal 2 30 5" xfId="787" xr:uid="{7207985E-66F8-4886-9D1A-B1B5C128A2BD}"/>
    <cellStyle name="Normal 2 30 6" xfId="788" xr:uid="{618C15AE-407A-46F9-A74F-3EE85AEFD327}"/>
    <cellStyle name="Normal 2 30 7" xfId="789" xr:uid="{FE3EC523-4CC5-496C-A6E3-CCC37E443D5F}"/>
    <cellStyle name="Normal 2 30 8" xfId="790" xr:uid="{9BA26C1A-6A26-4CF3-AF6A-8049538F081F}"/>
    <cellStyle name="Normal 2 30 9" xfId="791" xr:uid="{5C8B3828-DD24-48C1-B806-37A3C28C9A3E}"/>
    <cellStyle name="Normal 2 30_100114_ReCiPe_endpoint_orginalversion-Sander" xfId="792" xr:uid="{C46C5427-4B25-4617-9C5D-4C8592176BD2}"/>
    <cellStyle name="Normal 2 31" xfId="793" xr:uid="{6C697CEB-3E0F-4927-A2EB-953C47B6D4F7}"/>
    <cellStyle name="Normal 2 31 10" xfId="794" xr:uid="{EEDDC1B0-76D1-44C9-ACB8-CDAEDAD02769}"/>
    <cellStyle name="Normal 2 31 11" xfId="795" xr:uid="{1463CDEF-3E73-4188-8473-57F28F6DCC13}"/>
    <cellStyle name="Normal 2 31 12" xfId="796" xr:uid="{5C4CFE86-D86F-4F7B-9AA1-5A97480F77C9}"/>
    <cellStyle name="Normal 2 31 13" xfId="797" xr:uid="{C5ABCA28-277D-4DCC-A8DA-ECB7E7C7C8F6}"/>
    <cellStyle name="Normal 2 31 2" xfId="798" xr:uid="{AE2B6DFF-ABFF-453F-A185-E62CC786BA66}"/>
    <cellStyle name="Normal 2 31 3" xfId="799" xr:uid="{AAACD32F-B240-4363-813B-7A4AC2EF566D}"/>
    <cellStyle name="Normal 2 31 4" xfId="800" xr:uid="{7F94FCC0-4381-48FB-8C3D-B1AEB5603887}"/>
    <cellStyle name="Normal 2 31 5" xfId="801" xr:uid="{F5F68C1B-4DF6-4F39-990F-E3C166391BC1}"/>
    <cellStyle name="Normal 2 31 6" xfId="802" xr:uid="{061CDC23-8265-4FFC-8A6E-664672E3A587}"/>
    <cellStyle name="Normal 2 31 7" xfId="803" xr:uid="{9159E5DF-311A-4F33-ADF2-C0AD377594B7}"/>
    <cellStyle name="Normal 2 31 8" xfId="804" xr:uid="{389EF07E-B57F-4E83-A3F7-8D918EA014F4}"/>
    <cellStyle name="Normal 2 31 9" xfId="805" xr:uid="{3F362A1F-E2FF-4696-B740-38CE54D550AE}"/>
    <cellStyle name="Normal 2 31_100114_ReCiPe_endpoint_orginalversion-Sander" xfId="806" xr:uid="{F5320004-0D4A-4C74-A17D-A21E323D596A}"/>
    <cellStyle name="Normal 2 32" xfId="807" xr:uid="{538276CE-0D08-4A1C-8279-75C3FFEFA98C}"/>
    <cellStyle name="Normal 2 32 10" xfId="808" xr:uid="{B3934369-50BF-43C4-9C60-8A4DB80622B6}"/>
    <cellStyle name="Normal 2 32 11" xfId="809" xr:uid="{620ABB0D-105A-4AD8-99A7-22C22CF3206B}"/>
    <cellStyle name="Normal 2 32 12" xfId="810" xr:uid="{EC72F828-91D7-44C5-8CFE-F0D86BE4DC3F}"/>
    <cellStyle name="Normal 2 32 13" xfId="811" xr:uid="{FB041A8E-CCD2-4C0C-883B-96760B1BC255}"/>
    <cellStyle name="Normal 2 32 2" xfId="812" xr:uid="{230EF0B0-01E3-4B6A-B22D-82F7D241D5BF}"/>
    <cellStyle name="Normal 2 32 3" xfId="813" xr:uid="{E08A07D1-3F86-498B-8D13-92EA62088E7C}"/>
    <cellStyle name="Normal 2 32 4" xfId="814" xr:uid="{30FE3C81-8B4C-4A10-BD3A-AD06F5654D3C}"/>
    <cellStyle name="Normal 2 32 5" xfId="815" xr:uid="{9382790A-E5D7-4984-AA2A-42AED692A2D3}"/>
    <cellStyle name="Normal 2 32 6" xfId="816" xr:uid="{C6349ABF-11A5-42DA-81F4-B59F4E06D717}"/>
    <cellStyle name="Normal 2 32 7" xfId="817" xr:uid="{A2225990-F790-45BF-AC9C-45B58B0BA34E}"/>
    <cellStyle name="Normal 2 32 8" xfId="818" xr:uid="{6329EA06-9C5F-485A-BAE1-5F14F9CD16CB}"/>
    <cellStyle name="Normal 2 32 9" xfId="819" xr:uid="{7306DF6A-1082-48CC-985C-92A29222E3AD}"/>
    <cellStyle name="Normal 2 32_100114_ReCiPe_endpoint_orginalversion-Sander" xfId="820" xr:uid="{132E28FD-7C81-414B-9A9C-C69BE909F58C}"/>
    <cellStyle name="Normal 2 33" xfId="821" xr:uid="{4EF9684A-B7E0-4926-8F88-F94A6C22D3C4}"/>
    <cellStyle name="Normal 2 33 10" xfId="822" xr:uid="{9BAB05C8-E4C8-4800-9014-22AFF3203B94}"/>
    <cellStyle name="Normal 2 33 11" xfId="823" xr:uid="{8098A7CC-3522-4C4A-A90A-FA7E4A29967E}"/>
    <cellStyle name="Normal 2 33 12" xfId="824" xr:uid="{5685A53B-D477-4BD2-8E33-6B50D9DDA648}"/>
    <cellStyle name="Normal 2 33 13" xfId="825" xr:uid="{81E43689-73AA-4175-A500-46C14175CB7D}"/>
    <cellStyle name="Normal 2 33 2" xfId="826" xr:uid="{5BB796E3-102D-4848-BCFB-3E6165E5E2A9}"/>
    <cellStyle name="Normal 2 33 3" xfId="827" xr:uid="{CE42A786-DE56-468D-A6E3-FD968D3FDE46}"/>
    <cellStyle name="Normal 2 33 4" xfId="828" xr:uid="{3F039274-29A7-4287-94B7-1956D28AB0C2}"/>
    <cellStyle name="Normal 2 33 5" xfId="829" xr:uid="{1ACE6561-69F2-4C77-B960-0E54DA2D5D2E}"/>
    <cellStyle name="Normal 2 33 6" xfId="830" xr:uid="{0162736C-1397-471E-9BFC-2BEFDC1EFDAC}"/>
    <cellStyle name="Normal 2 33 7" xfId="831" xr:uid="{BFD84F25-6D86-448D-B2FF-4BC413A3088A}"/>
    <cellStyle name="Normal 2 33 8" xfId="832" xr:uid="{51820774-1AE2-4DCC-9CD9-ADF39A71334D}"/>
    <cellStyle name="Normal 2 33 9" xfId="833" xr:uid="{427DC6AA-D82E-48DD-9923-55A5003AE311}"/>
    <cellStyle name="Normal 2 33_100114_ReCiPe_endpoint_orginalversion-Sander" xfId="834" xr:uid="{C34C40EA-4B8B-4A54-9F58-7AB8C0286DF9}"/>
    <cellStyle name="Normal 2 34" xfId="835" xr:uid="{C6E5B62C-74A3-4285-AA27-889BAC9C4F48}"/>
    <cellStyle name="Normal 2 34 10" xfId="836" xr:uid="{DB4317E7-D729-4710-B439-F66E97D5FB90}"/>
    <cellStyle name="Normal 2 34 11" xfId="837" xr:uid="{37436C31-CCE5-4967-8FF0-63234E736FC2}"/>
    <cellStyle name="Normal 2 34 12" xfId="838" xr:uid="{E9DCDE87-5A26-4517-9480-33705E3E08C1}"/>
    <cellStyle name="Normal 2 34 13" xfId="839" xr:uid="{8CCC20DD-A80C-4497-A97D-1F82C6329AD7}"/>
    <cellStyle name="Normal 2 34 2" xfId="840" xr:uid="{4927FE41-CD97-452D-ACE7-A1B2DB2BB59C}"/>
    <cellStyle name="Normal 2 34 3" xfId="841" xr:uid="{87B791AD-E203-4F32-9097-0DA6F004D820}"/>
    <cellStyle name="Normal 2 34 4" xfId="842" xr:uid="{710F9192-741F-47A6-87E3-BD82560DA869}"/>
    <cellStyle name="Normal 2 34 5" xfId="843" xr:uid="{867E67DE-2CA1-4DAB-92D1-2814B513F4CD}"/>
    <cellStyle name="Normal 2 34 6" xfId="844" xr:uid="{C8FEE4D4-5203-476F-A74E-5D74021BFD7C}"/>
    <cellStyle name="Normal 2 34 7" xfId="845" xr:uid="{9FEB7565-038C-4843-A1FA-B8ED3C7D700D}"/>
    <cellStyle name="Normal 2 34 8" xfId="846" xr:uid="{EDD86C56-3F21-4419-8FD3-00428ECC847C}"/>
    <cellStyle name="Normal 2 34 9" xfId="847" xr:uid="{A7467A40-85AA-4F34-B5DF-7664E5BE78E9}"/>
    <cellStyle name="Normal 2 34_100114_ReCiPe_endpoint_orginalversion-Sander" xfId="848" xr:uid="{761C378D-9B52-49EB-ABED-A3AB6051F0AE}"/>
    <cellStyle name="Normal 2 35" xfId="849" xr:uid="{07F01745-2EB3-47F5-A29B-27DBEC60EF59}"/>
    <cellStyle name="Normal 2 35 10" xfId="850" xr:uid="{783A9E8C-DB84-4D0E-8C96-1805AC500619}"/>
    <cellStyle name="Normal 2 35 11" xfId="851" xr:uid="{16DFB334-67CC-4FEC-AE1B-1272AAA2C393}"/>
    <cellStyle name="Normal 2 35 12" xfId="852" xr:uid="{CC0F315C-61A3-4D23-810D-CF1ECBD89D73}"/>
    <cellStyle name="Normal 2 35 13" xfId="853" xr:uid="{9DC28E2E-4593-4686-895E-0091CEF65FD6}"/>
    <cellStyle name="Normal 2 35 2" xfId="854" xr:uid="{1C18369A-16C6-45BC-BFAC-62821ED3BBBA}"/>
    <cellStyle name="Normal 2 35 3" xfId="855" xr:uid="{3CD2E09B-D1A1-449B-8936-49CD569AB593}"/>
    <cellStyle name="Normal 2 35 4" xfId="856" xr:uid="{0159EED3-4CDC-4AB4-AAC7-FEBD1F30C557}"/>
    <cellStyle name="Normal 2 35 5" xfId="857" xr:uid="{2FF07A46-F89D-4487-8602-1A5DECF228AC}"/>
    <cellStyle name="Normal 2 35 6" xfId="858" xr:uid="{7EEDC208-F0CE-4C63-9C84-AB24361AA3B6}"/>
    <cellStyle name="Normal 2 35 7" xfId="859" xr:uid="{97178585-C05E-4689-A9F4-4E38F783D2C1}"/>
    <cellStyle name="Normal 2 35 8" xfId="860" xr:uid="{41ED437B-B34D-4A0A-B32B-FA5F4ED2E184}"/>
    <cellStyle name="Normal 2 35 9" xfId="861" xr:uid="{E8B3C2DB-29EF-406B-9F73-F220779D7134}"/>
    <cellStyle name="Normal 2 35_100114_ReCiPe_endpoint_orginalversion-Sander" xfId="862" xr:uid="{7E2124CC-2449-4F95-B5A3-915BCEBEC623}"/>
    <cellStyle name="Normal 2 36" xfId="863" xr:uid="{670EF834-6FA1-482D-B4EA-91FDB0858B89}"/>
    <cellStyle name="Normal 2 36 10" xfId="864" xr:uid="{C1C2D84A-7C61-4731-9FD4-0A7AF340B6AC}"/>
    <cellStyle name="Normal 2 36 11" xfId="865" xr:uid="{2D3DC89E-E2E5-4775-8219-8D0A70481B98}"/>
    <cellStyle name="Normal 2 36 12" xfId="866" xr:uid="{D56E2691-708C-4111-8F92-A6B590FEF7A3}"/>
    <cellStyle name="Normal 2 36 13" xfId="867" xr:uid="{A8DB19AD-E60A-433B-91CC-05A34FD56231}"/>
    <cellStyle name="Normal 2 36 2" xfId="868" xr:uid="{A831F200-0FA2-4870-96B2-1C17F712EB6C}"/>
    <cellStyle name="Normal 2 36 3" xfId="869" xr:uid="{F95B1CCD-4BD5-4A0C-9ED1-83A39569102F}"/>
    <cellStyle name="Normal 2 36 4" xfId="870" xr:uid="{CAF92DA1-26DC-4DBC-9D8B-38ABAAC42F83}"/>
    <cellStyle name="Normal 2 36 5" xfId="871" xr:uid="{908DCFB1-D8B3-4216-90A9-01A8D8E944C3}"/>
    <cellStyle name="Normal 2 36 6" xfId="872" xr:uid="{41FCCAC2-EEF1-473A-90ED-D3B127D8B4DB}"/>
    <cellStyle name="Normal 2 36 7" xfId="873" xr:uid="{2B2065BD-39EC-4ED1-9794-85EADA38EFFE}"/>
    <cellStyle name="Normal 2 36 8" xfId="874" xr:uid="{6662ADA6-98F7-4B4F-9F21-5B934B767657}"/>
    <cellStyle name="Normal 2 36 9" xfId="875" xr:uid="{1B749E10-5F56-4F8D-BC5B-88CEC7AED1A8}"/>
    <cellStyle name="Normal 2 36_100114_ReCiPe_endpoint_orginalversion-Sander" xfId="876" xr:uid="{D3C82FED-61B1-490D-82FA-D715AE261E5A}"/>
    <cellStyle name="Normal 2 37" xfId="877" xr:uid="{21102041-AAAA-47D3-84DE-368B69DB2850}"/>
    <cellStyle name="Normal 2 37 10" xfId="878" xr:uid="{3C249DF4-6BA9-49B2-9DA2-7525EB11F6F7}"/>
    <cellStyle name="Normal 2 37 11" xfId="879" xr:uid="{252FD592-C7B3-49F0-B85B-4D189D49B740}"/>
    <cellStyle name="Normal 2 37 12" xfId="880" xr:uid="{240136F1-82B9-46A2-8E04-85F4A6FBB570}"/>
    <cellStyle name="Normal 2 37 13" xfId="881" xr:uid="{7CA6F9B4-6FCD-40C4-8C79-8C35A935078C}"/>
    <cellStyle name="Normal 2 37 2" xfId="882" xr:uid="{E3D01243-929C-467E-89E5-40A0502FBF58}"/>
    <cellStyle name="Normal 2 37 3" xfId="883" xr:uid="{D3ABC086-F0CC-4053-9BAD-78EF7AA70787}"/>
    <cellStyle name="Normal 2 37 4" xfId="884" xr:uid="{CB1F222D-026B-4861-8A7A-C74C5F1CBA49}"/>
    <cellStyle name="Normal 2 37 5" xfId="885" xr:uid="{201817BE-6AD4-42E2-9B43-1289FFAE86EB}"/>
    <cellStyle name="Normal 2 37 6" xfId="886" xr:uid="{4E4ED477-2BFA-4686-9F3E-112C133F5790}"/>
    <cellStyle name="Normal 2 37 7" xfId="887" xr:uid="{F53F6D06-4949-4CD5-A3F0-2CBF40DEC02A}"/>
    <cellStyle name="Normal 2 37 8" xfId="888" xr:uid="{D893502D-C8B8-41E3-9F12-9BE1D7465288}"/>
    <cellStyle name="Normal 2 37 9" xfId="889" xr:uid="{DA39F1D9-0FC7-4BDE-B07B-54BF840AA7DE}"/>
    <cellStyle name="Normal 2 37_100114_ReCiPe_endpoint_orginalversion-Sander" xfId="890" xr:uid="{5FF4B1AD-B81B-45FF-88E9-D2284EE4125F}"/>
    <cellStyle name="Normal 2 38" xfId="891" xr:uid="{409206E5-2D6F-4A0F-B377-A189D8F868E7}"/>
    <cellStyle name="Normal 2 38 10" xfId="892" xr:uid="{30C9381F-2C9C-4AC3-B325-D6EAA22B5C43}"/>
    <cellStyle name="Normal 2 38 11" xfId="893" xr:uid="{0E2349A1-2A16-4E38-AEB3-B7459B99B991}"/>
    <cellStyle name="Normal 2 38 12" xfId="894" xr:uid="{066E77BB-F6D0-4819-AE2A-76E31501E963}"/>
    <cellStyle name="Normal 2 38 13" xfId="895" xr:uid="{E9E41032-CCD2-4F05-8407-B42C16496A5B}"/>
    <cellStyle name="Normal 2 38 2" xfId="896" xr:uid="{F3A8F280-1EF5-4C9F-ACA8-B24D28451360}"/>
    <cellStyle name="Normal 2 38 3" xfId="897" xr:uid="{0E6BD38D-038E-4CE0-AEBA-7F1DACD31CF9}"/>
    <cellStyle name="Normal 2 38 4" xfId="898" xr:uid="{31AE81AB-A876-4334-9B19-D197CFE96404}"/>
    <cellStyle name="Normal 2 38 5" xfId="899" xr:uid="{4F454FFF-2DFD-45B1-BEDD-9ADACDCFAF25}"/>
    <cellStyle name="Normal 2 38 6" xfId="900" xr:uid="{BFDA3345-4F08-4422-82D4-732918403770}"/>
    <cellStyle name="Normal 2 38 7" xfId="901" xr:uid="{C53FC032-6C0F-4E89-B91F-35B6D5461A45}"/>
    <cellStyle name="Normal 2 38 8" xfId="902" xr:uid="{F3282420-293E-443E-B84E-E9FBA369B1B1}"/>
    <cellStyle name="Normal 2 38 9" xfId="903" xr:uid="{D5029FC5-65A5-4328-8599-3209F2834AD8}"/>
    <cellStyle name="Normal 2 38_100114_ReCiPe_endpoint_orginalversion-Sander" xfId="904" xr:uid="{CF5E6844-3EC9-4E3F-A55F-5E90DCE0ACB6}"/>
    <cellStyle name="Normal 2 39" xfId="905" xr:uid="{1E0FFBFC-CAA2-458C-B969-C8EB3495DD8C}"/>
    <cellStyle name="Normal 2 39 10" xfId="906" xr:uid="{D14630BF-120B-49D1-B48C-56327E9D9CC1}"/>
    <cellStyle name="Normal 2 39 11" xfId="907" xr:uid="{B76F6995-9E91-46C1-A907-4E6A5ED15001}"/>
    <cellStyle name="Normal 2 39 12" xfId="908" xr:uid="{83347A3D-0D63-4E91-A414-5DD5AF83A980}"/>
    <cellStyle name="Normal 2 39 13" xfId="909" xr:uid="{503405BE-25F9-46C5-ADC3-3A24956F1AF8}"/>
    <cellStyle name="Normal 2 39 2" xfId="910" xr:uid="{74783445-C33E-4242-8422-FBD371678BA4}"/>
    <cellStyle name="Normal 2 39 3" xfId="911" xr:uid="{F5D1BF03-F7C3-4298-AD8F-44CE7E09557E}"/>
    <cellStyle name="Normal 2 39 4" xfId="912" xr:uid="{3EE9DC0E-A35E-4BB7-B3AA-155A4C4431CC}"/>
    <cellStyle name="Normal 2 39 5" xfId="913" xr:uid="{84CFE201-C0D0-4746-BAF6-5493C7A814B0}"/>
    <cellStyle name="Normal 2 39 6" xfId="914" xr:uid="{920408F0-B6CA-418A-AB01-99944B27033E}"/>
    <cellStyle name="Normal 2 39 7" xfId="915" xr:uid="{033F2B27-2E32-44AF-A2E6-AD739C54E14B}"/>
    <cellStyle name="Normal 2 39 8" xfId="916" xr:uid="{E51A1F88-B458-49EB-B06D-53EDB0DDC424}"/>
    <cellStyle name="Normal 2 39 9" xfId="917" xr:uid="{CCC2C7AB-5F63-423E-9AB9-BD120FDF9AAD}"/>
    <cellStyle name="Normal 2 39_100114_ReCiPe_endpoint_orginalversion-Sander" xfId="918" xr:uid="{EB7026FD-FB81-4E3B-AD90-E7ED3A15E065}"/>
    <cellStyle name="Normal 2 4" xfId="919" xr:uid="{C166D042-8E9F-4937-BEAF-CC50C11A0A02}"/>
    <cellStyle name="Normal 2 40" xfId="920" xr:uid="{2D282280-57B8-408E-861E-81CD599D0E90}"/>
    <cellStyle name="Normal 2 40 10" xfId="921" xr:uid="{759ADAD0-18E2-4747-8C91-680C3A42EEF2}"/>
    <cellStyle name="Normal 2 40 11" xfId="922" xr:uid="{AA3E93DC-E46F-4E1C-A6AE-2C31D887F2D3}"/>
    <cellStyle name="Normal 2 40 12" xfId="923" xr:uid="{A27C8E3A-13C4-4476-9A2E-3C71F40EBDF8}"/>
    <cellStyle name="Normal 2 40 13" xfId="924" xr:uid="{9765274E-8C23-4A0B-BCBB-44DB38764EA3}"/>
    <cellStyle name="Normal 2 40 2" xfId="925" xr:uid="{33595831-8C7A-4A8A-B739-A69DDBDBA9DA}"/>
    <cellStyle name="Normal 2 40 3" xfId="926" xr:uid="{E846AA1B-B06F-4391-85AC-0C3166936274}"/>
    <cellStyle name="Normal 2 40 4" xfId="927" xr:uid="{B8426F54-5732-45B3-B6F3-00DAB6963EEE}"/>
    <cellStyle name="Normal 2 40 5" xfId="928" xr:uid="{6DA94EDD-09E5-4980-B3C0-6A7392DE6386}"/>
    <cellStyle name="Normal 2 40 6" xfId="929" xr:uid="{364E59DC-C7CB-4E15-8355-4F7EF46A58E3}"/>
    <cellStyle name="Normal 2 40 7" xfId="930" xr:uid="{DB6CB634-28E7-4015-9DE1-7251130A4219}"/>
    <cellStyle name="Normal 2 40 8" xfId="931" xr:uid="{D93EBCA9-D6B8-4E12-95E8-4A533DCE34B0}"/>
    <cellStyle name="Normal 2 40 9" xfId="932" xr:uid="{59F23AB7-5AAC-4388-A889-B6327A3F8548}"/>
    <cellStyle name="Normal 2 40_100114_ReCiPe_endpoint_orginalversion-Sander" xfId="933" xr:uid="{D0FBA169-0A42-4B6E-BCCB-C9CA0E5EECDD}"/>
    <cellStyle name="Normal 2 41" xfId="934" xr:uid="{3FBFECFE-070B-41D4-B203-D542B828A89F}"/>
    <cellStyle name="Normal 2 41 10" xfId="935" xr:uid="{2532FDC6-8891-4CEF-B0C9-5D80A241B40D}"/>
    <cellStyle name="Normal 2 41 11" xfId="936" xr:uid="{9624FCFA-FA68-4796-BD72-2A57EFDB109D}"/>
    <cellStyle name="Normal 2 41 12" xfId="937" xr:uid="{3A62E5C3-E955-4307-A393-1CF0E349D85D}"/>
    <cellStyle name="Normal 2 41 13" xfId="938" xr:uid="{437084F4-7F11-46B4-B84C-4CC27619DBC7}"/>
    <cellStyle name="Normal 2 41 2" xfId="939" xr:uid="{E1AC518F-6963-4E7C-BCC3-0CC4711C9D63}"/>
    <cellStyle name="Normal 2 41 3" xfId="940" xr:uid="{FE5D4252-4D95-492B-8F3A-845256E5F546}"/>
    <cellStyle name="Normal 2 41 4" xfId="941" xr:uid="{9C29CB30-065B-476C-B208-EB53AD013A98}"/>
    <cellStyle name="Normal 2 41 5" xfId="942" xr:uid="{C5D3B9C5-C258-4B9E-B2A9-31E431C4A507}"/>
    <cellStyle name="Normal 2 41 6" xfId="943" xr:uid="{D38A2F6E-721E-4591-95C2-8A3C6E8D38DC}"/>
    <cellStyle name="Normal 2 41 7" xfId="944" xr:uid="{4582F23D-5B8C-4D43-A984-39F09A93F81F}"/>
    <cellStyle name="Normal 2 41 8" xfId="945" xr:uid="{AE16281F-F804-4DD1-AD1B-79A321965A16}"/>
    <cellStyle name="Normal 2 41 9" xfId="946" xr:uid="{3983C7EB-4ECC-4E78-BFA5-F85F90686381}"/>
    <cellStyle name="Normal 2 41_100114_ReCiPe_endpoint_orginalversion-Sander" xfId="947" xr:uid="{9DFFB0C3-2D46-48EA-A59B-AF07C7243B82}"/>
    <cellStyle name="Normal 2 42" xfId="948" xr:uid="{629E3923-7E25-429C-AB22-DA29217AE6CC}"/>
    <cellStyle name="Normal 2 42 10" xfId="949" xr:uid="{E5A562C2-6F28-498C-A818-2F62DC78F5C8}"/>
    <cellStyle name="Normal 2 42 11" xfId="950" xr:uid="{AEB5BD60-048B-4B9E-8A64-D87D90636C3C}"/>
    <cellStyle name="Normal 2 42 12" xfId="951" xr:uid="{B0CDC9B5-8BD5-4F67-BE21-6FAE805B8A1F}"/>
    <cellStyle name="Normal 2 42 13" xfId="952" xr:uid="{421A6505-47B0-480B-8580-1957FB234164}"/>
    <cellStyle name="Normal 2 42 2" xfId="953" xr:uid="{932E814C-4B67-46CC-B980-06BBB423C123}"/>
    <cellStyle name="Normal 2 42 3" xfId="954" xr:uid="{88D0BA05-5F72-481B-9CA2-B840541A5052}"/>
    <cellStyle name="Normal 2 42 4" xfId="955" xr:uid="{9015E65E-AE1F-4A27-B211-F1ADF0E118D1}"/>
    <cellStyle name="Normal 2 42 5" xfId="956" xr:uid="{6402FE2D-4E0A-4A63-B407-CE9C390FE0EB}"/>
    <cellStyle name="Normal 2 42 6" xfId="957" xr:uid="{A0A5FECD-84AF-4EDC-A6CC-C5E136B40A99}"/>
    <cellStyle name="Normal 2 42 7" xfId="958" xr:uid="{55174167-AE35-4436-B1D0-191E2D06005F}"/>
    <cellStyle name="Normal 2 42 8" xfId="959" xr:uid="{FA77BED5-5B89-4D80-83B9-7ACD3B3189BF}"/>
    <cellStyle name="Normal 2 42 9" xfId="960" xr:uid="{BE481440-B1E5-4B50-A754-540E1BB44657}"/>
    <cellStyle name="Normal 2 42_100114_ReCiPe_endpoint_orginalversion-Sander" xfId="961" xr:uid="{312EC100-04A8-4CB1-818F-5DA14E56D43A}"/>
    <cellStyle name="Normal 2 43" xfId="962" xr:uid="{39A11E07-B9C9-468C-82D6-172B5920EF4A}"/>
    <cellStyle name="Normal 2 43 10" xfId="963" xr:uid="{7ED0B7AF-0C22-4BC9-824D-D6D246D6498A}"/>
    <cellStyle name="Normal 2 43 11" xfId="964" xr:uid="{116F72D1-1E14-416E-9E3B-BC8F6F9D6D7F}"/>
    <cellStyle name="Normal 2 43 12" xfId="965" xr:uid="{CB1184F4-1665-42C0-BBB3-2C43F9085017}"/>
    <cellStyle name="Normal 2 43 13" xfId="966" xr:uid="{429E6A44-E91C-4CDD-A69C-CE15E6394548}"/>
    <cellStyle name="Normal 2 43 2" xfId="967" xr:uid="{BCD5182D-CC2E-4DA8-B6DB-D0926568072D}"/>
    <cellStyle name="Normal 2 43 3" xfId="968" xr:uid="{10CD7D5C-73D4-4108-9DA1-F824A0DD8BB6}"/>
    <cellStyle name="Normal 2 43 4" xfId="969" xr:uid="{E876CCA3-FFEC-46A7-B5C8-6115B7C79878}"/>
    <cellStyle name="Normal 2 43 5" xfId="970" xr:uid="{E321AB49-A2F7-4EB9-9BC3-2A4B1E2874E0}"/>
    <cellStyle name="Normal 2 43 6" xfId="971" xr:uid="{E92457FD-CE80-46DC-A950-FA3A39AF0470}"/>
    <cellStyle name="Normal 2 43 7" xfId="972" xr:uid="{8748F7AC-86A3-4B8A-A082-70C0B15F3093}"/>
    <cellStyle name="Normal 2 43 8" xfId="973" xr:uid="{49645115-7D6E-4DDB-9861-944770013EF3}"/>
    <cellStyle name="Normal 2 43 9" xfId="974" xr:uid="{950CDE85-5EA0-4EA8-8721-E4ADDCB987B3}"/>
    <cellStyle name="Normal 2 43_100114_ReCiPe_endpoint_orginalversion-Sander" xfId="975" xr:uid="{E24A193D-9506-40E1-9AE2-863B798FCEDE}"/>
    <cellStyle name="Normal 2 44" xfId="976" xr:uid="{FD92B061-8E49-48EB-BDBF-06AD83F83035}"/>
    <cellStyle name="Normal 2 44 10" xfId="977" xr:uid="{33DA42FB-542D-4FA2-B793-78906EB50315}"/>
    <cellStyle name="Normal 2 44 11" xfId="978" xr:uid="{A7E48640-5A5B-46B1-B85C-73E231E47206}"/>
    <cellStyle name="Normal 2 44 12" xfId="979" xr:uid="{E9899D10-46CC-4434-94EF-DCAB5800E758}"/>
    <cellStyle name="Normal 2 44 13" xfId="980" xr:uid="{A6D278F1-55B4-43F2-A3CF-E907185ABBC8}"/>
    <cellStyle name="Normal 2 44 2" xfId="981" xr:uid="{A6769A88-4241-41A5-8D15-48694B9840DA}"/>
    <cellStyle name="Normal 2 44 3" xfId="982" xr:uid="{51039891-13BB-4CEF-9438-D78BEB832E16}"/>
    <cellStyle name="Normal 2 44 4" xfId="983" xr:uid="{8BBC03B5-83A3-49B6-8734-CE37E5C739BC}"/>
    <cellStyle name="Normal 2 44 5" xfId="984" xr:uid="{871430FB-34AC-4646-8315-AD4B1BB994C9}"/>
    <cellStyle name="Normal 2 44 6" xfId="985" xr:uid="{265FCED7-34AD-45B8-887D-77A165F99EF2}"/>
    <cellStyle name="Normal 2 44 7" xfId="986" xr:uid="{0E81BFAB-6C39-49CE-9C81-0C6733C216CD}"/>
    <cellStyle name="Normal 2 44 8" xfId="987" xr:uid="{1CB79673-4A99-4F0F-817D-A1A3050AA359}"/>
    <cellStyle name="Normal 2 44 9" xfId="988" xr:uid="{55953F12-6AE8-4CF0-B542-476044BF70A7}"/>
    <cellStyle name="Normal 2 44_100114_ReCiPe_endpoint_orginalversion-Sander" xfId="989" xr:uid="{B4EC8D4B-9583-4DFB-AB2D-CF7439994BDB}"/>
    <cellStyle name="Normal 2 45" xfId="990" xr:uid="{EF919638-B638-4CFC-9572-FF24FD4B12A7}"/>
    <cellStyle name="Normal 2 45 10" xfId="991" xr:uid="{5258BF46-093E-4B27-B2CF-17BAF0C87EB4}"/>
    <cellStyle name="Normal 2 45 11" xfId="992" xr:uid="{45FEC1E8-9A1A-4587-A87D-B00366CC20E9}"/>
    <cellStyle name="Normal 2 45 12" xfId="993" xr:uid="{C74ECB87-727E-42A5-9548-C8733D818FF0}"/>
    <cellStyle name="Normal 2 45 13" xfId="994" xr:uid="{F867CACB-6F31-4236-A3DE-B983F155642D}"/>
    <cellStyle name="Normal 2 45 2" xfId="995" xr:uid="{4444D5A2-222B-45BF-BE69-CF1A0B6E24ED}"/>
    <cellStyle name="Normal 2 45 3" xfId="996" xr:uid="{86570C6B-E4EC-4834-B677-ED140572CBA8}"/>
    <cellStyle name="Normal 2 45 4" xfId="997" xr:uid="{9B425748-A3D9-4124-AD64-DC74815B7B3A}"/>
    <cellStyle name="Normal 2 45 5" xfId="998" xr:uid="{BCCC2EB3-0854-463E-9AD3-68000A5ACF8F}"/>
    <cellStyle name="Normal 2 45 6" xfId="999" xr:uid="{D843E1A1-7C9E-47A7-9D33-BED07AE4ACFB}"/>
    <cellStyle name="Normal 2 45 7" xfId="1000" xr:uid="{AA0DB9EB-3679-4C8D-99B4-09B66158CADF}"/>
    <cellStyle name="Normal 2 45 8" xfId="1001" xr:uid="{64882951-0A9A-432F-82D1-CCD880FC6A81}"/>
    <cellStyle name="Normal 2 45 9" xfId="1002" xr:uid="{1ACED89D-B9E1-4BFF-9503-473580822F00}"/>
    <cellStyle name="Normal 2 45_100114_ReCiPe_endpoint_orginalversion-Sander" xfId="1003" xr:uid="{E813D2D4-86E5-4F0F-A6CF-F838C67B99B6}"/>
    <cellStyle name="Normal 2 46" xfId="1004" xr:uid="{BD081225-1363-4024-AA16-4C5290CE1876}"/>
    <cellStyle name="Normal 2 46 10" xfId="1005" xr:uid="{BCED79C5-809D-41F3-80A7-17F94BB35415}"/>
    <cellStyle name="Normal 2 46 11" xfId="1006" xr:uid="{C14FA45B-C233-4084-8608-16FF3706B827}"/>
    <cellStyle name="Normal 2 46 12" xfId="1007" xr:uid="{7B49AD4A-46A1-4659-B682-8EC4CC05E534}"/>
    <cellStyle name="Normal 2 46 13" xfId="1008" xr:uid="{1D462FCC-2AD2-4776-8C55-1C2D6C00C687}"/>
    <cellStyle name="Normal 2 46 2" xfId="1009" xr:uid="{D1675899-FE03-46FD-B1FA-7B339431105A}"/>
    <cellStyle name="Normal 2 46 3" xfId="1010" xr:uid="{47BD221A-859B-4976-8576-D084B68046C5}"/>
    <cellStyle name="Normal 2 46 4" xfId="1011" xr:uid="{00095FD5-978C-4E57-A7DB-947E93E6ADEC}"/>
    <cellStyle name="Normal 2 46 5" xfId="1012" xr:uid="{962C682F-A9B4-48EF-A8CB-483C82A3C8EE}"/>
    <cellStyle name="Normal 2 46 6" xfId="1013" xr:uid="{40030E1A-0B63-4063-8601-9F6451D1C49B}"/>
    <cellStyle name="Normal 2 46 7" xfId="1014" xr:uid="{74DA952A-6359-420B-A113-A267CA8C19E4}"/>
    <cellStyle name="Normal 2 46 8" xfId="1015" xr:uid="{F65CA43D-61F4-4B8D-996C-0D6B2A8B1405}"/>
    <cellStyle name="Normal 2 46 9" xfId="1016" xr:uid="{A7A26961-C075-4746-8F54-B046CAEA4992}"/>
    <cellStyle name="Normal 2 46_100114_ReCiPe_endpoint_orginalversion-Sander" xfId="1017" xr:uid="{FE5B6D27-0408-4AEF-BCC0-C232ED161EFC}"/>
    <cellStyle name="Normal 2 47" xfId="1018" xr:uid="{5E2081BE-11E1-49BD-BEA1-950794BC5EC9}"/>
    <cellStyle name="Normal 2 47 10" xfId="1019" xr:uid="{3B8B0097-90F2-48F6-AFFF-25277191139C}"/>
    <cellStyle name="Normal 2 47 11" xfId="1020" xr:uid="{C07E2F03-6B6B-4F97-B887-6597307C1D0C}"/>
    <cellStyle name="Normal 2 47 12" xfId="1021" xr:uid="{D532EBEE-5946-4EC3-A5B9-5E7A23C3FDF9}"/>
    <cellStyle name="Normal 2 47 13" xfId="1022" xr:uid="{F7A2BA24-FE67-4014-9F6D-49E838D2A172}"/>
    <cellStyle name="Normal 2 47 2" xfId="1023" xr:uid="{9DB0E1A9-3521-4607-9A01-181D33A4D1E9}"/>
    <cellStyle name="Normal 2 47 3" xfId="1024" xr:uid="{E83261A4-3119-4BB2-9EED-439700FC0490}"/>
    <cellStyle name="Normal 2 47 4" xfId="1025" xr:uid="{5445D195-52C4-4AF2-8932-5E71072CA2BF}"/>
    <cellStyle name="Normal 2 47 5" xfId="1026" xr:uid="{03D394A4-A505-47F8-89EB-AC7BFA4434B7}"/>
    <cellStyle name="Normal 2 47 6" xfId="1027" xr:uid="{014231EB-F9B2-4053-8D4B-E51F4128F4DB}"/>
    <cellStyle name="Normal 2 47 7" xfId="1028" xr:uid="{AA100EBE-3926-4ADE-A4BB-7256908FB333}"/>
    <cellStyle name="Normal 2 47 8" xfId="1029" xr:uid="{2CB4DE19-F2DE-4DA5-B159-3EC008F3EE2B}"/>
    <cellStyle name="Normal 2 47 9" xfId="1030" xr:uid="{B170EB74-E8B7-4DF3-96F9-CBE3FCAF0860}"/>
    <cellStyle name="Normal 2 47_100114_ReCiPe_endpoint_orginalversion-Sander" xfId="1031" xr:uid="{182B0A6F-77C6-4524-A5AD-58D07BF8A5FB}"/>
    <cellStyle name="Normal 2 48" xfId="1032" xr:uid="{2E9A6DA4-CD39-4014-8265-DDED7A05C6CC}"/>
    <cellStyle name="Normal 2 48 10" xfId="1033" xr:uid="{1E2921C3-2657-4299-8869-93E59679BA38}"/>
    <cellStyle name="Normal 2 48 11" xfId="1034" xr:uid="{D00C8DFE-8B6B-4AE5-9007-E4C6C37B8799}"/>
    <cellStyle name="Normal 2 48 12" xfId="1035" xr:uid="{7113B57E-52A5-4E13-8DCC-60A0512B4463}"/>
    <cellStyle name="Normal 2 48 13" xfId="1036" xr:uid="{5159F97B-17C8-462D-BE97-BAC93A4FA198}"/>
    <cellStyle name="Normal 2 48 2" xfId="1037" xr:uid="{2BC6F1D6-708B-44EE-A6F0-951CCBAFF0F1}"/>
    <cellStyle name="Normal 2 48 3" xfId="1038" xr:uid="{B43FB287-4540-4617-82E5-03CE8269DDAB}"/>
    <cellStyle name="Normal 2 48 4" xfId="1039" xr:uid="{8F7FF31B-8AF3-4B93-96BA-BBE3AFEC0D13}"/>
    <cellStyle name="Normal 2 48 5" xfId="1040" xr:uid="{5C92763E-33F2-4262-9CCE-F06C05213240}"/>
    <cellStyle name="Normal 2 48 6" xfId="1041" xr:uid="{5B7A6D66-3D7F-4DBA-A1F8-9FDB9A1FA6B5}"/>
    <cellStyle name="Normal 2 48 7" xfId="1042" xr:uid="{C7E575A1-A2D2-462F-AAD4-D10072B45BE5}"/>
    <cellStyle name="Normal 2 48 8" xfId="1043" xr:uid="{E9596167-8447-4092-9B0E-F5DBFE269B9E}"/>
    <cellStyle name="Normal 2 48 9" xfId="1044" xr:uid="{B606AF7C-38C8-4C9E-9BAE-C33C29E9750C}"/>
    <cellStyle name="Normal 2 48_100114_ReCiPe_endpoint_orginalversion-Sander" xfId="1045" xr:uid="{5A91E408-B29B-4B71-9480-7A9756E5BED1}"/>
    <cellStyle name="Normal 2 49" xfId="1046" xr:uid="{9FCF0F10-6684-4702-84B6-00693AF654DD}"/>
    <cellStyle name="Normal 2 49 10" xfId="1047" xr:uid="{22E8CCB6-7A71-47A0-B051-152F2569EE0A}"/>
    <cellStyle name="Normal 2 49 11" xfId="1048" xr:uid="{3E9BFA8A-E2A4-4978-BAC5-CC5632A41D91}"/>
    <cellStyle name="Normal 2 49 12" xfId="1049" xr:uid="{6BBD4453-440D-42EC-8A66-79016E1A1CF4}"/>
    <cellStyle name="Normal 2 49 13" xfId="1050" xr:uid="{2390D7D7-AB6B-4AB8-BCF4-985593867021}"/>
    <cellStyle name="Normal 2 49 2" xfId="1051" xr:uid="{B316217F-797F-445E-99ED-189DCF29DE2B}"/>
    <cellStyle name="Normal 2 49 3" xfId="1052" xr:uid="{C8BC949C-9C63-48CA-84A8-1A2E46971E4C}"/>
    <cellStyle name="Normal 2 49 4" xfId="1053" xr:uid="{7E7715D4-9B04-49D2-9FA9-9992D57C3E21}"/>
    <cellStyle name="Normal 2 49 5" xfId="1054" xr:uid="{415A0FB6-C72B-42F1-A8DC-9DF2FE54CB7F}"/>
    <cellStyle name="Normal 2 49 6" xfId="1055" xr:uid="{862BCAA9-275B-40DA-B940-94C76BB818AD}"/>
    <cellStyle name="Normal 2 49 7" xfId="1056" xr:uid="{79CEE4B1-CAE0-4C58-8EC3-4E67D0FBD287}"/>
    <cellStyle name="Normal 2 49 8" xfId="1057" xr:uid="{55C18F38-E516-431F-B219-B708A72D6750}"/>
    <cellStyle name="Normal 2 49 9" xfId="1058" xr:uid="{F5FA5D80-ABD5-411C-8219-35CF7F736B7B}"/>
    <cellStyle name="Normal 2 49_100114_ReCiPe_endpoint_orginalversion-Sander" xfId="1059" xr:uid="{47D142A6-F973-4225-B679-8CC7F2AAA74D}"/>
    <cellStyle name="Normal 2 5" xfId="1060" xr:uid="{542B5810-D171-437D-8556-8D149BD257D8}"/>
    <cellStyle name="Normal 2 50" xfId="1061" xr:uid="{6A5CAF5B-7D38-4E29-A880-182A04B78832}"/>
    <cellStyle name="Normal 2 50 10" xfId="1062" xr:uid="{BF426EA0-09B2-4417-99DC-9E4970D15D08}"/>
    <cellStyle name="Normal 2 50 11" xfId="1063" xr:uid="{5AF0C331-D3E9-45C8-B055-46FB4C2F1CE2}"/>
    <cellStyle name="Normal 2 50 12" xfId="1064" xr:uid="{B7C7A6DD-22A8-4D5F-BA9B-A9968C8120EF}"/>
    <cellStyle name="Normal 2 50 13" xfId="1065" xr:uid="{82BECF56-EBF4-4F38-9870-8D80F4197B14}"/>
    <cellStyle name="Normal 2 50 2" xfId="1066" xr:uid="{6FA9F2CA-F383-4BC5-9EBC-24AD84E4C63D}"/>
    <cellStyle name="Normal 2 50 3" xfId="1067" xr:uid="{7B3A09E9-799D-44DF-AECA-E3B32EAC3E9D}"/>
    <cellStyle name="Normal 2 50 4" xfId="1068" xr:uid="{00196C62-E6B4-4895-A056-EE4CE36D94CD}"/>
    <cellStyle name="Normal 2 50 5" xfId="1069" xr:uid="{133A4AA0-F0A8-4121-BC27-4FAE986E9DD4}"/>
    <cellStyle name="Normal 2 50 6" xfId="1070" xr:uid="{48154151-2161-4014-BACF-8EC676B76E20}"/>
    <cellStyle name="Normal 2 50 7" xfId="1071" xr:uid="{1698A48D-4F31-4FA0-8030-86CF9AC01892}"/>
    <cellStyle name="Normal 2 50 8" xfId="1072" xr:uid="{77351F60-E17F-4D51-8B17-82642557E5BE}"/>
    <cellStyle name="Normal 2 50 9" xfId="1073" xr:uid="{90685D11-8E20-465E-AA04-804FDDC026F8}"/>
    <cellStyle name="Normal 2 50_100114_ReCiPe_endpoint_orginalversion-Sander" xfId="1074" xr:uid="{448F5E9F-362A-466A-8FA1-CFC7350B0B8F}"/>
    <cellStyle name="Normal 2 51" xfId="1075" xr:uid="{1B48AEF1-62AB-49D4-92ED-976C7E7EB50E}"/>
    <cellStyle name="Normal 2 51 10" xfId="1076" xr:uid="{DEA5E8DA-F020-4C54-B028-33459894299D}"/>
    <cellStyle name="Normal 2 51 11" xfId="1077" xr:uid="{DBC19F01-EC46-48D1-B608-F08771A78DBB}"/>
    <cellStyle name="Normal 2 51 12" xfId="1078" xr:uid="{1B58F24E-281F-4EF1-84D6-45903BF5D500}"/>
    <cellStyle name="Normal 2 51 13" xfId="1079" xr:uid="{5226EFB7-E8E4-498E-92BC-E80B6AA92958}"/>
    <cellStyle name="Normal 2 51 2" xfId="1080" xr:uid="{08F14FCD-5285-4C3E-AB09-F03FB15186E9}"/>
    <cellStyle name="Normal 2 51 3" xfId="1081" xr:uid="{DC15250A-3F29-4012-A6DC-56F93BEBA04B}"/>
    <cellStyle name="Normal 2 51 4" xfId="1082" xr:uid="{1286388D-417B-4E70-B0C4-05439FE0BC1D}"/>
    <cellStyle name="Normal 2 51 5" xfId="1083" xr:uid="{709AF65E-9982-4B2C-BF49-9C966921F9DD}"/>
    <cellStyle name="Normal 2 51 6" xfId="1084" xr:uid="{D1EB7D1A-CF75-4B35-80FA-5DAC1A9E60CB}"/>
    <cellStyle name="Normal 2 51 7" xfId="1085" xr:uid="{40F7D625-D67C-42DE-A0BD-5B026A8EFC12}"/>
    <cellStyle name="Normal 2 51 8" xfId="1086" xr:uid="{13D8AC9F-43F2-44FF-B97E-D99E2923AA83}"/>
    <cellStyle name="Normal 2 51 9" xfId="1087" xr:uid="{D1E91F52-A571-4EB2-B4CF-1A48D5188260}"/>
    <cellStyle name="Normal 2 51_100114_ReCiPe_endpoint_orginalversion-Sander" xfId="1088" xr:uid="{1003B833-F779-42E8-9639-4C367B9AA5D2}"/>
    <cellStyle name="Normal 2 52" xfId="1089" xr:uid="{B08648A6-7B26-4089-923A-1D97EFFEEF72}"/>
    <cellStyle name="Normal 2 52 10" xfId="1090" xr:uid="{0F769CD4-EC2E-4D90-8C6C-11DD6F65DDFC}"/>
    <cellStyle name="Normal 2 52 11" xfId="1091" xr:uid="{273E5AEC-305F-4FEC-B823-6B2D81B5DCE5}"/>
    <cellStyle name="Normal 2 52 12" xfId="1092" xr:uid="{232E31B6-689C-4E16-87EA-B781A05A6EDD}"/>
    <cellStyle name="Normal 2 52 13" xfId="1093" xr:uid="{13A15DF4-183B-4F2E-914A-24DF67F006D8}"/>
    <cellStyle name="Normal 2 52 2" xfId="1094" xr:uid="{EC1072DE-4A51-42BF-9ADF-2AACC027B8EF}"/>
    <cellStyle name="Normal 2 52 3" xfId="1095" xr:uid="{723FCD37-3C69-41FF-9B94-6D1E85BA5343}"/>
    <cellStyle name="Normal 2 52 4" xfId="1096" xr:uid="{FF73AF52-ED45-4B1A-AF00-DB37FCB9F000}"/>
    <cellStyle name="Normal 2 52 5" xfId="1097" xr:uid="{9FA52988-184A-435B-9724-313D1B6E0DE7}"/>
    <cellStyle name="Normal 2 52 6" xfId="1098" xr:uid="{157F88F9-B650-4AFC-BA5F-39D6724E895A}"/>
    <cellStyle name="Normal 2 52 7" xfId="1099" xr:uid="{A366996B-6B37-41ED-88C9-40BEB893B849}"/>
    <cellStyle name="Normal 2 52 8" xfId="1100" xr:uid="{BE9916BA-972A-426F-9CCF-CE4F807FEAC0}"/>
    <cellStyle name="Normal 2 52 9" xfId="1101" xr:uid="{689C054F-9E90-43AC-A6B0-AD55DA570E68}"/>
    <cellStyle name="Normal 2 52_100114_ReCiPe_endpoint_orginalversion-Sander" xfId="1102" xr:uid="{A3CD406A-7233-4B2A-8468-FCD695F3E768}"/>
    <cellStyle name="Normal 2 53" xfId="1103" xr:uid="{D0055972-135E-4AAD-A781-4DAE61A468AD}"/>
    <cellStyle name="Normal 2 53 10" xfId="1104" xr:uid="{F7BB8AE6-E225-493D-BCAD-AEAC096972EC}"/>
    <cellStyle name="Normal 2 53 11" xfId="1105" xr:uid="{1C0E1E65-8EE5-4200-B6B8-D9BF024EFB8F}"/>
    <cellStyle name="Normal 2 53 12" xfId="1106" xr:uid="{D6476157-9CE4-4DD1-8510-BDCBE9A13F74}"/>
    <cellStyle name="Normal 2 53 13" xfId="1107" xr:uid="{546FDFB9-CDCC-4C1F-9E64-C30AEBB16484}"/>
    <cellStyle name="Normal 2 53 2" xfId="1108" xr:uid="{48F034AF-7B18-49D0-BD12-B58C47D35BE2}"/>
    <cellStyle name="Normal 2 53 3" xfId="1109" xr:uid="{A3C25637-CD1E-4B9A-8F65-0830E51EF5B4}"/>
    <cellStyle name="Normal 2 53 4" xfId="1110" xr:uid="{EBA95A53-C19B-49EE-96E8-3D65041693FC}"/>
    <cellStyle name="Normal 2 53 5" xfId="1111" xr:uid="{94953037-E22D-488F-A3BB-0BC21B6ACDC1}"/>
    <cellStyle name="Normal 2 53 6" xfId="1112" xr:uid="{424D289B-6020-4D9C-A3C5-109F9EF1C67A}"/>
    <cellStyle name="Normal 2 53 7" xfId="1113" xr:uid="{F85208F5-9616-4A73-88B3-8FADE01B11BC}"/>
    <cellStyle name="Normal 2 53 8" xfId="1114" xr:uid="{B6694BE0-427B-4808-8B1C-D4F39B759266}"/>
    <cellStyle name="Normal 2 53 9" xfId="1115" xr:uid="{734EC3CD-2536-4506-96C8-260030FB52BC}"/>
    <cellStyle name="Normal 2 53_100114_ReCiPe_endpoint_orginalversion-Sander" xfId="1116" xr:uid="{2ECDCAF5-A459-4EA1-94F6-6681546C9A72}"/>
    <cellStyle name="Normal 2 54" xfId="1117" xr:uid="{116C9450-E8B2-45B1-9B6F-0A96F627C024}"/>
    <cellStyle name="Normal 2 54 10" xfId="1118" xr:uid="{36397577-D364-483D-9F91-C06CFD916C6F}"/>
    <cellStyle name="Normal 2 54 11" xfId="1119" xr:uid="{1532271B-DC95-40E1-A85D-FCA9A020A255}"/>
    <cellStyle name="Normal 2 54 12" xfId="1120" xr:uid="{9F3683E6-EE92-434C-84F6-80D60F657FEE}"/>
    <cellStyle name="Normal 2 54 13" xfId="1121" xr:uid="{E4B24045-9E22-4C79-BAD1-013ADDD42BE5}"/>
    <cellStyle name="Normal 2 54 2" xfId="1122" xr:uid="{6B3D445A-9AF2-45D2-A2C2-2F50FC00D0E5}"/>
    <cellStyle name="Normal 2 54 3" xfId="1123" xr:uid="{3B026126-71FF-4ACC-A603-00E01FE2CA15}"/>
    <cellStyle name="Normal 2 54 4" xfId="1124" xr:uid="{FF89B40C-B7FD-48E0-BBAD-84DCA5295E06}"/>
    <cellStyle name="Normal 2 54 5" xfId="1125" xr:uid="{415CF880-FEFB-4BBD-89C3-7B4D266E34B9}"/>
    <cellStyle name="Normal 2 54 6" xfId="1126" xr:uid="{B0324070-6231-4AB5-9E1B-1E610AB1F9FC}"/>
    <cellStyle name="Normal 2 54 7" xfId="1127" xr:uid="{A210CCC7-C998-40C0-8287-A61CE7D45B19}"/>
    <cellStyle name="Normal 2 54 8" xfId="1128" xr:uid="{E6A385F8-5D3B-4671-A7B1-8FD716AAEEE9}"/>
    <cellStyle name="Normal 2 54 9" xfId="1129" xr:uid="{5505DD70-7FC3-4FED-92BC-8377B47FA797}"/>
    <cellStyle name="Normal 2 54_100114_ReCiPe_endpoint_orginalversion-Sander" xfId="1130" xr:uid="{F90C12EF-462F-46D1-B3DD-42CB94EA810A}"/>
    <cellStyle name="Normal 2 55" xfId="1131" xr:uid="{A0F5C834-D711-4B7F-8F3A-43C46B7B17CF}"/>
    <cellStyle name="Normal 2 55 10" xfId="1132" xr:uid="{AF14CDB2-3AC3-4312-8ACC-CE41C5026502}"/>
    <cellStyle name="Normal 2 55 11" xfId="1133" xr:uid="{408E0E78-2EBA-4F62-A796-CED21A591D12}"/>
    <cellStyle name="Normal 2 55 12" xfId="1134" xr:uid="{B06F8719-4296-4480-99EF-DEE8E12C48C3}"/>
    <cellStyle name="Normal 2 55 13" xfId="1135" xr:uid="{D5892034-6BCA-487F-832B-7884EBB08857}"/>
    <cellStyle name="Normal 2 55 2" xfId="1136" xr:uid="{61768279-CC6D-4B3A-B0F1-652BB5E088E0}"/>
    <cellStyle name="Normal 2 55 3" xfId="1137" xr:uid="{9ABB45BE-99D2-454F-AA23-C24608E644D1}"/>
    <cellStyle name="Normal 2 55 4" xfId="1138" xr:uid="{CCAAA45C-F3FA-4FF2-ADD9-BB9C808D5125}"/>
    <cellStyle name="Normal 2 55 5" xfId="1139" xr:uid="{4C5736DE-D57B-4FC6-97B3-748497B5763F}"/>
    <cellStyle name="Normal 2 55 6" xfId="1140" xr:uid="{C10174CB-125E-42BD-AEB5-3B989EE78C1B}"/>
    <cellStyle name="Normal 2 55 7" xfId="1141" xr:uid="{805C04EF-9BCF-4F95-9F4D-9D382C31403D}"/>
    <cellStyle name="Normal 2 55 8" xfId="1142" xr:uid="{22BDC965-1E36-46F7-8565-1872659CD0CE}"/>
    <cellStyle name="Normal 2 55 9" xfId="1143" xr:uid="{7CAE1254-E387-46A0-A78F-EFFBE5CF0640}"/>
    <cellStyle name="Normal 2 55_100114_ReCiPe_endpoint_orginalversion-Sander" xfId="1144" xr:uid="{071DB7D3-AA3D-4397-85F8-4FC1CF1072D8}"/>
    <cellStyle name="Normal 2 56" xfId="1145" xr:uid="{9AD7DAE7-3565-4787-B19B-FA695D3A003C}"/>
    <cellStyle name="Normal 2 56 10" xfId="1146" xr:uid="{487800F7-EE56-4719-A8BA-8BD8827B7325}"/>
    <cellStyle name="Normal 2 56 11" xfId="1147" xr:uid="{89BBB96A-77D7-4135-9ED9-7B80DE482644}"/>
    <cellStyle name="Normal 2 56 12" xfId="1148" xr:uid="{DD129718-852D-4AA7-8127-FE6F58E37705}"/>
    <cellStyle name="Normal 2 56 13" xfId="1149" xr:uid="{0649F97E-AFBB-4F81-B1B0-676CAEA4254A}"/>
    <cellStyle name="Normal 2 56 2" xfId="1150" xr:uid="{BAAC23C9-7E9A-4460-8887-CE4E5DB4A968}"/>
    <cellStyle name="Normal 2 56 3" xfId="1151" xr:uid="{E388F165-83A4-4393-9EEF-0EC55ED97F4D}"/>
    <cellStyle name="Normal 2 56 4" xfId="1152" xr:uid="{28905B85-0C81-4E7B-82E3-A145D58E70E6}"/>
    <cellStyle name="Normal 2 56 5" xfId="1153" xr:uid="{B6A5C5E9-4114-4BAF-8901-79C5961F9C79}"/>
    <cellStyle name="Normal 2 56 6" xfId="1154" xr:uid="{F9D8D78B-45AD-48ED-BBD0-8DDF7ED1C80C}"/>
    <cellStyle name="Normal 2 56 7" xfId="1155" xr:uid="{97E3F0A9-6ECC-4206-915C-01F78E91302C}"/>
    <cellStyle name="Normal 2 56 8" xfId="1156" xr:uid="{D1325723-CE82-46A1-9623-0FD2831192E3}"/>
    <cellStyle name="Normal 2 56 9" xfId="1157" xr:uid="{1918CD22-0D12-4972-948E-63AE73C6DCB7}"/>
    <cellStyle name="Normal 2 56_100114_ReCiPe_endpoint_orginalversion-Sander" xfId="1158" xr:uid="{30279004-CE73-44DB-AFF9-B4E5C0C39F87}"/>
    <cellStyle name="Normal 2 57" xfId="1159" xr:uid="{55F0F4F8-EEE6-409B-A298-B0AF5CADDC0D}"/>
    <cellStyle name="Normal 2 57 10" xfId="1160" xr:uid="{E9CDD200-6A62-41C5-A9DC-D91287343F1A}"/>
    <cellStyle name="Normal 2 57 11" xfId="1161" xr:uid="{2BCCA531-1920-4ADC-B841-50D283D24885}"/>
    <cellStyle name="Normal 2 57 12" xfId="1162" xr:uid="{DC88817C-2505-4884-92B9-D60F267FABCC}"/>
    <cellStyle name="Normal 2 57 13" xfId="1163" xr:uid="{1B38A489-BAB9-48C4-AC4C-2F2D4076FE10}"/>
    <cellStyle name="Normal 2 57 2" xfId="1164" xr:uid="{A6F872E8-6726-40CF-B02E-804C25E90142}"/>
    <cellStyle name="Normal 2 57 3" xfId="1165" xr:uid="{4510BD77-62BF-4D72-8D36-D6389A72AF1D}"/>
    <cellStyle name="Normal 2 57 4" xfId="1166" xr:uid="{02449065-5B2E-49C8-9748-A3AC395FDFC7}"/>
    <cellStyle name="Normal 2 57 5" xfId="1167" xr:uid="{DCC46373-8F55-480D-ACF1-D664A89CA671}"/>
    <cellStyle name="Normal 2 57 6" xfId="1168" xr:uid="{9DCC96F3-CAF2-4796-AC4A-25C7E2D6153A}"/>
    <cellStyle name="Normal 2 57 7" xfId="1169" xr:uid="{0888E3CF-5449-45BA-80D6-E5850E496D14}"/>
    <cellStyle name="Normal 2 57 8" xfId="1170" xr:uid="{EAE25F0C-DF5E-4ABA-8B6B-C4E50C618978}"/>
    <cellStyle name="Normal 2 57 9" xfId="1171" xr:uid="{DC9AA787-A541-4EEF-92C4-5B567C59212C}"/>
    <cellStyle name="Normal 2 57_100114_ReCiPe_endpoint_orginalversion-Sander" xfId="1172" xr:uid="{6F958DBF-0ED6-4409-8941-EEF53190CF9C}"/>
    <cellStyle name="Normal 2 58" xfId="1173" xr:uid="{98EB7753-D552-4A91-9B77-44243A58A777}"/>
    <cellStyle name="Normal 2 58 10" xfId="1174" xr:uid="{AC50A129-BED6-4EC0-AFFD-9DCBB5A6E033}"/>
    <cellStyle name="Normal 2 58 11" xfId="1175" xr:uid="{0C685CE6-111C-4F81-BF64-00A414D99362}"/>
    <cellStyle name="Normal 2 58 12" xfId="1176" xr:uid="{2F74C7D2-9A3D-4E26-AF8B-B2171AB7BD85}"/>
    <cellStyle name="Normal 2 58 13" xfId="1177" xr:uid="{D284AE9D-43CF-4740-8CE2-8914A8B66310}"/>
    <cellStyle name="Normal 2 58 2" xfId="1178" xr:uid="{DA4CC257-00B0-46C7-9A54-934AF1FEB7F7}"/>
    <cellStyle name="Normal 2 58 3" xfId="1179" xr:uid="{F43EDE58-F142-4349-89C8-9543DA615ECD}"/>
    <cellStyle name="Normal 2 58 4" xfId="1180" xr:uid="{C336570C-C265-4231-AC86-233100AF4F66}"/>
    <cellStyle name="Normal 2 58 5" xfId="1181" xr:uid="{FA915325-A8A7-4AF6-9112-9814BA9024D8}"/>
    <cellStyle name="Normal 2 58 6" xfId="1182" xr:uid="{B6E85304-1347-4F1C-A50F-12509BFB750E}"/>
    <cellStyle name="Normal 2 58 7" xfId="1183" xr:uid="{67D4D87D-DF44-4519-AD92-310EA60D8AC0}"/>
    <cellStyle name="Normal 2 58 8" xfId="1184" xr:uid="{62B22EE7-408E-48AC-BC12-87B305D44C6C}"/>
    <cellStyle name="Normal 2 58 9" xfId="1185" xr:uid="{DDC692A7-4D58-4E28-A48F-2596A5A53073}"/>
    <cellStyle name="Normal 2 58_100114_ReCiPe_endpoint_orginalversion-Sander" xfId="1186" xr:uid="{AEAE187C-2EDE-4759-915C-9DF87515F62D}"/>
    <cellStyle name="Normal 2 59" xfId="1187" xr:uid="{2E9A28F0-FCFD-4D4A-8A09-6F45EF92298B}"/>
    <cellStyle name="Normal 2 59 10" xfId="1188" xr:uid="{F25FA2A1-A0C0-432B-880E-B61B5A40C57B}"/>
    <cellStyle name="Normal 2 59 11" xfId="1189" xr:uid="{040A8A1F-8D18-4838-8FA9-4889C39D0419}"/>
    <cellStyle name="Normal 2 59 12" xfId="1190" xr:uid="{EB15D9C8-22E3-4ECA-85DA-85954D92C38E}"/>
    <cellStyle name="Normal 2 59 13" xfId="1191" xr:uid="{67BB70FA-2B65-4E0C-8570-362494EE6F78}"/>
    <cellStyle name="Normal 2 59 2" xfId="1192" xr:uid="{A5469F5B-52A9-4E98-8E39-585CFDA869E1}"/>
    <cellStyle name="Normal 2 59 3" xfId="1193" xr:uid="{57CA0D1D-CFE1-4AD5-BF36-56E1071D8D3B}"/>
    <cellStyle name="Normal 2 59 4" xfId="1194" xr:uid="{9486C3C1-6A39-4032-81DB-5525B516C2DC}"/>
    <cellStyle name="Normal 2 59 5" xfId="1195" xr:uid="{8B9AC798-C684-4822-8A2D-00B82A5B24D2}"/>
    <cellStyle name="Normal 2 59 6" xfId="1196" xr:uid="{B9EEDA79-B603-4771-8F1F-DED57116C9BC}"/>
    <cellStyle name="Normal 2 59 7" xfId="1197" xr:uid="{FF9E2CAB-C875-411F-91F2-0875C59016EC}"/>
    <cellStyle name="Normal 2 59 8" xfId="1198" xr:uid="{D74DE726-1934-4428-91E1-600B13F68F39}"/>
    <cellStyle name="Normal 2 59 9" xfId="1199" xr:uid="{A342F28C-7BB5-482D-9127-23562CC4EB66}"/>
    <cellStyle name="Normal 2 59_100114_ReCiPe_endpoint_orginalversion-Sander" xfId="1200" xr:uid="{3EE11395-8F90-42B7-807A-2E6091E3DA45}"/>
    <cellStyle name="Normal 2 6" xfId="1201" xr:uid="{2EB6E266-F356-426D-BE0D-0EC429F75192}"/>
    <cellStyle name="Normal 2 60" xfId="1202" xr:uid="{083F8269-E700-4054-8180-A38FFC6AF5AA}"/>
    <cellStyle name="Normal 2 60 10" xfId="1203" xr:uid="{C15F04DB-18A4-4488-8DF6-B3975EAEF59E}"/>
    <cellStyle name="Normal 2 60 11" xfId="1204" xr:uid="{3A1586E2-AF4C-4F2A-890D-16DFACD72E51}"/>
    <cellStyle name="Normal 2 60 12" xfId="1205" xr:uid="{2662A7A2-2B61-43B7-B43A-80E93CBF6BA8}"/>
    <cellStyle name="Normal 2 60 13" xfId="1206" xr:uid="{C62093A2-3B42-44F5-ADD7-463B1FD475C1}"/>
    <cellStyle name="Normal 2 60 2" xfId="1207" xr:uid="{4E4F122F-A1BB-49AB-BFD9-142B0BD72CEF}"/>
    <cellStyle name="Normal 2 60 3" xfId="1208" xr:uid="{C73DE9F0-27EF-4A95-9C5E-BB63027EE603}"/>
    <cellStyle name="Normal 2 60 4" xfId="1209" xr:uid="{73C26FDC-6069-4AD7-BD29-F3338E0507C8}"/>
    <cellStyle name="Normal 2 60 5" xfId="1210" xr:uid="{F23A20B4-DF29-4671-9B33-3596A0AF0C12}"/>
    <cellStyle name="Normal 2 60 6" xfId="1211" xr:uid="{9591F010-B53A-4B60-8B95-0B948B1BE711}"/>
    <cellStyle name="Normal 2 60 7" xfId="1212" xr:uid="{D02AF162-00B0-4278-919D-D5F2FB48261D}"/>
    <cellStyle name="Normal 2 60 8" xfId="1213" xr:uid="{F2036395-11A2-4B32-A404-5E4862D8209F}"/>
    <cellStyle name="Normal 2 60 9" xfId="1214" xr:uid="{96B6687D-340A-469C-AC02-7D8E9C5CB1CC}"/>
    <cellStyle name="Normal 2 60_100114_ReCiPe_endpoint_orginalversion-Sander" xfId="1215" xr:uid="{558F9726-97A6-45D1-A22E-27E11B57DEE7}"/>
    <cellStyle name="Normal 2 61" xfId="1216" xr:uid="{99F7F1BE-0F3A-482F-B195-F501DF699892}"/>
    <cellStyle name="Normal 2 7" xfId="1217" xr:uid="{1F76C65D-8E40-4070-AA06-EF9DAE3D003D}"/>
    <cellStyle name="Normal 2 8" xfId="1218" xr:uid="{7AA97306-8C44-4079-B837-41D77A020630}"/>
    <cellStyle name="Normal 2 9" xfId="1219" xr:uid="{18586707-92C9-43A7-8076-2EBA1D088FBD}"/>
    <cellStyle name="Normal 2 9 10" xfId="1220" xr:uid="{86EBD8BC-878B-4D7A-B4F9-524495BE4809}"/>
    <cellStyle name="Normal 2 9 11" xfId="1221" xr:uid="{CA5DFB9E-DB70-4025-BCCF-42176B11BE23}"/>
    <cellStyle name="Normal 2 9 12" xfId="1222" xr:uid="{E8C95580-6AC3-445F-BFAF-93AC03E72EC2}"/>
    <cellStyle name="Normal 2 9 13" xfId="1223" xr:uid="{87B5C285-2EFD-47BF-8DED-740E6A76CBC7}"/>
    <cellStyle name="Normal 2 9 2" xfId="1224" xr:uid="{6FA5A538-2552-4075-8C49-8A02D726C1C8}"/>
    <cellStyle name="Normal 2 9 3" xfId="1225" xr:uid="{C8B8C50F-1F71-4100-BEB5-9C71F1E07E1B}"/>
    <cellStyle name="Normal 2 9 4" xfId="1226" xr:uid="{89684A0E-0E71-4D99-A767-529F67329F40}"/>
    <cellStyle name="Normal 2 9 5" xfId="1227" xr:uid="{281CD160-4E92-4626-A500-95FD7A2A8B4E}"/>
    <cellStyle name="Normal 2 9 6" xfId="1228" xr:uid="{FE9E6451-B4CB-4186-B2FF-38047D308479}"/>
    <cellStyle name="Normal 2 9 7" xfId="1229" xr:uid="{F85AE346-A6CE-4BA1-A4D4-050875B9123B}"/>
    <cellStyle name="Normal 2 9 8" xfId="1230" xr:uid="{C7EFB1A7-553C-4630-99DA-D5C9731C3FB1}"/>
    <cellStyle name="Normal 2 9 9" xfId="1231" xr:uid="{87CC5F6F-74ED-4F63-8C5C-3B6F223C2FF9}"/>
    <cellStyle name="Normal 2 9_100114_ReCiPe_endpoint_orginalversion-Sander" xfId="1232" xr:uid="{F3DC7725-786D-4481-8651-F0C83A6F2E2C}"/>
    <cellStyle name="Normal 3" xfId="1233" xr:uid="{1FB1C517-CF06-4605-BA8C-0618813B03EF}"/>
    <cellStyle name="Normal 4" xfId="1234" xr:uid="{C053FAFE-2643-438E-9F6E-05ECC9265780}"/>
    <cellStyle name="Normal 4 10" xfId="1235" xr:uid="{8ACF5288-D18F-4827-AD89-8C1BCA04E9BA}"/>
    <cellStyle name="Normal 4 11" xfId="1236" xr:uid="{BC641B00-DD80-4B3D-855B-A91A09B7A5C2}"/>
    <cellStyle name="Normal 4 12" xfId="1237" xr:uid="{F7F48232-0201-478A-B815-E5659C3BE2DA}"/>
    <cellStyle name="Normal 4 13" xfId="1238" xr:uid="{69CD3AFC-B961-4F8C-B9C9-9A37B50E431A}"/>
    <cellStyle name="Normal 4 2" xfId="1239" xr:uid="{AFF823F9-4ED3-495F-BD56-4071460BD5F6}"/>
    <cellStyle name="Normal 4 3" xfId="1240" xr:uid="{48CB8160-7C0E-4080-8C93-70BF88279DDE}"/>
    <cellStyle name="Normal 4 4" xfId="1241" xr:uid="{967DFE08-F1BF-44D4-BA23-8EC1C2DD8106}"/>
    <cellStyle name="Normal 4 5" xfId="1242" xr:uid="{70FE740C-B663-4141-BDA6-C056C3604791}"/>
    <cellStyle name="Normal 4 6" xfId="1243" xr:uid="{7853F5A3-175E-4071-B205-BFC01F948079}"/>
    <cellStyle name="Normal 4 7" xfId="1244" xr:uid="{7857AB1A-59AA-4206-9BBF-4E70E91D339F}"/>
    <cellStyle name="Normal 4 8" xfId="1245" xr:uid="{F993182D-0E27-41E1-A0BE-CC7E3EE5AF48}"/>
    <cellStyle name="Normal 4 9" xfId="1246" xr:uid="{4F923CFE-F54F-49D1-BB27-16366A652819}"/>
    <cellStyle name="Normal 5" xfId="1247" xr:uid="{2E7FC524-F5CB-4C5B-89FD-3AA83E078EFB}"/>
    <cellStyle name="Normal 6" xfId="1842" xr:uid="{A1AF6E16-7D8A-4545-BA87-153C8EFFAF0B}"/>
    <cellStyle name="Normal 7" xfId="1841" xr:uid="{ED0AE887-0FE9-45EC-98AA-8653342CD235}"/>
    <cellStyle name="Normal 79 10" xfId="1248" xr:uid="{83066AD4-2761-452B-87D7-16432CDBF4E5}"/>
    <cellStyle name="Normal 79 11" xfId="1249" xr:uid="{3A9C4B6C-43C8-426C-9C01-5C85F254F2AC}"/>
    <cellStyle name="Normal 79 12" xfId="1250" xr:uid="{7ACAD21F-DC52-4F9D-B211-780065DF666D}"/>
    <cellStyle name="Normal 79 13" xfId="1251" xr:uid="{402EF328-CCD6-42CD-AEB4-C85E90ADEEE3}"/>
    <cellStyle name="Normal 79 2" xfId="1252" xr:uid="{6A397215-F87A-40B0-8A5D-90B5D06F9214}"/>
    <cellStyle name="Normal 79 3" xfId="1253" xr:uid="{34A941FA-534E-46EF-9C39-18296375B97F}"/>
    <cellStyle name="Normal 79 4" xfId="1254" xr:uid="{8FC25542-6CC8-46FF-9BC3-A66660FE3CA9}"/>
    <cellStyle name="Normal 79 5" xfId="1255" xr:uid="{68BEC357-5540-4FA1-A21C-7EC6D050D3BA}"/>
    <cellStyle name="Normal 79 6" xfId="1256" xr:uid="{89782926-BE48-4E91-A994-A1C8925EF94D}"/>
    <cellStyle name="Normal 79 7" xfId="1257" xr:uid="{2B63B1B0-07F6-4E4A-BA62-9967BEF53EB9}"/>
    <cellStyle name="Normal 79 8" xfId="1258" xr:uid="{D3805638-2D59-407C-8117-49F55069DFBF}"/>
    <cellStyle name="Normal 79 9" xfId="1259" xr:uid="{27C1A0DD-1B36-410D-B524-F1D45098C117}"/>
    <cellStyle name="Normal 8" xfId="1840" xr:uid="{E6FCF9F1-7A13-4007-8627-B6EF1D508C4B}"/>
    <cellStyle name="Normal 80 10" xfId="1260" xr:uid="{51A1DA8D-09C4-4917-A91E-8BCD113D184A}"/>
    <cellStyle name="Normal 80 11" xfId="1261" xr:uid="{2E5BED86-7347-431C-A514-A381DD17859E}"/>
    <cellStyle name="Normal 80 12" xfId="1262" xr:uid="{AD5BB9CB-975C-4939-B200-BB2F2D5DCCE1}"/>
    <cellStyle name="Normal 80 13" xfId="1263" xr:uid="{E3A14228-0FD2-4F91-90D4-5C66D9A99111}"/>
    <cellStyle name="Normal 80 2" xfId="1264" xr:uid="{7CA8280D-4042-4F7F-8044-1994D36EF528}"/>
    <cellStyle name="Normal 80 3" xfId="1265" xr:uid="{513248BA-959F-44CD-8274-ACE584FCB312}"/>
    <cellStyle name="Normal 80 4" xfId="1266" xr:uid="{0A2D7580-B0A3-47D1-B3E0-71E1CF805D17}"/>
    <cellStyle name="Normal 80 5" xfId="1267" xr:uid="{BE9D4A7C-14E0-4FD1-A27B-C7CB7CE46407}"/>
    <cellStyle name="Normal 80 6" xfId="1268" xr:uid="{3A73F65D-5323-4D41-AD9E-C4C25AD19489}"/>
    <cellStyle name="Normal 80 7" xfId="1269" xr:uid="{CDEB700C-2386-4B35-85D9-3AFA64677AE0}"/>
    <cellStyle name="Normal 80 8" xfId="1270" xr:uid="{2082126D-2ACD-4065-8C96-69F13D2A3746}"/>
    <cellStyle name="Normal 80 9" xfId="1271" xr:uid="{0D892BE6-C8E3-4421-8037-4647B7AA4FC5}"/>
    <cellStyle name="Normal 81" xfId="1272" xr:uid="{5DE3C200-3622-40BA-8314-CD5F459A0090}"/>
    <cellStyle name="Normal 82" xfId="1273" xr:uid="{85225A00-92CD-42A4-9531-8DB501CB6096}"/>
    <cellStyle name="Normal 83" xfId="1274" xr:uid="{6FD9AA95-AD7C-406D-916D-3ACAC919CE5D}"/>
    <cellStyle name="Normal 84" xfId="1275" xr:uid="{047FC23B-CDD0-4A9E-8AA5-020F2BBEF4DD}"/>
    <cellStyle name="Normal 85" xfId="1276" xr:uid="{04292156-524B-440F-95AA-07909981113B}"/>
    <cellStyle name="Normal 86" xfId="1277" xr:uid="{BE79AE77-C0BD-420E-98B0-AEAFE510BB46}"/>
    <cellStyle name="Normal 87" xfId="1278" xr:uid="{E66D41F4-2DF0-43BC-AFBA-E37BDF7A8424}"/>
    <cellStyle name="Normal 88" xfId="1279" xr:uid="{F11E3FD1-4B66-4829-BE74-64C079F26A04}"/>
    <cellStyle name="Normal 89" xfId="1280" xr:uid="{926BBD90-8DF1-4A61-A6E7-52784CD269E1}"/>
    <cellStyle name="Normal 9" xfId="1839" xr:uid="{667224DD-32B1-47FF-BEE5-9F1E659C0C1F}"/>
    <cellStyle name="Normal 90" xfId="1281" xr:uid="{7465AE7A-AC42-41A2-84F1-79494E98D4D1}"/>
    <cellStyle name="Normal 91" xfId="1282" xr:uid="{4CB6A512-E049-421A-A304-5A7A6F96E346}"/>
    <cellStyle name="Normal 92" xfId="1283" xr:uid="{1524EC32-BE2E-4E87-BC3E-55754714026C}"/>
    <cellStyle name="Normal GHG Numbers (0.00)" xfId="1284" xr:uid="{BF1BD9FB-E6CB-4F20-AC33-A4183236F006}"/>
    <cellStyle name="Normal GHG Textfiels Bold" xfId="1285" xr:uid="{C4243609-CEE6-4754-BD7E-8EE67105EE6A}"/>
    <cellStyle name="Normal GHG whole table" xfId="1286" xr:uid="{45B0DE4D-4A75-402A-8127-27AD4F6FB45E}"/>
    <cellStyle name="Note 2" xfId="1287" xr:uid="{D022E34A-3F8F-4574-854D-59715A371AE0}"/>
    <cellStyle name="Note 2 10" xfId="1288" xr:uid="{54792215-852A-41A5-96C2-02622BA90BD4}"/>
    <cellStyle name="Note 2 11" xfId="1289" xr:uid="{93D464D2-D45E-40EA-83E4-54E9E365F3B5}"/>
    <cellStyle name="Note 2 12" xfId="1290" xr:uid="{5E93B442-19C2-4712-98E5-6B133BEC1BB5}"/>
    <cellStyle name="Note 2 13" xfId="1291" xr:uid="{BC395085-0ADD-4D04-9077-48389CA003C4}"/>
    <cellStyle name="Note 2 14" xfId="1292" xr:uid="{B9D9B939-7BA3-4B40-85DB-462FD214CA6B}"/>
    <cellStyle name="Note 2 15" xfId="1293" xr:uid="{84C98AEA-CE62-4138-B980-AFC5C9BE3A0D}"/>
    <cellStyle name="Note 2 16" xfId="1294" xr:uid="{7B0A1FF4-4206-417D-92B0-FBE8327E41D5}"/>
    <cellStyle name="Note 2 17" xfId="1295" xr:uid="{226868DC-2008-48B2-9FE8-541BE8BF350B}"/>
    <cellStyle name="Note 2 18" xfId="1296" xr:uid="{3BEA5D4F-E646-4CCC-A3D9-5C6271DD5801}"/>
    <cellStyle name="Note 2 19" xfId="1297" xr:uid="{6599223B-DAAE-4756-B77E-1E301C4B2FEC}"/>
    <cellStyle name="Note 2 2" xfId="1298" xr:uid="{E500FD8E-7E56-4DE9-A97D-4558AD8E6DEF}"/>
    <cellStyle name="Note 2 20" xfId="1299" xr:uid="{D6D9F64C-2A14-4B50-AC3F-462987274D53}"/>
    <cellStyle name="Note 2 21" xfId="1300" xr:uid="{B49AE594-BE40-40F7-82F7-1B109C68F2E0}"/>
    <cellStyle name="Note 2 22" xfId="1301" xr:uid="{39DC829B-5877-4DF6-A0FE-7FF6691BAEFD}"/>
    <cellStyle name="Note 2 23" xfId="1302" xr:uid="{42AF26E4-9883-4D38-A96B-C3B86FC0CBCD}"/>
    <cellStyle name="Note 2 24" xfId="1303" xr:uid="{FF3CA23C-E62B-4DEA-9512-2C2035BF0476}"/>
    <cellStyle name="Note 2 25" xfId="1304" xr:uid="{30A2288F-819D-425E-B303-67FC8DB8F2AA}"/>
    <cellStyle name="Note 2 26" xfId="1305" xr:uid="{46A6372B-9841-41AD-A8D2-8B66A564977F}"/>
    <cellStyle name="Note 2 27" xfId="1306" xr:uid="{24F0F78D-6B57-4364-9655-A167833178C9}"/>
    <cellStyle name="Note 2 28" xfId="1307" xr:uid="{9C535773-B499-4190-864C-E33161BAD5A6}"/>
    <cellStyle name="Note 2 29" xfId="1308" xr:uid="{C05B4680-DFF5-4435-806A-88B1D51F7C28}"/>
    <cellStyle name="Note 2 3" xfId="1309" xr:uid="{8CAF2C6C-331C-45B3-B88B-451F02BD8369}"/>
    <cellStyle name="Note 2 30" xfId="1310" xr:uid="{21E8BC62-C8E5-4C0C-8248-053E2A222353}"/>
    <cellStyle name="Note 2 31" xfId="1311" xr:uid="{E7A5DA6A-BCB9-468F-AD4B-F6BB91E9D74A}"/>
    <cellStyle name="Note 2 32" xfId="1312" xr:uid="{C003931E-A9F7-4FDE-B066-7DFE9B470040}"/>
    <cellStyle name="Note 2 33" xfId="1313" xr:uid="{21E28ABC-F32E-4F67-8DC6-182B6E943F9C}"/>
    <cellStyle name="Note 2 34" xfId="1314" xr:uid="{9759168D-1EEF-42B0-959D-ECC36F59D232}"/>
    <cellStyle name="Note 2 35" xfId="1315" xr:uid="{345D8151-5CB1-4415-B920-7E2680546FD4}"/>
    <cellStyle name="Note 2 36" xfId="1316" xr:uid="{29714384-EA85-4E30-A175-1C9C02AAADFE}"/>
    <cellStyle name="Note 2 37" xfId="1317" xr:uid="{2A3374C4-3BD1-41B0-ABF8-10D925267580}"/>
    <cellStyle name="Note 2 38" xfId="1318" xr:uid="{51729F25-3A6A-4FE4-A344-BA27D59478E4}"/>
    <cellStyle name="Note 2 39" xfId="1319" xr:uid="{3F8B3599-8487-471E-A186-99395A1F3BE8}"/>
    <cellStyle name="Note 2 4" xfId="1320" xr:uid="{B6806464-E67D-484C-9D84-646F3726C63A}"/>
    <cellStyle name="Note 2 40" xfId="1321" xr:uid="{CEA32E31-DC3D-451C-B589-2789EEC9C53E}"/>
    <cellStyle name="Note 2 41" xfId="1322" xr:uid="{7C34DEE3-8EA5-4690-A418-A612C3072EA2}"/>
    <cellStyle name="Note 2 42" xfId="1323" xr:uid="{0977623B-F6D0-4163-AC6A-45B2F9336F3A}"/>
    <cellStyle name="Note 2 43" xfId="1324" xr:uid="{6448815D-C9AF-405D-92D6-70A8B58375A1}"/>
    <cellStyle name="Note 2 44" xfId="1325" xr:uid="{41E5B325-4AC4-4A1B-99D3-B1C46B36CA04}"/>
    <cellStyle name="Note 2 45" xfId="1326" xr:uid="{47888F7F-5649-437E-8605-7B61FC98B854}"/>
    <cellStyle name="Note 2 46" xfId="1327" xr:uid="{74A83CB7-CBE6-4BC5-A8D8-494768E1F517}"/>
    <cellStyle name="Note 2 47" xfId="1328" xr:uid="{594CD476-B809-48A9-BD44-9BF614959CEB}"/>
    <cellStyle name="Note 2 48" xfId="1329" xr:uid="{CEBD7F96-12AE-48DD-93DA-2AEE19FC7087}"/>
    <cellStyle name="Note 2 49" xfId="1330" xr:uid="{C002062B-1B2F-48DD-8A41-20E974EA3132}"/>
    <cellStyle name="Note 2 5" xfId="1331" xr:uid="{7F098477-0401-4A56-83AF-920550CBE99E}"/>
    <cellStyle name="Note 2 50" xfId="1332" xr:uid="{13A6248D-B748-4EAC-B73B-13880BD76BF7}"/>
    <cellStyle name="Note 2 51" xfId="1333" xr:uid="{DBFE45A4-9D8F-4494-970B-9D372A154E1D}"/>
    <cellStyle name="Note 2 52" xfId="1334" xr:uid="{E87FDDD1-11A8-4BEC-B5C0-7B472B4218FE}"/>
    <cellStyle name="Note 2 53" xfId="1335" xr:uid="{30419B14-C8F6-4C05-AC9B-D10468446BB3}"/>
    <cellStyle name="Note 2 54" xfId="1336" xr:uid="{18302C1E-1B45-4278-AFE7-54EE50E02294}"/>
    <cellStyle name="Note 2 55" xfId="1337" xr:uid="{771D5AE3-3390-4C13-9A43-09A8C88B5720}"/>
    <cellStyle name="Note 2 56" xfId="1338" xr:uid="{639B30DD-42AF-4B5F-8A72-701A0FDFB044}"/>
    <cellStyle name="Note 2 57" xfId="1339" xr:uid="{014BE58D-ABF2-4E31-BF53-9AC903643BA3}"/>
    <cellStyle name="Note 2 58" xfId="1340" xr:uid="{2E852253-50E6-4D1A-91EF-F0CCCB047C87}"/>
    <cellStyle name="Note 2 59" xfId="1341" xr:uid="{13488D60-5CC9-48C8-89D3-D5F4C2A742B2}"/>
    <cellStyle name="Note 2 6" xfId="1342" xr:uid="{6D47CD83-5B1D-4D57-97EA-5B79166EEC29}"/>
    <cellStyle name="Note 2 60" xfId="1343" xr:uid="{C2031E97-6C45-4A68-8CF8-EA2807F1C545}"/>
    <cellStyle name="Note 2 61" xfId="1344" xr:uid="{89B746C9-BBA4-48F2-A81C-D0345572DA5B}"/>
    <cellStyle name="Note 2 62" xfId="1345" xr:uid="{B931D2F8-BF96-4136-B8A6-7ECF773A6EEC}"/>
    <cellStyle name="Note 2 63" xfId="1346" xr:uid="{DAA9FE2D-533C-4C63-8194-985CCEA057A7}"/>
    <cellStyle name="Note 2 64" xfId="1347" xr:uid="{CA43E557-A241-43A3-8EBF-F1E3D2D49DCF}"/>
    <cellStyle name="Note 2 65" xfId="1348" xr:uid="{6389D240-21E7-4826-9C71-87C618F5E773}"/>
    <cellStyle name="Note 2 7" xfId="1349" xr:uid="{D0599AC2-6CC9-4F68-ABA5-0AE4F67D4034}"/>
    <cellStyle name="Note 2 8" xfId="1350" xr:uid="{98DB7CB5-DB8F-415E-9AAC-49B701F067E9}"/>
    <cellStyle name="Note 2 9" xfId="1351" xr:uid="{F22C2C3B-55D9-4E32-A766-D6467617054A}"/>
    <cellStyle name="Note 3" xfId="1352" xr:uid="{ADB57973-58ED-4543-841B-ACC6BBBF932B}"/>
    <cellStyle name="Note 3 10" xfId="1353" xr:uid="{3DEDA92D-7471-42B5-AEB0-D55C4D2F6F8A}"/>
    <cellStyle name="Note 3 11" xfId="1354" xr:uid="{2C9DB5E0-7BE5-47F5-B04D-35A4CCE98767}"/>
    <cellStyle name="Note 3 12" xfId="1355" xr:uid="{18FEC505-5E60-439B-B580-0850DC6F530B}"/>
    <cellStyle name="Note 3 13" xfId="1356" xr:uid="{8C87CD24-C33D-4F67-8460-D719A2E8B447}"/>
    <cellStyle name="Note 3 14" xfId="1357" xr:uid="{458603C9-A435-42BC-90E8-451D4A47AD98}"/>
    <cellStyle name="Note 3 15" xfId="1358" xr:uid="{0D9556C9-F4C9-4BB5-82B8-F29812176597}"/>
    <cellStyle name="Note 3 16" xfId="1359" xr:uid="{BCA76374-7223-4C89-A48F-D307EA47AE58}"/>
    <cellStyle name="Note 3 17" xfId="1360" xr:uid="{AA9C51DC-B39D-49C9-8AE9-CAB4DB52B55E}"/>
    <cellStyle name="Note 3 18" xfId="1361" xr:uid="{CFF2D457-BA37-4085-AF7B-C67DD1536357}"/>
    <cellStyle name="Note 3 19" xfId="1362" xr:uid="{FEBFA105-C1B5-4AC1-9240-7A1D2D88E01D}"/>
    <cellStyle name="Note 3 2" xfId="1363" xr:uid="{1CCC1F86-2977-4713-9B52-971D5C1DC106}"/>
    <cellStyle name="Note 3 20" xfId="1364" xr:uid="{048B3B1F-FB7D-4C20-B04F-FAE148A076B2}"/>
    <cellStyle name="Note 3 21" xfId="1365" xr:uid="{6A02242C-4E2E-4BD7-A810-CA6CEC566D86}"/>
    <cellStyle name="Note 3 22" xfId="1366" xr:uid="{1DC13B27-1188-4938-8193-AAB4A9DFFAF4}"/>
    <cellStyle name="Note 3 23" xfId="1367" xr:uid="{D3D41A8F-B912-435F-9EEE-5E48B8A4433C}"/>
    <cellStyle name="Note 3 24" xfId="1368" xr:uid="{7B82A436-06B1-4E12-AB1D-76F7EA4E2A1C}"/>
    <cellStyle name="Note 3 25" xfId="1369" xr:uid="{E5639D6D-B795-43E3-B0A6-6D6C39449A7F}"/>
    <cellStyle name="Note 3 26" xfId="1370" xr:uid="{1516E088-E025-4262-BE2C-96C7FB0980D5}"/>
    <cellStyle name="Note 3 27" xfId="1371" xr:uid="{BD029426-4C84-42D9-AC43-8B5F090E712E}"/>
    <cellStyle name="Note 3 28" xfId="1372" xr:uid="{8C84EAF5-5271-4542-B980-151A65D736D2}"/>
    <cellStyle name="Note 3 29" xfId="1373" xr:uid="{88EC416A-35D5-4CDA-A1CB-71372811E5D4}"/>
    <cellStyle name="Note 3 3" xfId="1374" xr:uid="{DA61FA67-467E-4B5D-8A01-5F5F723C2FF2}"/>
    <cellStyle name="Note 3 30" xfId="1375" xr:uid="{55ADAA24-28B4-4B88-90CE-E8A0155FBA73}"/>
    <cellStyle name="Note 3 31" xfId="1376" xr:uid="{4EA6F4CE-2B13-4A62-BE1A-70CC44D65F4D}"/>
    <cellStyle name="Note 3 32" xfId="1377" xr:uid="{BE4EDAD3-0297-4212-8B62-D7BE9AD28168}"/>
    <cellStyle name="Note 3 33" xfId="1378" xr:uid="{BEE876FF-04C4-4E34-82B4-EF11ED6D4DF5}"/>
    <cellStyle name="Note 3 34" xfId="1379" xr:uid="{A3005D59-ACE2-4F91-A5BE-0603BFD986DF}"/>
    <cellStyle name="Note 3 35" xfId="1380" xr:uid="{C29F403B-9D13-498B-A413-E3272D3ECC67}"/>
    <cellStyle name="Note 3 36" xfId="1381" xr:uid="{9BB0CE83-4AB4-48FF-91F3-FA3B25AA4BA7}"/>
    <cellStyle name="Note 3 37" xfId="1382" xr:uid="{E811C635-9CB1-4FCF-9BB5-8A3D162DBD27}"/>
    <cellStyle name="Note 3 38" xfId="1383" xr:uid="{52784401-EF73-4FF8-A5C3-2C53495CD5E4}"/>
    <cellStyle name="Note 3 39" xfId="1384" xr:uid="{1799D73B-8F75-4A1D-BAC7-815EBFD9D4A5}"/>
    <cellStyle name="Note 3 4" xfId="1385" xr:uid="{8C00D6EF-C034-423B-BB84-75E7B12FB641}"/>
    <cellStyle name="Note 3 40" xfId="1386" xr:uid="{34289D0E-1280-4445-B4FB-AAEAC42CBDF4}"/>
    <cellStyle name="Note 3 41" xfId="1387" xr:uid="{F85910E8-3511-4989-88E1-B7447F231C22}"/>
    <cellStyle name="Note 3 42" xfId="1388" xr:uid="{2D8DBEF4-47CD-4579-A5E5-122AD6D8F3F8}"/>
    <cellStyle name="Note 3 43" xfId="1389" xr:uid="{F9794030-D947-4DEB-9F99-CE11E3D4DA7E}"/>
    <cellStyle name="Note 3 44" xfId="1390" xr:uid="{A503C91C-157A-437B-901B-C0077D026A0C}"/>
    <cellStyle name="Note 3 45" xfId="1391" xr:uid="{EE704047-DA06-40EB-8BED-24DA30402C71}"/>
    <cellStyle name="Note 3 46" xfId="1392" xr:uid="{77F99C9A-817B-4297-8751-F306D9CB5B6E}"/>
    <cellStyle name="Note 3 47" xfId="1393" xr:uid="{54F56D91-C255-4BAC-B681-71D08B4AFED0}"/>
    <cellStyle name="Note 3 48" xfId="1394" xr:uid="{471FC9B0-FDAB-41B6-BC02-FE0E748DC88C}"/>
    <cellStyle name="Note 3 49" xfId="1395" xr:uid="{5F317FB7-0039-46A8-BC31-3F453CED2C8C}"/>
    <cellStyle name="Note 3 5" xfId="1396" xr:uid="{72845D5F-8912-4C29-960C-9209281E4E63}"/>
    <cellStyle name="Note 3 50" xfId="1397" xr:uid="{7B283577-7BF4-40FE-99A6-5EB484DC618A}"/>
    <cellStyle name="Note 3 51" xfId="1398" xr:uid="{4D191E9B-92CD-4A94-B10C-EC85101C55AD}"/>
    <cellStyle name="Note 3 52" xfId="1399" xr:uid="{FAA41352-E0BD-4DB5-B4AC-12F1FBF7F061}"/>
    <cellStyle name="Note 3 53" xfId="1400" xr:uid="{F121DCB3-4DCA-420A-842D-E2E6348171B0}"/>
    <cellStyle name="Note 3 54" xfId="1401" xr:uid="{A3434DF6-DF75-4F1D-A446-BB1343CA9F4E}"/>
    <cellStyle name="Note 3 55" xfId="1402" xr:uid="{3E66C797-5B22-49E2-A21F-C92ADF28C346}"/>
    <cellStyle name="Note 3 56" xfId="1403" xr:uid="{1B051B70-EFC2-4E6E-9818-5FF8BD120700}"/>
    <cellStyle name="Note 3 57" xfId="1404" xr:uid="{EFA6962C-3CF1-4A38-BD17-30F122A25F82}"/>
    <cellStyle name="Note 3 58" xfId="1405" xr:uid="{93E83B15-E56C-4E9A-8C53-E7915F761898}"/>
    <cellStyle name="Note 3 59" xfId="1406" xr:uid="{E478F689-5BBA-43B6-B8F8-D1D834E4035B}"/>
    <cellStyle name="Note 3 6" xfId="1407" xr:uid="{1E39B554-F955-4E6F-BF37-87668D6CC870}"/>
    <cellStyle name="Note 3 60" xfId="1408" xr:uid="{30A6AC43-A565-4A0C-920B-B7C9DA686A5C}"/>
    <cellStyle name="Note 3 61" xfId="1409" xr:uid="{CAABF623-369A-4004-8A00-5DCF55C2B7A6}"/>
    <cellStyle name="Note 3 62" xfId="1410" xr:uid="{D92F0DF9-70B4-4947-9E7A-DE41A66EFBBF}"/>
    <cellStyle name="Note 3 63" xfId="1411" xr:uid="{61ACF487-D42E-47D4-B882-F3FED4A70BA7}"/>
    <cellStyle name="Note 3 64" xfId="1412" xr:uid="{757E4201-CD70-4E16-80A2-26D7C0E90046}"/>
    <cellStyle name="Note 3 65" xfId="1413" xr:uid="{3077D4D0-A575-4F78-9D7A-EC679A851EE0}"/>
    <cellStyle name="Note 3 7" xfId="1414" xr:uid="{17A2E4F4-C057-4491-951F-D59C8B6A0063}"/>
    <cellStyle name="Note 3 8" xfId="1415" xr:uid="{1C5E899F-F963-4686-8550-87321EA8B511}"/>
    <cellStyle name="Note 3 9" xfId="1416" xr:uid="{844C55D1-06D9-4569-856C-9C8E4F389973}"/>
    <cellStyle name="Note 4" xfId="1417" xr:uid="{C39777BC-5BA9-48FA-AA60-EE6AD69A57DF}"/>
    <cellStyle name="Note 4 10" xfId="1418" xr:uid="{24F1BFD4-E06C-4A87-BD67-D930DC85C5B5}"/>
    <cellStyle name="Note 4 11" xfId="1419" xr:uid="{D8D6EC5B-7349-4548-BEA2-02484AC86DED}"/>
    <cellStyle name="Note 4 12" xfId="1420" xr:uid="{25BE7D17-9122-4E72-9775-E19967C4366F}"/>
    <cellStyle name="Note 4 13" xfId="1421" xr:uid="{4DE69FB5-8224-49A8-BFBA-B1EB3447B811}"/>
    <cellStyle name="Note 4 14" xfId="1422" xr:uid="{F48FC03D-2ED1-4C67-85EC-40A27FE9D7BF}"/>
    <cellStyle name="Note 4 15" xfId="1423" xr:uid="{9F49E0E7-CC33-4C95-BB2D-754D6A41F812}"/>
    <cellStyle name="Note 4 16" xfId="1424" xr:uid="{0011A841-06E9-44FB-80DC-7A6BBD83A41F}"/>
    <cellStyle name="Note 4 17" xfId="1425" xr:uid="{1B24588F-72FC-47F1-A94E-71E20C350DBF}"/>
    <cellStyle name="Note 4 18" xfId="1426" xr:uid="{AFFD192D-8064-4AE9-9C63-F9693FE72257}"/>
    <cellStyle name="Note 4 19" xfId="1427" xr:uid="{0159BCE8-A206-42F1-AE7D-87BA29492B55}"/>
    <cellStyle name="Note 4 2" xfId="1428" xr:uid="{E5F0FBCA-CD66-4635-AB10-1C34BC360CE1}"/>
    <cellStyle name="Note 4 20" xfId="1429" xr:uid="{3860A27E-E269-4995-B4DC-8E37B8B498E7}"/>
    <cellStyle name="Note 4 21" xfId="1430" xr:uid="{B34359BA-FCA5-4BE0-8074-8DB7F1C25502}"/>
    <cellStyle name="Note 4 22" xfId="1431" xr:uid="{9F723B78-90CE-4A93-B626-F8145D85B54E}"/>
    <cellStyle name="Note 4 23" xfId="1432" xr:uid="{AE335919-9185-46D1-B898-ACD1D0616696}"/>
    <cellStyle name="Note 4 24" xfId="1433" xr:uid="{48CBE46F-F32B-4BD7-B31B-DE896BB2DB5B}"/>
    <cellStyle name="Note 4 25" xfId="1434" xr:uid="{BAF4CF77-B831-45BE-B278-C2FCCAD88566}"/>
    <cellStyle name="Note 4 26" xfId="1435" xr:uid="{D5622B7A-4D33-4BE1-AF8D-F1E4C789DA20}"/>
    <cellStyle name="Note 4 27" xfId="1436" xr:uid="{2400E81E-CB9F-4554-95F1-A096EF5C3E08}"/>
    <cellStyle name="Note 4 28" xfId="1437" xr:uid="{E73469D9-3ABF-484B-9F97-D42F7E4666F6}"/>
    <cellStyle name="Note 4 29" xfId="1438" xr:uid="{36885C6D-AF3B-4707-A154-9F7CF197ADCF}"/>
    <cellStyle name="Note 4 3" xfId="1439" xr:uid="{D18ED500-1B75-4598-ACAF-B63BD340A15D}"/>
    <cellStyle name="Note 4 30" xfId="1440" xr:uid="{F5598C6E-3501-4128-A5AF-B90BC15F845E}"/>
    <cellStyle name="Note 4 31" xfId="1441" xr:uid="{977302F0-0701-46EA-AFCC-BA5DC844E12B}"/>
    <cellStyle name="Note 4 32" xfId="1442" xr:uid="{5491636A-68FE-4CE7-875A-89C5895698F2}"/>
    <cellStyle name="Note 4 33" xfId="1443" xr:uid="{C1FAA03F-8023-4DAC-B79A-45A5895FE6BE}"/>
    <cellStyle name="Note 4 34" xfId="1444" xr:uid="{C64AC76F-A062-4D5A-AE52-DADC8252A817}"/>
    <cellStyle name="Note 4 35" xfId="1445" xr:uid="{BBDDDD64-157D-43AD-AB51-20BEBE367E24}"/>
    <cellStyle name="Note 4 36" xfId="1446" xr:uid="{16C06DAE-C7AA-4FAB-89A5-77080E87019A}"/>
    <cellStyle name="Note 4 37" xfId="1447" xr:uid="{AC980AF3-1D72-4EE1-B052-0EE67ACEC3D1}"/>
    <cellStyle name="Note 4 38" xfId="1448" xr:uid="{9CCE3C90-B84F-4F1F-829D-A10873C93930}"/>
    <cellStyle name="Note 4 39" xfId="1449" xr:uid="{9BF9AC7E-B9EB-4D57-8BDD-0C122AFDBBD8}"/>
    <cellStyle name="Note 4 4" xfId="1450" xr:uid="{B8CB87FC-E072-4784-BF59-FDD207A4A443}"/>
    <cellStyle name="Note 4 40" xfId="1451" xr:uid="{9AFCFBC1-F907-4B4E-841E-22A8632D6AD2}"/>
    <cellStyle name="Note 4 41" xfId="1452" xr:uid="{49AB8E30-C8AE-47A9-A397-F0F4EAD328B3}"/>
    <cellStyle name="Note 4 42" xfId="1453" xr:uid="{A03D5ACD-A4AE-4DB2-8BBE-2D946A0D509A}"/>
    <cellStyle name="Note 4 43" xfId="1454" xr:uid="{BC88E08D-4BC5-4833-8EEC-EF55BED18681}"/>
    <cellStyle name="Note 4 44" xfId="1455" xr:uid="{0235C256-0BAF-408F-BEC4-A189F9E238BF}"/>
    <cellStyle name="Note 4 45" xfId="1456" xr:uid="{6FB714F1-438F-4046-BD37-A22D4C98DF7D}"/>
    <cellStyle name="Note 4 46" xfId="1457" xr:uid="{104D33F3-0C6F-49AF-8FB0-26BEC44C1596}"/>
    <cellStyle name="Note 4 47" xfId="1458" xr:uid="{1535B287-F9B8-45D2-971C-F2A2D2B5D042}"/>
    <cellStyle name="Note 4 48" xfId="1459" xr:uid="{D592C284-3072-4E8D-907C-9798D6F6C3AA}"/>
    <cellStyle name="Note 4 49" xfId="1460" xr:uid="{BA1E13FC-1C6F-4DFE-95B5-7CA74A8B3A1A}"/>
    <cellStyle name="Note 4 5" xfId="1461" xr:uid="{8F8D8CF7-680F-43E0-9575-146F52801F13}"/>
    <cellStyle name="Note 4 50" xfId="1462" xr:uid="{012C3CE4-8086-4E04-B3E3-470843986761}"/>
    <cellStyle name="Note 4 51" xfId="1463" xr:uid="{907C3BF6-6DB2-4FB1-BC35-0E5953B6B303}"/>
    <cellStyle name="Note 4 52" xfId="1464" xr:uid="{CE2E3C07-ADAC-4DFB-BCA1-4D4C81F68704}"/>
    <cellStyle name="Note 4 53" xfId="1465" xr:uid="{40B3C18B-9181-479C-904F-2925DAE1447B}"/>
    <cellStyle name="Note 4 54" xfId="1466" xr:uid="{4FD84864-24B8-4844-BABC-30E8F7B8FA53}"/>
    <cellStyle name="Note 4 55" xfId="1467" xr:uid="{A404CC45-E7E3-4895-A5B2-4A09A9E3D90A}"/>
    <cellStyle name="Note 4 56" xfId="1468" xr:uid="{E19813D7-07BF-48F9-83FF-9226548C78A0}"/>
    <cellStyle name="Note 4 57" xfId="1469" xr:uid="{4B326617-97AD-4600-9F4C-A0FCF55F1606}"/>
    <cellStyle name="Note 4 58" xfId="1470" xr:uid="{3821EBB9-8700-48F1-8463-FC6FF1573712}"/>
    <cellStyle name="Note 4 59" xfId="1471" xr:uid="{038643EF-A522-4C75-83FC-C0504DB9E9FE}"/>
    <cellStyle name="Note 4 6" xfId="1472" xr:uid="{BEC3BA40-FB03-4A3E-9DD0-3F848E0EA2D1}"/>
    <cellStyle name="Note 4 60" xfId="1473" xr:uid="{584E8469-1BD8-4D3B-8643-DF7BA19C3D2E}"/>
    <cellStyle name="Note 4 61" xfId="1474" xr:uid="{20396465-CA77-40DA-8815-90CDFC4EEDCF}"/>
    <cellStyle name="Note 4 62" xfId="1475" xr:uid="{CDEDAD3E-65B0-4E68-9518-233DE6D20F77}"/>
    <cellStyle name="Note 4 63" xfId="1476" xr:uid="{2BE26176-47BC-4DC5-9DC7-A227DB0DE29E}"/>
    <cellStyle name="Note 4 64" xfId="1477" xr:uid="{92CC9C35-6310-4822-A7D4-2D7711573AE3}"/>
    <cellStyle name="Note 4 65" xfId="1478" xr:uid="{49DD67E5-2EAF-40A1-A843-6F8963C85D3D}"/>
    <cellStyle name="Note 4 7" xfId="1479" xr:uid="{86FD4A28-665E-49CC-8FD3-D70E770B3D36}"/>
    <cellStyle name="Note 4 8" xfId="1480" xr:uid="{46A403B2-B3E9-43EB-93C6-7FE8C6F2291F}"/>
    <cellStyle name="Note 4 9" xfId="1481" xr:uid="{557BE5DC-B857-443E-8F9F-E1EE31DA8D6D}"/>
    <cellStyle name="Note 5" xfId="1482" xr:uid="{BF629D4F-29F8-437E-B92C-E65FEF2EC617}"/>
    <cellStyle name="Note 5 10" xfId="1483" xr:uid="{7DDC926A-115D-49D9-ABDE-C203BF54D880}"/>
    <cellStyle name="Note 5 11" xfId="1484" xr:uid="{A6FE01D8-BDBF-4074-90D8-C5598749DD59}"/>
    <cellStyle name="Note 5 12" xfId="1485" xr:uid="{DBD912AB-1B7D-4798-AB8D-0A61C4804B1B}"/>
    <cellStyle name="Note 5 13" xfId="1486" xr:uid="{4E45D010-9FF6-4290-8329-3000A80D1FF0}"/>
    <cellStyle name="Note 5 14" xfId="1487" xr:uid="{720D72A2-DE32-4B31-8A84-01AB2963F9A4}"/>
    <cellStyle name="Note 5 15" xfId="1488" xr:uid="{C8A2B0E4-FAC5-4122-B533-FE351115F1E3}"/>
    <cellStyle name="Note 5 16" xfId="1489" xr:uid="{E629DF62-820D-4DB7-865D-3B7BA472587D}"/>
    <cellStyle name="Note 5 17" xfId="1490" xr:uid="{DA8E377B-453E-4E9E-8FA1-DCE765E8758C}"/>
    <cellStyle name="Note 5 18" xfId="1491" xr:uid="{92B2054C-FAAA-4204-BD3B-93A463A1B86D}"/>
    <cellStyle name="Note 5 19" xfId="1492" xr:uid="{E9918E04-8FDC-40A3-8D5D-0A4E10073781}"/>
    <cellStyle name="Note 5 2" xfId="1493" xr:uid="{23977303-A9E6-4373-BB51-5586147CF9E1}"/>
    <cellStyle name="Note 5 20" xfId="1494" xr:uid="{3A859C35-1780-4B4A-9299-ECB1B9E1B220}"/>
    <cellStyle name="Note 5 21" xfId="1495" xr:uid="{A9AD9BF4-167F-4DBD-B33C-43199D9430FC}"/>
    <cellStyle name="Note 5 22" xfId="1496" xr:uid="{941A34CF-FB63-44EA-812D-4CB3EA5FE9A6}"/>
    <cellStyle name="Note 5 23" xfId="1497" xr:uid="{326DD29F-3E40-451F-BA8D-43D194E8065D}"/>
    <cellStyle name="Note 5 24" xfId="1498" xr:uid="{53DE6236-2477-4D4E-8606-97AAF7864AEA}"/>
    <cellStyle name="Note 5 25" xfId="1499" xr:uid="{2EF08F47-6812-4F0A-A764-FADAFD68518B}"/>
    <cellStyle name="Note 5 26" xfId="1500" xr:uid="{C5DB77DD-1047-45B6-83BF-F00E165F38FD}"/>
    <cellStyle name="Note 5 27" xfId="1501" xr:uid="{947746A4-752E-48B1-9957-33045CF75DBC}"/>
    <cellStyle name="Note 5 28" xfId="1502" xr:uid="{7298E8E3-1C4B-47DF-BB5E-3E80D1B6B258}"/>
    <cellStyle name="Note 5 29" xfId="1503" xr:uid="{2C02BCE6-2C59-44B3-B965-5165F2D1DE8B}"/>
    <cellStyle name="Note 5 3" xfId="1504" xr:uid="{3B32F62C-3CA4-42E9-9C67-7F5C5182A4D1}"/>
    <cellStyle name="Note 5 30" xfId="1505" xr:uid="{EACEC9B2-A237-4BF6-8823-B670F05996F1}"/>
    <cellStyle name="Note 5 31" xfId="1506" xr:uid="{95413D8C-893D-4268-A266-D2C7CDA7F0FE}"/>
    <cellStyle name="Note 5 32" xfId="1507" xr:uid="{CDC5BC1D-F1F3-4585-9BD3-F562F3F2CE11}"/>
    <cellStyle name="Note 5 33" xfId="1508" xr:uid="{E65D6974-88E2-46AE-87F4-9A5852E3D6BF}"/>
    <cellStyle name="Note 5 34" xfId="1509" xr:uid="{DADE5BC3-ED79-4132-8F76-032F08AFCA7E}"/>
    <cellStyle name="Note 5 35" xfId="1510" xr:uid="{D677A9CB-A0C2-4049-8B27-001EBA910BD5}"/>
    <cellStyle name="Note 5 36" xfId="1511" xr:uid="{DFBAA457-49EE-4C1A-8B3A-797F3C826C05}"/>
    <cellStyle name="Note 5 37" xfId="1512" xr:uid="{DF95A587-94B8-4607-ADC2-2D861E60B466}"/>
    <cellStyle name="Note 5 38" xfId="1513" xr:uid="{DC7B4833-6C97-4209-9B07-94CA207C794B}"/>
    <cellStyle name="Note 5 39" xfId="1514" xr:uid="{3923D9A7-A7A5-4CB1-8FF5-0B449868CF41}"/>
    <cellStyle name="Note 5 4" xfId="1515" xr:uid="{66B310E0-E55A-4F97-AD6B-B7D1F7821AD4}"/>
    <cellStyle name="Note 5 40" xfId="1516" xr:uid="{320F1B61-106C-46E3-BF89-A46F02C7D498}"/>
    <cellStyle name="Note 5 41" xfId="1517" xr:uid="{5617FD2A-F72B-4053-A6BD-CD02546E4C66}"/>
    <cellStyle name="Note 5 42" xfId="1518" xr:uid="{1C66BB96-AFFF-4C68-AE9F-1968AEEC6BA2}"/>
    <cellStyle name="Note 5 43" xfId="1519" xr:uid="{EB687604-A919-4C5A-971A-3DFC390C0BC6}"/>
    <cellStyle name="Note 5 44" xfId="1520" xr:uid="{4DB9BADE-302E-4914-A6B4-BCD45C2B3CE4}"/>
    <cellStyle name="Note 5 45" xfId="1521" xr:uid="{C8C891C1-3805-4D7B-8495-ADDF325B5B4E}"/>
    <cellStyle name="Note 5 46" xfId="1522" xr:uid="{A24D53BA-36B6-4DFB-8762-314150EB5FCE}"/>
    <cellStyle name="Note 5 47" xfId="1523" xr:uid="{5536F09A-74E8-46B1-9CB4-9F32609404C3}"/>
    <cellStyle name="Note 5 48" xfId="1524" xr:uid="{D8BF2EA3-24D3-4168-8B7E-6AF7231A2F46}"/>
    <cellStyle name="Note 5 49" xfId="1525" xr:uid="{3E03B4BA-AFAA-48CC-BA89-8287428E99A5}"/>
    <cellStyle name="Note 5 5" xfId="1526" xr:uid="{FB83B443-3A5B-48C0-A689-BC617DDFC1EB}"/>
    <cellStyle name="Note 5 50" xfId="1527" xr:uid="{EF7585BC-3E69-4628-837B-E00F830DB13D}"/>
    <cellStyle name="Note 5 51" xfId="1528" xr:uid="{30823068-724D-4892-B0A0-083C1ADC6F92}"/>
    <cellStyle name="Note 5 52" xfId="1529" xr:uid="{85C2E30A-B000-4A5B-98AC-A1354121656E}"/>
    <cellStyle name="Note 5 53" xfId="1530" xr:uid="{EE098367-B7FB-4F41-9352-45E14D9F5683}"/>
    <cellStyle name="Note 5 54" xfId="1531" xr:uid="{4C073B6E-213D-4670-9B8D-4E774DB7AC03}"/>
    <cellStyle name="Note 5 55" xfId="1532" xr:uid="{9C073644-434A-420C-87B9-57E3163296D3}"/>
    <cellStyle name="Note 5 56" xfId="1533" xr:uid="{28A01114-A8AE-4946-927E-B5C9CAB15E5C}"/>
    <cellStyle name="Note 5 57" xfId="1534" xr:uid="{8880387E-A73D-490D-BF0B-80E39159C371}"/>
    <cellStyle name="Note 5 58" xfId="1535" xr:uid="{BA89E311-EF19-4C26-8BA3-C25A6DFF03ED}"/>
    <cellStyle name="Note 5 59" xfId="1536" xr:uid="{EEA26D94-1235-4B12-BBB3-190F77C201B3}"/>
    <cellStyle name="Note 5 6" xfId="1537" xr:uid="{10BC4FFA-86D6-4583-99C2-DBB374C77A5B}"/>
    <cellStyle name="Note 5 60" xfId="1538" xr:uid="{47A8429E-15FD-4BFB-A8EE-570C1DFD4891}"/>
    <cellStyle name="Note 5 61" xfId="1539" xr:uid="{4BA058A8-4E7B-401A-896B-7CFC12356C89}"/>
    <cellStyle name="Note 5 62" xfId="1540" xr:uid="{2C8D221C-9DDA-4256-B916-AAEFF17A775F}"/>
    <cellStyle name="Note 5 63" xfId="1541" xr:uid="{18DA438E-93BE-48CE-BD3C-FB5AC91C1C69}"/>
    <cellStyle name="Note 5 64" xfId="1542" xr:uid="{554A0668-07CA-45F5-B9C2-540F1E26E03A}"/>
    <cellStyle name="Note 5 65" xfId="1543" xr:uid="{8575E947-8211-40D7-9FFB-2F869C59BD4E}"/>
    <cellStyle name="Note 5 7" xfId="1544" xr:uid="{7C32C9F8-93E2-472F-AF26-C4B2FC46E16D}"/>
    <cellStyle name="Note 5 8" xfId="1545" xr:uid="{3E1E54D5-FF98-4257-8ACB-528E3BC3ABE5}"/>
    <cellStyle name="Note 5 9" xfId="1546" xr:uid="{FB7F4749-D604-4E60-AD66-6DECB63633CC}"/>
    <cellStyle name="Note 6" xfId="1547" xr:uid="{ABBCE550-B4DF-4CB6-9678-27C391173D44}"/>
    <cellStyle name="Note 6 10" xfId="1548" xr:uid="{DE63DFE7-73CA-4CF8-A2AC-E13DB339FB0B}"/>
    <cellStyle name="Note 6 11" xfId="1549" xr:uid="{4732AA47-6428-4107-8498-8DAFA5D88CE5}"/>
    <cellStyle name="Note 6 12" xfId="1550" xr:uid="{8F34DF40-AFD9-4F43-A739-628102BD9AFC}"/>
    <cellStyle name="Note 6 13" xfId="1551" xr:uid="{C799DF26-E9B2-4411-8E03-1E61CA3E1F4D}"/>
    <cellStyle name="Note 6 14" xfId="1552" xr:uid="{81A9BB12-DB92-4D12-B2D6-4D3AA3EBA478}"/>
    <cellStyle name="Note 6 15" xfId="1553" xr:uid="{37D3D241-E60A-49D1-B209-6183A146016F}"/>
    <cellStyle name="Note 6 16" xfId="1554" xr:uid="{0C6E44B4-76A1-4513-893E-AF06677EA5C7}"/>
    <cellStyle name="Note 6 17" xfId="1555" xr:uid="{AD38DE17-B7BE-4B6A-9F3C-2268D53097AE}"/>
    <cellStyle name="Note 6 18" xfId="1556" xr:uid="{4C15BDB0-3AB7-47F0-AB8F-287E87249086}"/>
    <cellStyle name="Note 6 19" xfId="1557" xr:uid="{3E2D3017-65AC-4DEB-A1C4-33C33DAE3C47}"/>
    <cellStyle name="Note 6 2" xfId="1558" xr:uid="{25955017-2915-4C05-BA71-E9C9BED1FC7D}"/>
    <cellStyle name="Note 6 20" xfId="1559" xr:uid="{877191E3-8DFD-4B0B-9B6C-853ED6670CAB}"/>
    <cellStyle name="Note 6 21" xfId="1560" xr:uid="{B55CD0C4-5E0C-4B1F-A848-5560BAAD4440}"/>
    <cellStyle name="Note 6 22" xfId="1561" xr:uid="{6207D9D7-1A40-4FEC-8EA3-878A76E7E1F7}"/>
    <cellStyle name="Note 6 23" xfId="1562" xr:uid="{A8342524-9373-4E17-83E9-F18B7159E22C}"/>
    <cellStyle name="Note 6 24" xfId="1563" xr:uid="{CE5540E2-3173-4218-A921-9717EFCB013B}"/>
    <cellStyle name="Note 6 25" xfId="1564" xr:uid="{D083C047-78D5-4904-B49F-09EC8E058A50}"/>
    <cellStyle name="Note 6 26" xfId="1565" xr:uid="{C4699276-7555-4F94-8D3D-0C67CD0B0146}"/>
    <cellStyle name="Note 6 27" xfId="1566" xr:uid="{C3B6344E-D81D-438E-AAA3-4158919E2BE7}"/>
    <cellStyle name="Note 6 28" xfId="1567" xr:uid="{3B1F93A5-E527-4D10-ABB7-44332779A2E2}"/>
    <cellStyle name="Note 6 29" xfId="1568" xr:uid="{23BD6337-89AB-4968-AC18-3358FBF324FB}"/>
    <cellStyle name="Note 6 3" xfId="1569" xr:uid="{E6D8273B-C191-48D4-9133-67331A7583BA}"/>
    <cellStyle name="Note 6 30" xfId="1570" xr:uid="{F6272542-C09B-4D70-BCDC-C5D00022138D}"/>
    <cellStyle name="Note 6 31" xfId="1571" xr:uid="{14D28389-FC58-45E8-8434-5CBD6385966B}"/>
    <cellStyle name="Note 6 32" xfId="1572" xr:uid="{BBEA5601-92B3-44CA-BA72-A59FDCC8BD3B}"/>
    <cellStyle name="Note 6 33" xfId="1573" xr:uid="{EA342196-E282-4438-AA6C-374E59AA81EF}"/>
    <cellStyle name="Note 6 34" xfId="1574" xr:uid="{AC8B736D-D8D8-4CA2-A080-36F72481EBAB}"/>
    <cellStyle name="Note 6 35" xfId="1575" xr:uid="{D1E86998-6FFC-4449-9C06-88F5440E50A5}"/>
    <cellStyle name="Note 6 36" xfId="1576" xr:uid="{882B4054-5F0E-4A0C-A481-A2A49E014FB3}"/>
    <cellStyle name="Note 6 37" xfId="1577" xr:uid="{77470629-0C7A-4F4D-8A8D-06B36C737AF5}"/>
    <cellStyle name="Note 6 38" xfId="1578" xr:uid="{2C4DB8F5-0E2F-4163-B486-D1C4A41735F3}"/>
    <cellStyle name="Note 6 39" xfId="1579" xr:uid="{00A0BCAE-90A6-40E7-BE11-5A8C1992EA26}"/>
    <cellStyle name="Note 6 4" xfId="1580" xr:uid="{23280F2A-3E6E-4D17-9174-527DA94D72D1}"/>
    <cellStyle name="Note 6 40" xfId="1581" xr:uid="{77B9813D-1C58-4EE7-B72E-F1F236965E19}"/>
    <cellStyle name="Note 6 41" xfId="1582" xr:uid="{6B9172CE-63AD-478A-BCF8-BFBABA091D05}"/>
    <cellStyle name="Note 6 42" xfId="1583" xr:uid="{1BCB557F-BF19-4328-B81C-63E414BA84D9}"/>
    <cellStyle name="Note 6 43" xfId="1584" xr:uid="{F3A25FCB-456A-4C4B-B7D0-8D3E74A46F31}"/>
    <cellStyle name="Note 6 44" xfId="1585" xr:uid="{6D851CEF-805B-43C4-B9D6-C4A659BAE220}"/>
    <cellStyle name="Note 6 45" xfId="1586" xr:uid="{504F9EFB-31B5-4C2F-8B15-0EC1D16F545D}"/>
    <cellStyle name="Note 6 46" xfId="1587" xr:uid="{CED77A00-714A-409C-9442-C7F47B8577CC}"/>
    <cellStyle name="Note 6 47" xfId="1588" xr:uid="{C6AE4CA0-C924-477C-9B36-97679B5800D4}"/>
    <cellStyle name="Note 6 48" xfId="1589" xr:uid="{CF84103B-B24F-4CF1-953A-0B0304364A4D}"/>
    <cellStyle name="Note 6 49" xfId="1590" xr:uid="{96FF301A-AD64-4C65-83EE-FCA87B48A883}"/>
    <cellStyle name="Note 6 5" xfId="1591" xr:uid="{6B3333EB-62CE-46E5-A108-BD74A26FB795}"/>
    <cellStyle name="Note 6 50" xfId="1592" xr:uid="{55881FC4-D917-484C-A34C-9370489ADCDE}"/>
    <cellStyle name="Note 6 51" xfId="1593" xr:uid="{7FBD4FB3-188B-4259-BE7F-E2B4415DCC3F}"/>
    <cellStyle name="Note 6 52" xfId="1594" xr:uid="{B73C9F43-8D24-4135-A364-A1E101972374}"/>
    <cellStyle name="Note 6 53" xfId="1595" xr:uid="{C0345DE6-3C52-43A6-9C84-DD31D7238FA3}"/>
    <cellStyle name="Note 6 54" xfId="1596" xr:uid="{1963DA81-1AA2-4AC5-916C-DD00F9D09AE1}"/>
    <cellStyle name="Note 6 55" xfId="1597" xr:uid="{65D8DC97-2DA2-4F42-96DC-FCFD60F48A8F}"/>
    <cellStyle name="Note 6 56" xfId="1598" xr:uid="{3DBF8BD0-9DD8-4E63-9FC5-E9EC2E9F10F9}"/>
    <cellStyle name="Note 6 57" xfId="1599" xr:uid="{D5AD16E8-FA4E-4241-94A8-7EE72E5FA19F}"/>
    <cellStyle name="Note 6 58" xfId="1600" xr:uid="{18CEF3B5-6AD9-49C3-9D2B-33E6846BFBE4}"/>
    <cellStyle name="Note 6 59" xfId="1601" xr:uid="{0C8F562A-E301-4E9F-B798-814148B6970B}"/>
    <cellStyle name="Note 6 6" xfId="1602" xr:uid="{B0CF1661-5E1E-45E2-851E-EAC2A89EF9C3}"/>
    <cellStyle name="Note 6 60" xfId="1603" xr:uid="{DD211B96-5EF7-413E-9132-91DAEB7997EE}"/>
    <cellStyle name="Note 6 61" xfId="1604" xr:uid="{220ABAFA-2948-4664-9896-8B5DBE6E8EC4}"/>
    <cellStyle name="Note 6 62" xfId="1605" xr:uid="{4EA0F656-8A90-47A5-969A-FB403E54928A}"/>
    <cellStyle name="Note 6 63" xfId="1606" xr:uid="{FB522DD8-000A-4097-A9FF-3E70F4514E31}"/>
    <cellStyle name="Note 6 64" xfId="1607" xr:uid="{5832C48B-CA78-4B97-8665-49F45ABDF36B}"/>
    <cellStyle name="Note 6 65" xfId="1608" xr:uid="{43A26A08-E4EB-444D-BF35-DD8708673042}"/>
    <cellStyle name="Note 6 7" xfId="1609" xr:uid="{7F3C64BE-2006-4258-81F9-BD4A099DD8DA}"/>
    <cellStyle name="Note 6 8" xfId="1610" xr:uid="{AE3B179E-3440-47A3-890B-347E20155101}"/>
    <cellStyle name="Note 6 9" xfId="1611" xr:uid="{27617999-F699-41BD-95A0-F53E35721A32}"/>
    <cellStyle name="Note 7" xfId="1612" xr:uid="{29A912B4-1ACA-4CF3-88C6-8125AE382858}"/>
    <cellStyle name="Note 7 10" xfId="1613" xr:uid="{C0CB2605-5CC8-4570-B308-E2BE10713BA5}"/>
    <cellStyle name="Note 7 11" xfId="1614" xr:uid="{CF0ADF5F-98C5-4BAB-9E27-04ED9968A458}"/>
    <cellStyle name="Note 7 12" xfId="1615" xr:uid="{5A9F1EAE-0CC6-4F6B-896D-567666801099}"/>
    <cellStyle name="Note 7 13" xfId="1616" xr:uid="{DA1F6246-A3F3-4251-AE45-2FB5813B6071}"/>
    <cellStyle name="Note 7 14" xfId="1617" xr:uid="{5F718CEE-A507-459F-9D73-FE5D7139D097}"/>
    <cellStyle name="Note 7 15" xfId="1618" xr:uid="{3E0317AF-7864-49EE-86DC-AF88485F8043}"/>
    <cellStyle name="Note 7 16" xfId="1619" xr:uid="{034F6BEE-A681-483D-8B5B-561F5386C577}"/>
    <cellStyle name="Note 7 17" xfId="1620" xr:uid="{CA7FF155-A2BA-46F5-99AF-2BF47551F9D5}"/>
    <cellStyle name="Note 7 18" xfId="1621" xr:uid="{04CE26CB-CCCB-4E06-AB2C-643AE69DDF25}"/>
    <cellStyle name="Note 7 19" xfId="1622" xr:uid="{3BAABB3A-7173-4560-B3DC-D9C87F1457D9}"/>
    <cellStyle name="Note 7 2" xfId="1623" xr:uid="{D014F3C1-D508-40B9-82DE-19766095B2D1}"/>
    <cellStyle name="Note 7 20" xfId="1624" xr:uid="{9015C24D-EEFE-44B1-8B89-37EAA37F05CF}"/>
    <cellStyle name="Note 7 21" xfId="1625" xr:uid="{AC672DA9-8279-4237-BAFC-1D2833C36C60}"/>
    <cellStyle name="Note 7 22" xfId="1626" xr:uid="{8698E0E0-4A09-4B38-9CF3-76CFEE44C2C2}"/>
    <cellStyle name="Note 7 23" xfId="1627" xr:uid="{D9DFF575-E9CA-4364-9607-C6576B122E0D}"/>
    <cellStyle name="Note 7 24" xfId="1628" xr:uid="{CCE3AAED-B0F9-44B6-BF27-0C6A9C58BD0F}"/>
    <cellStyle name="Note 7 25" xfId="1629" xr:uid="{D56F0FEB-6B06-4453-B7A4-611F79084660}"/>
    <cellStyle name="Note 7 26" xfId="1630" xr:uid="{7B3CF052-6EAB-4BA9-8E64-899A77404D3B}"/>
    <cellStyle name="Note 7 27" xfId="1631" xr:uid="{325D7B31-2477-41D3-B9C0-531F9EF6CEB0}"/>
    <cellStyle name="Note 7 28" xfId="1632" xr:uid="{6B162F75-A2A8-4E7F-85BD-5C2F40F6854E}"/>
    <cellStyle name="Note 7 29" xfId="1633" xr:uid="{85675C20-D630-461E-BBC8-909CA78784BA}"/>
    <cellStyle name="Note 7 3" xfId="1634" xr:uid="{EFBE7A3C-95C6-47DC-839B-7A1D4407FDB9}"/>
    <cellStyle name="Note 7 30" xfId="1635" xr:uid="{18B54026-74E7-4A63-89D0-D0D708922778}"/>
    <cellStyle name="Note 7 31" xfId="1636" xr:uid="{C1A43247-ECFE-42BD-ABF3-78C0FE63A8A0}"/>
    <cellStyle name="Note 7 32" xfId="1637" xr:uid="{61E708DA-57DB-4034-936D-8D352105E324}"/>
    <cellStyle name="Note 7 33" xfId="1638" xr:uid="{8E658F13-1E38-4AA4-BA87-BCF2EBFC9831}"/>
    <cellStyle name="Note 7 34" xfId="1639" xr:uid="{727048FD-BAD9-451A-B32D-242A57AC6E0E}"/>
    <cellStyle name="Note 7 35" xfId="1640" xr:uid="{A050A4C0-CA39-4206-93D5-9342348793D3}"/>
    <cellStyle name="Note 7 36" xfId="1641" xr:uid="{D7D1921E-DABA-47B1-B4F6-A6F5B9DD672A}"/>
    <cellStyle name="Note 7 37" xfId="1642" xr:uid="{864AC03D-9D8A-4AAE-8A43-2B1C0291E0CD}"/>
    <cellStyle name="Note 7 38" xfId="1643" xr:uid="{C9560B3B-519D-4D8D-9ED0-9675CCD60DFB}"/>
    <cellStyle name="Note 7 39" xfId="1644" xr:uid="{E2B32B48-6905-49C8-9EC0-73E52B368EC3}"/>
    <cellStyle name="Note 7 4" xfId="1645" xr:uid="{299C8794-9D8F-4D97-87D5-51B6E3115900}"/>
    <cellStyle name="Note 7 40" xfId="1646" xr:uid="{52FBDBE2-2329-4DAF-9DFF-6C9C00EBF85B}"/>
    <cellStyle name="Note 7 41" xfId="1647" xr:uid="{132B3EF2-E108-4016-9655-E5BDCBAF1D5C}"/>
    <cellStyle name="Note 7 42" xfId="1648" xr:uid="{0663B7B3-D4A2-45CD-89FD-3BB648C4A890}"/>
    <cellStyle name="Note 7 43" xfId="1649" xr:uid="{110D0A03-F901-47E0-9985-5529CC350B8B}"/>
    <cellStyle name="Note 7 44" xfId="1650" xr:uid="{65F89430-C050-4A6B-9591-94C7985D48FB}"/>
    <cellStyle name="Note 7 45" xfId="1651" xr:uid="{17E51FE5-CBD6-4F22-8B62-56E61B4527D7}"/>
    <cellStyle name="Note 7 46" xfId="1652" xr:uid="{8190953E-D753-4662-8ABD-6A7037F09B0C}"/>
    <cellStyle name="Note 7 47" xfId="1653" xr:uid="{FF149779-9DA4-4A77-9A48-E13910EA25C3}"/>
    <cellStyle name="Note 7 48" xfId="1654" xr:uid="{FF6389A0-AB5A-4447-BBA8-E34F5372E1C4}"/>
    <cellStyle name="Note 7 49" xfId="1655" xr:uid="{84E130C0-AF59-4B00-985C-8CFA271C5C68}"/>
    <cellStyle name="Note 7 5" xfId="1656" xr:uid="{39D25E13-88DC-490C-A3D7-500E72252595}"/>
    <cellStyle name="Note 7 50" xfId="1657" xr:uid="{49C25130-67FA-48CC-8BFA-D373E7E5C27A}"/>
    <cellStyle name="Note 7 51" xfId="1658" xr:uid="{1C5CE4F8-047A-4E2E-8544-C90ED8ED1C23}"/>
    <cellStyle name="Note 7 52" xfId="1659" xr:uid="{7E095397-DCA7-4E26-8CF8-7250D2625543}"/>
    <cellStyle name="Note 7 53" xfId="1660" xr:uid="{51DB65A4-2378-412F-A9A5-53C270C8402C}"/>
    <cellStyle name="Note 7 54" xfId="1661" xr:uid="{7D9C42FB-19EC-44E3-9811-8F2A26E01552}"/>
    <cellStyle name="Note 7 55" xfId="1662" xr:uid="{7F6AC90E-F5EF-4D3F-9F98-7EA150E69326}"/>
    <cellStyle name="Note 7 56" xfId="1663" xr:uid="{63F80313-FE21-40EC-8A53-9CFC9B959037}"/>
    <cellStyle name="Note 7 57" xfId="1664" xr:uid="{367BD413-FC40-482C-A496-418162593EB7}"/>
    <cellStyle name="Note 7 58" xfId="1665" xr:uid="{6C6D788A-0690-4D57-912C-E269BF536315}"/>
    <cellStyle name="Note 7 59" xfId="1666" xr:uid="{20F9325E-0E96-4426-940B-BEEA082616E8}"/>
    <cellStyle name="Note 7 6" xfId="1667" xr:uid="{B4A7C7FE-FD74-4D49-B831-2931007FCCEF}"/>
    <cellStyle name="Note 7 60" xfId="1668" xr:uid="{C1FBEBB2-3AC3-4CA3-BEA1-6FC71A157DE1}"/>
    <cellStyle name="Note 7 61" xfId="1669" xr:uid="{D33DCD95-373C-4C0D-974F-FCBE9996B228}"/>
    <cellStyle name="Note 7 62" xfId="1670" xr:uid="{6F1F898B-75DA-4F2F-95AC-A6E6B95316A1}"/>
    <cellStyle name="Note 7 63" xfId="1671" xr:uid="{B410DB46-E6CF-451A-A81B-7D85F2A0A9B1}"/>
    <cellStyle name="Note 7 64" xfId="1672" xr:uid="{E1C11FAB-1C4B-4F49-B3DD-65016110582B}"/>
    <cellStyle name="Note 7 65" xfId="1673" xr:uid="{B9A47598-C787-4173-AAD5-278E8AC76B4E}"/>
    <cellStyle name="Note 7 7" xfId="1674" xr:uid="{A4C859E4-62AA-46E9-B2E8-BD7E4D8339CF}"/>
    <cellStyle name="Note 7 8" xfId="1675" xr:uid="{458AE2ED-7079-423D-9500-45158C11D9F3}"/>
    <cellStyle name="Note 7 9" xfId="1676" xr:uid="{7B56D9BE-5627-4670-A627-E666A230AAF4}"/>
    <cellStyle name="Note 8" xfId="1677" xr:uid="{CBFF5ECF-9D4F-4DA8-8EFE-22EFDA08E4E7}"/>
    <cellStyle name="Note 8 10" xfId="1678" xr:uid="{2A1751E2-85A1-451D-82EA-6366E66C7BDC}"/>
    <cellStyle name="Note 8 11" xfId="1679" xr:uid="{ADD4BCCD-4BBC-488C-9076-F837FCFABF6F}"/>
    <cellStyle name="Note 8 12" xfId="1680" xr:uid="{17DC3275-1924-4845-B78A-6ACC68C68B33}"/>
    <cellStyle name="Note 8 13" xfId="1681" xr:uid="{F2B29A9D-CA28-47A0-B556-3F2B2A3D195C}"/>
    <cellStyle name="Note 8 14" xfId="1682" xr:uid="{4A67E9A7-CA92-4809-9743-F0BE9ECFA058}"/>
    <cellStyle name="Note 8 15" xfId="1683" xr:uid="{5320A520-F46A-4055-AE8F-FF07667BDAD0}"/>
    <cellStyle name="Note 8 16" xfId="1684" xr:uid="{023C24C9-5781-470F-8E0C-2C21C6180AD6}"/>
    <cellStyle name="Note 8 17" xfId="1685" xr:uid="{65A7CD31-CCB0-4BC5-BB8F-C1B8310DFA05}"/>
    <cellStyle name="Note 8 18" xfId="1686" xr:uid="{E205A62B-2CD2-467E-8DC6-0071D6EEB48A}"/>
    <cellStyle name="Note 8 19" xfId="1687" xr:uid="{6CD3C16F-2AE9-4EFA-AD38-0FDD11304A01}"/>
    <cellStyle name="Note 8 2" xfId="1688" xr:uid="{8E7F9C0A-E412-4D13-8091-00B311070994}"/>
    <cellStyle name="Note 8 20" xfId="1689" xr:uid="{7C997BE9-6757-4EDE-9288-3697DB197501}"/>
    <cellStyle name="Note 8 21" xfId="1690" xr:uid="{5A33C870-7863-40A7-AAA1-CCB1AA5337BB}"/>
    <cellStyle name="Note 8 22" xfId="1691" xr:uid="{5C7D560D-02FA-4C8A-819A-1724B5AA037B}"/>
    <cellStyle name="Note 8 23" xfId="1692" xr:uid="{4BC14D80-0388-414D-97F6-51BFBC2AB98A}"/>
    <cellStyle name="Note 8 24" xfId="1693" xr:uid="{7B45F33F-54AB-4C2D-B089-F400A0F545EC}"/>
    <cellStyle name="Note 8 25" xfId="1694" xr:uid="{965F87EC-3B2A-4D76-89ED-E7A19ED9A5AA}"/>
    <cellStyle name="Note 8 26" xfId="1695" xr:uid="{0A4081B7-A28C-43B7-A603-C3B5D25CFAFA}"/>
    <cellStyle name="Note 8 27" xfId="1696" xr:uid="{006707E4-84C4-4280-ACC5-CF55652DAE21}"/>
    <cellStyle name="Note 8 28" xfId="1697" xr:uid="{6A0F8BA9-FC63-453C-A923-9204F931E919}"/>
    <cellStyle name="Note 8 29" xfId="1698" xr:uid="{5936ED8C-73AB-4C64-9B0C-2216A912698E}"/>
    <cellStyle name="Note 8 3" xfId="1699" xr:uid="{3EE60413-5307-4155-A1A9-B5EEE30D8A52}"/>
    <cellStyle name="Note 8 30" xfId="1700" xr:uid="{66570FD2-2B79-4394-904F-FAD1E477626C}"/>
    <cellStyle name="Note 8 31" xfId="1701" xr:uid="{2EB15016-28DC-4229-8FC2-9B11B0DA9A68}"/>
    <cellStyle name="Note 8 32" xfId="1702" xr:uid="{6BF12ED8-584E-4024-9BAF-A51E761DDF1D}"/>
    <cellStyle name="Note 8 33" xfId="1703" xr:uid="{05C36C89-B13B-4553-98CF-5EA432BB814E}"/>
    <cellStyle name="Note 8 34" xfId="1704" xr:uid="{3BAD43CE-3854-498D-9AEB-5368D4BE4417}"/>
    <cellStyle name="Note 8 35" xfId="1705" xr:uid="{3E5F4CCF-DECC-4221-AE28-33D1716DCBC6}"/>
    <cellStyle name="Note 8 36" xfId="1706" xr:uid="{D7772F46-FCDA-45E4-958D-A421A0167667}"/>
    <cellStyle name="Note 8 37" xfId="1707" xr:uid="{6B776011-EA45-49A7-9AF7-4D9008FF948C}"/>
    <cellStyle name="Note 8 38" xfId="1708" xr:uid="{C4CE700C-6058-4B18-B984-EC918A49F91D}"/>
    <cellStyle name="Note 8 39" xfId="1709" xr:uid="{8361E7E1-6B19-409B-8F9A-DF371BBE78F6}"/>
    <cellStyle name="Note 8 4" xfId="1710" xr:uid="{DC52C47E-BEC4-45A9-8739-19C9213A136C}"/>
    <cellStyle name="Note 8 40" xfId="1711" xr:uid="{94B3355E-46F2-4963-BEC1-6967FA131BCF}"/>
    <cellStyle name="Note 8 41" xfId="1712" xr:uid="{1F2B4015-6FE0-4B3C-985B-7E07BFF7440E}"/>
    <cellStyle name="Note 8 42" xfId="1713" xr:uid="{E05A7BD2-DB54-4B53-B54C-D1820FA49B38}"/>
    <cellStyle name="Note 8 43" xfId="1714" xr:uid="{26F39DA6-8EC0-447B-8E07-3F6934128670}"/>
    <cellStyle name="Note 8 44" xfId="1715" xr:uid="{2A95ECD7-DE76-4603-8CBA-70981C051250}"/>
    <cellStyle name="Note 8 45" xfId="1716" xr:uid="{13C99A9D-62B6-4C1B-873F-83FEA4D282CF}"/>
    <cellStyle name="Note 8 46" xfId="1717" xr:uid="{CF3EB85C-211B-47E6-948D-56C0887A5E2F}"/>
    <cellStyle name="Note 8 47" xfId="1718" xr:uid="{2CDA3ECF-BEDD-4252-B14C-30CD801B4FB3}"/>
    <cellStyle name="Note 8 48" xfId="1719" xr:uid="{ACF9EC8C-A8CC-48AC-B7B5-B0044BB19FBA}"/>
    <cellStyle name="Note 8 49" xfId="1720" xr:uid="{24A9A62C-4DB1-444A-8823-7B2B407C0564}"/>
    <cellStyle name="Note 8 5" xfId="1721" xr:uid="{2946627F-CE9A-4A26-B77F-E88F7005913C}"/>
    <cellStyle name="Note 8 50" xfId="1722" xr:uid="{6A203F19-ADB1-4F1B-A08B-ED3854CCF4DC}"/>
    <cellStyle name="Note 8 51" xfId="1723" xr:uid="{A65A81E2-DE65-4125-B376-3CE59425A9BC}"/>
    <cellStyle name="Note 8 52" xfId="1724" xr:uid="{DF55B362-11D8-4837-B755-1065FD3ADCE1}"/>
    <cellStyle name="Note 8 53" xfId="1725" xr:uid="{3CA6D623-A1FE-4328-B9D9-D9045D5A04FE}"/>
    <cellStyle name="Note 8 54" xfId="1726" xr:uid="{79404A63-F5FD-47C8-A350-55F622427E11}"/>
    <cellStyle name="Note 8 55" xfId="1727" xr:uid="{1109534B-118A-4524-9C00-279C6270017E}"/>
    <cellStyle name="Note 8 56" xfId="1728" xr:uid="{F6677C91-D10D-42E7-8CF4-B778C6FBE403}"/>
    <cellStyle name="Note 8 57" xfId="1729" xr:uid="{7B164A01-975B-4757-B62A-5585106A2E22}"/>
    <cellStyle name="Note 8 58" xfId="1730" xr:uid="{5AAFC99D-6F22-4DF1-9119-7833C4ABA008}"/>
    <cellStyle name="Note 8 59" xfId="1731" xr:uid="{6555DB94-6CCC-42EE-9936-9F63D16AC86B}"/>
    <cellStyle name="Note 8 6" xfId="1732" xr:uid="{BD571F7B-B137-4322-9FA9-5DC980762988}"/>
    <cellStyle name="Note 8 60" xfId="1733" xr:uid="{F829889D-F0C4-4BED-846E-E8A1F5F85EAB}"/>
    <cellStyle name="Note 8 61" xfId="1734" xr:uid="{9D25C570-F511-4E16-BD45-DAA1CDD159E5}"/>
    <cellStyle name="Note 8 62" xfId="1735" xr:uid="{5F4BFD1C-3E81-4C82-946A-D08A58D7C215}"/>
    <cellStyle name="Note 8 63" xfId="1736" xr:uid="{01A160AC-EA95-420A-B594-3F2F91CAE01B}"/>
    <cellStyle name="Note 8 64" xfId="1737" xr:uid="{00E53C9B-E9D5-45E7-9607-47A4C9804034}"/>
    <cellStyle name="Note 8 65" xfId="1738" xr:uid="{6F61B03F-7D22-4839-9A62-49853208A584}"/>
    <cellStyle name="Note 8 7" xfId="1739" xr:uid="{B4953B35-6748-41C2-A737-6554DDB81A55}"/>
    <cellStyle name="Note 8 8" xfId="1740" xr:uid="{7F1B1731-EFCC-4ED2-9BF2-459171F3471C}"/>
    <cellStyle name="Note 8 9" xfId="1741" xr:uid="{95ECD3FC-FB7A-462C-8FBF-17C7BBBDF901}"/>
    <cellStyle name="Note 9" xfId="1742" xr:uid="{7B68999E-B5FD-443E-B182-0CC16A1C1722}"/>
    <cellStyle name="Note 9 10" xfId="1743" xr:uid="{3C6EA55A-644B-4662-96D5-D050285E3D2C}"/>
    <cellStyle name="Note 9 11" xfId="1744" xr:uid="{60805091-61A7-4F10-BB36-6B782D695CB7}"/>
    <cellStyle name="Note 9 12" xfId="1745" xr:uid="{1EAF4826-FB2B-41C3-A686-0CCBA44F07CC}"/>
    <cellStyle name="Note 9 13" xfId="1746" xr:uid="{6A1C4D0D-A1CE-4958-8AD7-158D7267DB0C}"/>
    <cellStyle name="Note 9 14" xfId="1747" xr:uid="{E9B692FD-76BF-4D2A-89D0-5C9BC8B265F2}"/>
    <cellStyle name="Note 9 15" xfId="1748" xr:uid="{1484EEF5-7762-4BE1-B669-734A2F035593}"/>
    <cellStyle name="Note 9 16" xfId="1749" xr:uid="{3B5E33E6-D731-455D-9BB3-D1155D720901}"/>
    <cellStyle name="Note 9 17" xfId="1750" xr:uid="{46E99A3D-0B7E-489B-9BC2-1BA3D1CC577D}"/>
    <cellStyle name="Note 9 18" xfId="1751" xr:uid="{AB3B5E0D-E852-4224-934C-F711C45BD495}"/>
    <cellStyle name="Note 9 19" xfId="1752" xr:uid="{EC1332C0-B588-487D-A212-D3A236C9ADB3}"/>
    <cellStyle name="Note 9 2" xfId="1753" xr:uid="{DBFCAC9D-B352-4275-8F34-8FBBCF7E9612}"/>
    <cellStyle name="Note 9 20" xfId="1754" xr:uid="{8A711564-354F-4141-AEA2-777CD8C171F5}"/>
    <cellStyle name="Note 9 21" xfId="1755" xr:uid="{51FDB4DC-7126-473C-A4FE-02F098DAD9EE}"/>
    <cellStyle name="Note 9 22" xfId="1756" xr:uid="{BE814742-43AC-45C7-B53B-1D62A441FD64}"/>
    <cellStyle name="Note 9 23" xfId="1757" xr:uid="{F94BD587-93E6-4337-B871-7ACEDFB4620D}"/>
    <cellStyle name="Note 9 24" xfId="1758" xr:uid="{D889D61C-7640-4882-8660-7082B57F199F}"/>
    <cellStyle name="Note 9 25" xfId="1759" xr:uid="{E42FF890-7779-483E-BB91-0847FEF768D1}"/>
    <cellStyle name="Note 9 26" xfId="1760" xr:uid="{8E0A0531-407A-42B8-9170-8A0EF0DA2FDC}"/>
    <cellStyle name="Note 9 27" xfId="1761" xr:uid="{989FF2EC-9F78-4524-9015-69E5BA706D8C}"/>
    <cellStyle name="Note 9 28" xfId="1762" xr:uid="{41EB6C14-68E3-4829-98DF-0B6F9AE6AF9D}"/>
    <cellStyle name="Note 9 29" xfId="1763" xr:uid="{2C49EC5A-49E8-4F50-9F37-70C48CE36EE3}"/>
    <cellStyle name="Note 9 3" xfId="1764" xr:uid="{9B465DBC-08A4-423E-A8A8-BBAF976337E4}"/>
    <cellStyle name="Note 9 30" xfId="1765" xr:uid="{4A923B59-D1E7-4308-8547-FD7348D9D886}"/>
    <cellStyle name="Note 9 31" xfId="1766" xr:uid="{332DA3D2-3D2E-4F04-9AA8-B56BE60B6D80}"/>
    <cellStyle name="Note 9 32" xfId="1767" xr:uid="{CAF64A2A-A479-4172-B5C8-A82F41029B14}"/>
    <cellStyle name="Note 9 33" xfId="1768" xr:uid="{EBE03FF5-A2AD-4F4C-9F94-DE0AB551FDEB}"/>
    <cellStyle name="Note 9 34" xfId="1769" xr:uid="{96427B73-E3EC-4E8A-8FCB-7B5808FCD2C4}"/>
    <cellStyle name="Note 9 35" xfId="1770" xr:uid="{D45FAF57-A3C6-49BF-95B7-F31694598E62}"/>
    <cellStyle name="Note 9 36" xfId="1771" xr:uid="{9A9E43BF-EDE7-4F49-BFC9-06C3F59A50FA}"/>
    <cellStyle name="Note 9 37" xfId="1772" xr:uid="{FBCDD4E0-6B5E-472F-89C1-692110B15F91}"/>
    <cellStyle name="Note 9 38" xfId="1773" xr:uid="{C989A62E-A424-4E31-9F62-2CED0E812ADA}"/>
    <cellStyle name="Note 9 39" xfId="1774" xr:uid="{EB771DEA-2108-4F44-A2F1-C2B346EEA2C1}"/>
    <cellStyle name="Note 9 4" xfId="1775" xr:uid="{6B36DE7D-4124-4E11-9435-09CF78B14DEF}"/>
    <cellStyle name="Note 9 40" xfId="1776" xr:uid="{E21186A4-D0A9-48E2-9D21-D31E00AA9264}"/>
    <cellStyle name="Note 9 41" xfId="1777" xr:uid="{8007378A-07C7-44D0-A5E9-FE90270E7377}"/>
    <cellStyle name="Note 9 42" xfId="1778" xr:uid="{2497B3A7-1F18-4DE8-8476-CC9EBC2FC6DE}"/>
    <cellStyle name="Note 9 43" xfId="1779" xr:uid="{9C714F34-5662-4F9A-8B42-B413E29BF7D5}"/>
    <cellStyle name="Note 9 44" xfId="1780" xr:uid="{04AEA724-1386-40FC-A681-3B5075D00299}"/>
    <cellStyle name="Note 9 45" xfId="1781" xr:uid="{AFDCB52B-50C8-4FF7-89D2-D305FCAD421B}"/>
    <cellStyle name="Note 9 46" xfId="1782" xr:uid="{9D73A2FD-E28C-40EA-987A-4FC673AF333D}"/>
    <cellStyle name="Note 9 47" xfId="1783" xr:uid="{A78D3C56-35A7-4533-A6CF-BFFD70FBD93F}"/>
    <cellStyle name="Note 9 48" xfId="1784" xr:uid="{BA71E20F-52CE-477A-A6DA-69975FBDAEAE}"/>
    <cellStyle name="Note 9 49" xfId="1785" xr:uid="{F5394BCD-FD8F-49B7-8DAA-231FA248FF2B}"/>
    <cellStyle name="Note 9 5" xfId="1786" xr:uid="{68E06540-A743-407B-913E-BCF3F7FB120A}"/>
    <cellStyle name="Note 9 50" xfId="1787" xr:uid="{654DCDD5-BD9C-4EE5-996A-4BE59FF3ADAB}"/>
    <cellStyle name="Note 9 51" xfId="1788" xr:uid="{F86F1A76-16DB-480D-B6A6-4D390F952FB6}"/>
    <cellStyle name="Note 9 52" xfId="1789" xr:uid="{93CED559-A61E-4F6E-A6CE-13702C090703}"/>
    <cellStyle name="Note 9 53" xfId="1790" xr:uid="{21395D15-0447-470F-88EF-6768609C475E}"/>
    <cellStyle name="Note 9 54" xfId="1791" xr:uid="{4A627D4B-03B6-409D-A5D4-6A2222A25EB3}"/>
    <cellStyle name="Note 9 55" xfId="1792" xr:uid="{39419ADC-5B33-4912-B0CB-5670090CDFC5}"/>
    <cellStyle name="Note 9 56" xfId="1793" xr:uid="{EDA0317D-A938-4463-A77F-360E253FE7E2}"/>
    <cellStyle name="Note 9 57" xfId="1794" xr:uid="{9F2F2342-1C2C-4DEF-948D-0D1E52571E9B}"/>
    <cellStyle name="Note 9 58" xfId="1795" xr:uid="{167F70BD-F991-42B0-981B-87250E22D102}"/>
    <cellStyle name="Note 9 59" xfId="1796" xr:uid="{0B833B6F-E278-4D5D-8312-FA7FEE50DDB3}"/>
    <cellStyle name="Note 9 6" xfId="1797" xr:uid="{86040336-F34F-4B11-903C-40CE4438CFF8}"/>
    <cellStyle name="Note 9 60" xfId="1798" xr:uid="{5FB2F167-85AC-43B3-9AFD-15AF22232BB5}"/>
    <cellStyle name="Note 9 61" xfId="1799" xr:uid="{717590C0-337E-402F-912E-D03C2450C0F5}"/>
    <cellStyle name="Note 9 62" xfId="1800" xr:uid="{9F7F0B08-3516-4A2D-84EA-825BAE5F484F}"/>
    <cellStyle name="Note 9 63" xfId="1801" xr:uid="{22897C3D-CA83-4FF1-8DFB-222E2F3FF426}"/>
    <cellStyle name="Note 9 64" xfId="1802" xr:uid="{4EFE7961-7D5D-4B8A-9B94-C47DE40E34AF}"/>
    <cellStyle name="Note 9 65" xfId="1803" xr:uid="{1168BF22-B53A-49BB-9FAD-09FD1A8D8E38}"/>
    <cellStyle name="Note 9 7" xfId="1804" xr:uid="{417A0BE6-3076-4A4F-B4A1-A20CB1CEF0B4}"/>
    <cellStyle name="Note 9 8" xfId="1805" xr:uid="{C708C641-21BC-4A9E-A772-5CABF86042CB}"/>
    <cellStyle name="Note 9 9" xfId="1806" xr:uid="{E3A12006-1762-4BF2-9C7B-D1ACE6BAD437}"/>
    <cellStyle name="Percent" xfId="1" builtinId="5"/>
    <cellStyle name="prozent+" xfId="1807" xr:uid="{57F17F57-D953-465B-856F-1BE728541B81}"/>
    <cellStyle name="Prüfung" xfId="1808" xr:uid="{29FEC6FD-C48D-4C9F-9B77-CC6C18229E3A}"/>
    <cellStyle name="Prüfung 10" xfId="1809" xr:uid="{FB672AFC-B224-4E2C-9336-677568EE6671}"/>
    <cellStyle name="Prüfung 11" xfId="1810" xr:uid="{8837F260-B6B6-4B77-A14C-BACFCB4230AB}"/>
    <cellStyle name="Prüfung 12" xfId="1811" xr:uid="{F23B784A-8457-4BFD-A439-24EF255A6DC8}"/>
    <cellStyle name="Prüfung 13" xfId="1812" xr:uid="{762E54C0-B29A-45BC-8C48-8E508E6B5CBF}"/>
    <cellStyle name="Prüfung 14" xfId="1813" xr:uid="{C9FD3D8D-AFFF-4BEE-9939-82D0842493CE}"/>
    <cellStyle name="Prüfung 2" xfId="1814" xr:uid="{48413B5E-DBD8-4E59-90E6-1B6799BF61E6}"/>
    <cellStyle name="Prüfung 3" xfId="1815" xr:uid="{2654833C-AED3-49ED-B10D-58885BA85EB4}"/>
    <cellStyle name="Prüfung 4" xfId="1816" xr:uid="{00D250C8-42C1-45E8-8921-5C84BDA70DC1}"/>
    <cellStyle name="Prüfung 5" xfId="1817" xr:uid="{E44FEF5A-2C1C-4962-9B65-621B5E233466}"/>
    <cellStyle name="Prüfung 6" xfId="1818" xr:uid="{5F06EE01-D806-4DFF-9C58-C1BD4EC81D99}"/>
    <cellStyle name="Prüfung 7" xfId="1819" xr:uid="{69F7D6E2-0F4F-4DDD-B317-D92E3862F099}"/>
    <cellStyle name="Prüfung 8" xfId="1820" xr:uid="{7F42F7CF-4984-4C5D-BB0A-331F2CE3FE36}"/>
    <cellStyle name="Prüfung 9" xfId="1821" xr:uid="{19361694-0B23-4ADC-A2A1-1CD0D7B603B9}"/>
    <cellStyle name="Prüfung_100114_ReCiPe_endpoint_orginalversion-Sander" xfId="1822" xr:uid="{3454F2CE-0EE8-4F1A-9C7D-285B17035920}"/>
    <cellStyle name="Standard_03_EI'99-v1.1" xfId="1823" xr:uid="{78A677E2-BA9A-4226-B5B3-273D4051D934}"/>
    <cellStyle name="text" xfId="1824" xr:uid="{D599F10C-EFB7-4E3C-8BDC-ECA3F72C2F2F}"/>
    <cellStyle name="text 2" xfId="1825" xr:uid="{09A2DE41-D785-4E9D-8762-7C8F2C4D5D25}"/>
    <cellStyle name="text 3" xfId="1826" xr:uid="{9A3C7F3B-C2E6-4359-99A4-036A0665297A}"/>
    <cellStyle name="text_CED-XML-v0.6" xfId="1827" xr:uid="{2DA77241-2A45-4040-A380-3B7EB9D7B873}"/>
    <cellStyle name="Text-Manual" xfId="1828" xr:uid="{1E39079E-4A68-4860-9447-3BE3D1CB56D3}"/>
    <cellStyle name="unit" xfId="1829" xr:uid="{9B5B5EC1-C8BE-4C3A-A3F4-DFE41031385D}"/>
    <cellStyle name="Wasser" xfId="1830" xr:uid="{9FE65077-8866-408C-ABBF-50510343DE6B}"/>
    <cellStyle name="Wasseremission" xfId="1831" xr:uid="{F46D1B81-9EBF-4D3D-9509-8E06D62D7193}"/>
    <cellStyle name="wissenschaft" xfId="1832" xr:uid="{4559D2C9-0CF9-427B-87F8-D221DC57A3C1}"/>
    <cellStyle name="wissenschaft+" xfId="1833" xr:uid="{57D1C6E6-97C6-4144-BDD5-EA1D123416FE}"/>
    <cellStyle name="wissenschaft-Eingabe" xfId="1834" xr:uid="{FE1FD548-CB10-4E33-9B8B-91C8FD257B79}"/>
    <cellStyle name="wissenschaft-Eingabe 2" xfId="1835" xr:uid="{F363EA4B-557F-4623-8203-668445CCEFF1}"/>
    <cellStyle name="wissenschaft-Eingabe_100211_Usetox_v0.5" xfId="1836" xr:uid="{5A5FA5B4-F3C1-4893-A828-F1401CBD6E73}"/>
    <cellStyle name="zkh" xfId="1837" xr:uid="{A140025A-F489-46C2-8E54-BA74109689A1}"/>
  </cellStyles>
  <dxfs count="27">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CB-463D-97B2-5A9EA8ED0E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CB-463D-97B2-5A9EA8ED0E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CB-463D-97B2-5A9EA8ED0E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CB-463D-97B2-5A9EA8ED0E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CB-463D-97B2-5A9EA8ED0E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7CB-463D-97B2-5A9EA8ED0E0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7CB-463D-97B2-5A9EA8ED0E0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7CB-463D-97B2-5A9EA8ED0E0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7CB-463D-97B2-5A9EA8ED0E0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7CB-463D-97B2-5A9EA8ED0E0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7CB-463D-97B2-5A9EA8ED0E0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7CB-463D-97B2-5A9EA8ED0E00}"/>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'Parameter Inputs'!$Z$1532:$Z$1543</c:f>
              <c:numCache>
                <c:formatCode>General</c:formatCode>
                <c:ptCount val="12"/>
              </c:numCache>
            </c:numRef>
          </c:cat>
          <c:val>
            <c:numRef>
              <c:f>'Parameter Inputs'!$AB$1532:$AB$1543</c:f>
              <c:numCache>
                <c:formatCode>0%</c:formatCode>
                <c:ptCount val="12"/>
              </c:numCache>
            </c:numRef>
          </c:val>
          <c:extLst>
            <c:ext xmlns:c16="http://schemas.microsoft.com/office/drawing/2014/chart" uri="{C3380CC4-5D6E-409C-BE32-E72D297353CC}">
              <c16:uniqueId val="{00000000-0100-4533-8207-F2C8B7988020}"/>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'Parameter Inputs'!$AO$849</c:f>
              <c:strCache>
                <c:ptCount val="1"/>
              </c:strCache>
            </c:strRef>
          </c:tx>
          <c:spPr>
            <a:solidFill>
              <a:schemeClr val="accent1"/>
            </a:solidFill>
            <a:ln>
              <a:noFill/>
            </a:ln>
            <a:effectLst/>
          </c:spPr>
          <c:invertIfNegative val="0"/>
          <c:val>
            <c:numRef>
              <c:f>'Parameter Inputs'!$AP$849:$AX$849</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0-6304-4827-92E8-441FBC5E384F}"/>
            </c:ext>
          </c:extLst>
        </c:ser>
        <c:ser>
          <c:idx val="1"/>
          <c:order val="1"/>
          <c:tx>
            <c:strRef>
              <c:f>'Parameter Inputs'!$AO$850</c:f>
              <c:strCache>
                <c:ptCount val="1"/>
              </c:strCache>
            </c:strRef>
          </c:tx>
          <c:spPr>
            <a:solidFill>
              <a:schemeClr val="accent2"/>
            </a:solidFill>
            <a:ln>
              <a:noFill/>
            </a:ln>
            <a:effectLst/>
          </c:spPr>
          <c:invertIfNegative val="0"/>
          <c:val>
            <c:numRef>
              <c:f>'Parameter Inputs'!$AP$850:$AX$850</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1-6304-4827-92E8-441FBC5E384F}"/>
            </c:ext>
          </c:extLst>
        </c:ser>
        <c:ser>
          <c:idx val="2"/>
          <c:order val="2"/>
          <c:tx>
            <c:strRef>
              <c:f>'Parameter Inputs'!$AO$851</c:f>
              <c:strCache>
                <c:ptCount val="1"/>
              </c:strCache>
            </c:strRef>
          </c:tx>
          <c:spPr>
            <a:solidFill>
              <a:schemeClr val="accent3"/>
            </a:solidFill>
            <a:ln>
              <a:noFill/>
            </a:ln>
            <a:effectLst/>
          </c:spPr>
          <c:invertIfNegative val="0"/>
          <c:val>
            <c:numRef>
              <c:f>'Parameter Inputs'!$AP$851:$AX$851</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2-6304-4827-92E8-441FBC5E384F}"/>
            </c:ext>
          </c:extLst>
        </c:ser>
        <c:ser>
          <c:idx val="3"/>
          <c:order val="3"/>
          <c:tx>
            <c:strRef>
              <c:f>'Parameter Inputs'!$AO$852</c:f>
              <c:strCache>
                <c:ptCount val="1"/>
              </c:strCache>
            </c:strRef>
          </c:tx>
          <c:spPr>
            <a:solidFill>
              <a:schemeClr val="accent4"/>
            </a:solidFill>
            <a:ln>
              <a:noFill/>
            </a:ln>
            <a:effectLst/>
          </c:spPr>
          <c:invertIfNegative val="0"/>
          <c:val>
            <c:numRef>
              <c:f>'Parameter Inputs'!$AP$852:$AX$852</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3-6304-4827-92E8-441FBC5E384F}"/>
            </c:ext>
          </c:extLst>
        </c:ser>
        <c:ser>
          <c:idx val="4"/>
          <c:order val="4"/>
          <c:tx>
            <c:strRef>
              <c:f>'Parameter Inputs'!$AO$853</c:f>
              <c:strCache>
                <c:ptCount val="1"/>
              </c:strCache>
            </c:strRef>
          </c:tx>
          <c:spPr>
            <a:solidFill>
              <a:schemeClr val="accent5"/>
            </a:solidFill>
            <a:ln>
              <a:noFill/>
            </a:ln>
            <a:effectLst/>
          </c:spPr>
          <c:invertIfNegative val="0"/>
          <c:val>
            <c:numRef>
              <c:f>'Parameter Inputs'!$AP$853:$AX$853</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4-6304-4827-92E8-441FBC5E384F}"/>
            </c:ext>
          </c:extLst>
        </c:ser>
        <c:ser>
          <c:idx val="5"/>
          <c:order val="5"/>
          <c:tx>
            <c:strRef>
              <c:f>'Parameter Inputs'!$AO$854</c:f>
              <c:strCache>
                <c:ptCount val="1"/>
              </c:strCache>
            </c:strRef>
          </c:tx>
          <c:spPr>
            <a:solidFill>
              <a:schemeClr val="accent6"/>
            </a:solidFill>
            <a:ln>
              <a:noFill/>
            </a:ln>
            <a:effectLst/>
          </c:spPr>
          <c:invertIfNegative val="0"/>
          <c:val>
            <c:numRef>
              <c:f>'Parameter Inputs'!$AP$854:$AX$854</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5-6304-4827-92E8-441FBC5E384F}"/>
            </c:ext>
          </c:extLst>
        </c:ser>
        <c:ser>
          <c:idx val="6"/>
          <c:order val="6"/>
          <c:tx>
            <c:strRef>
              <c:f>'Parameter Inputs'!$AO$855</c:f>
              <c:strCache>
                <c:ptCount val="1"/>
              </c:strCache>
            </c:strRef>
          </c:tx>
          <c:spPr>
            <a:solidFill>
              <a:schemeClr val="accent1">
                <a:lumMod val="60000"/>
              </a:schemeClr>
            </a:solidFill>
            <a:ln>
              <a:noFill/>
            </a:ln>
            <a:effectLst/>
          </c:spPr>
          <c:invertIfNegative val="0"/>
          <c:val>
            <c:numRef>
              <c:f>'Parameter Inputs'!$AP$855:$AX$855</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6-6304-4827-92E8-441FBC5E384F}"/>
            </c:ext>
          </c:extLst>
        </c:ser>
        <c:ser>
          <c:idx val="7"/>
          <c:order val="7"/>
          <c:tx>
            <c:strRef>
              <c:f>'Parameter Inputs'!$AO$857</c:f>
              <c:strCache>
                <c:ptCount val="1"/>
              </c:strCache>
            </c:strRef>
          </c:tx>
          <c:spPr>
            <a:solidFill>
              <a:schemeClr val="accent2">
                <a:lumMod val="60000"/>
              </a:schemeClr>
            </a:solidFill>
            <a:ln>
              <a:noFill/>
            </a:ln>
            <a:effectLst/>
          </c:spPr>
          <c:invertIfNegative val="0"/>
          <c:val>
            <c:numRef>
              <c:f>'Parameter Inputs'!$AP$857:$AX$857</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7-6304-4827-92E8-441FBC5E384F}"/>
            </c:ext>
          </c:extLst>
        </c:ser>
        <c:ser>
          <c:idx val="8"/>
          <c:order val="8"/>
          <c:tx>
            <c:strRef>
              <c:f>'Parameter Inputs'!$AO$858</c:f>
              <c:strCache>
                <c:ptCount val="1"/>
              </c:strCache>
            </c:strRef>
          </c:tx>
          <c:spPr>
            <a:solidFill>
              <a:schemeClr val="accent3">
                <a:lumMod val="60000"/>
              </a:schemeClr>
            </a:solidFill>
            <a:ln>
              <a:noFill/>
            </a:ln>
            <a:effectLst/>
          </c:spPr>
          <c:invertIfNegative val="0"/>
          <c:val>
            <c:numRef>
              <c:f>'Parameter Inputs'!$AP$858:$AX$858</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8-6304-4827-92E8-441FBC5E384F}"/>
            </c:ext>
          </c:extLst>
        </c:ser>
        <c:ser>
          <c:idx val="9"/>
          <c:order val="9"/>
          <c:tx>
            <c:strRef>
              <c:f>'Parameter Inputs'!$AO$859</c:f>
              <c:strCache>
                <c:ptCount val="1"/>
              </c:strCache>
            </c:strRef>
          </c:tx>
          <c:spPr>
            <a:solidFill>
              <a:schemeClr val="accent4">
                <a:lumMod val="60000"/>
              </a:schemeClr>
            </a:solidFill>
            <a:ln>
              <a:noFill/>
            </a:ln>
            <a:effectLst/>
          </c:spPr>
          <c:invertIfNegative val="0"/>
          <c:val>
            <c:numRef>
              <c:f>'Parameter Inputs'!$AP$859:$AX$859</c:f>
              <c:numCache>
                <c:formatCode>0.00000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9-6304-4827-92E8-441FBC5E384F}"/>
            </c:ext>
          </c:extLst>
        </c:ser>
        <c:ser>
          <c:idx val="10"/>
          <c:order val="10"/>
          <c:tx>
            <c:strRef>
              <c:f>'Parameter Inputs'!$AO$860</c:f>
              <c:strCache>
                <c:ptCount val="1"/>
              </c:strCache>
            </c:strRef>
          </c:tx>
          <c:spPr>
            <a:solidFill>
              <a:schemeClr val="accent5">
                <a:lumMod val="60000"/>
              </a:schemeClr>
            </a:solidFill>
            <a:ln>
              <a:noFill/>
            </a:ln>
            <a:effectLst/>
          </c:spPr>
          <c:invertIfNegative val="0"/>
          <c:val>
            <c:numRef>
              <c:f>'Parameter Inputs'!$AP$860:$AX$860</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A-6304-4827-92E8-441FBC5E384F}"/>
            </c:ext>
          </c:extLst>
        </c:ser>
        <c:ser>
          <c:idx val="11"/>
          <c:order val="11"/>
          <c:tx>
            <c:strRef>
              <c:f>'1. Sludge Resource User Inputs'!#REF!</c:f>
              <c:strCache>
                <c:ptCount val="1"/>
                <c:pt idx="0">
                  <c:v>#REF!</c:v>
                </c:pt>
              </c:strCache>
            </c:strRef>
          </c:tx>
          <c:spPr>
            <a:solidFill>
              <a:schemeClr val="accent6">
                <a:lumMod val="60000"/>
              </a:schemeClr>
            </a:solidFill>
            <a:ln>
              <a:noFill/>
            </a:ln>
            <a:effectLst/>
          </c:spPr>
          <c:invertIfNegative val="0"/>
          <c:val>
            <c:numRef>
              <c:f>'1. Sludge Resource User Inputs'!#REF!</c:f>
              <c:numCache>
                <c:formatCode>General</c:formatCode>
                <c:ptCount val="1"/>
                <c:pt idx="0">
                  <c:v>1</c:v>
                </c:pt>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B-6304-4827-92E8-441FBC5E384F}"/>
            </c:ext>
          </c:extLst>
        </c:ser>
        <c:dLbls>
          <c:showLegendKey val="0"/>
          <c:showVal val="0"/>
          <c:showCatName val="0"/>
          <c:showSerName val="0"/>
          <c:showPercent val="0"/>
          <c:showBubbleSize val="0"/>
        </c:dLbls>
        <c:gapWidth val="150"/>
        <c:overlap val="100"/>
        <c:axId val="1862789375"/>
        <c:axId val="1862790335"/>
      </c:barChart>
      <c:catAx>
        <c:axId val="1862789375"/>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90335"/>
        <c:crosses val="autoZero"/>
        <c:auto val="1"/>
        <c:lblAlgn val="ctr"/>
        <c:lblOffset val="100"/>
        <c:noMultiLvlLbl val="0"/>
      </c:catAx>
      <c:valAx>
        <c:axId val="186279033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89375"/>
        <c:crosses val="autoZero"/>
        <c:crossBetween val="between"/>
      </c:valAx>
      <c:spPr>
        <a:noFill/>
        <a:ln>
          <a:noFill/>
        </a:ln>
        <a:effectLst/>
      </c:spPr>
    </c:plotArea>
    <c:legend>
      <c:legendPos val="b"/>
      <c:layout>
        <c:manualLayout>
          <c:xMode val="edge"/>
          <c:yMode val="edge"/>
          <c:x val="4.0239335968516664E-2"/>
          <c:y val="0.85732776610277317"/>
          <c:w val="0.91492928249830419"/>
          <c:h val="0.114894390455755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84D-4DE0-8E8A-D05CB7079E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84D-4DE0-8E8A-D05CB7079E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84D-4DE0-8E8A-D05CB7079E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84D-4DE0-8E8A-D05CB7079E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84D-4DE0-8E8A-D05CB7079E2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84D-4DE0-8E8A-D05CB7079E2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84D-4DE0-8E8A-D05CB7079E2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84D-4DE0-8E8A-D05CB7079E2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84D-4DE0-8E8A-D05CB7079E2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84D-4DE0-8E8A-D05CB7079E2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84D-4DE0-8E8A-D05CB7079E2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84D-4DE0-8E8A-D05CB7079E24}"/>
              </c:ext>
            </c:extLst>
          </c:dPt>
          <c:dLbls>
            <c:dLbl>
              <c:idx val="6"/>
              <c:layout>
                <c:manualLayout>
                  <c:x val="-1.6262805358550035E-2"/>
                  <c:y val="-2.0389479905437415E-2"/>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1323916469661151"/>
                      <c:h val="0.11004925137903859"/>
                    </c:manualLayout>
                  </c15:layout>
                </c:ext>
                <c:ext xmlns:c16="http://schemas.microsoft.com/office/drawing/2014/chart" uri="{C3380CC4-5D6E-409C-BE32-E72D297353CC}">
                  <c16:uniqueId val="{0000000D-B84D-4DE0-8E8A-D05CB7079E24}"/>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'Parameter Inputs'!$Z$1532:$Z$1543</c:f>
              <c:numCache>
                <c:formatCode>General</c:formatCode>
                <c:ptCount val="12"/>
              </c:numCache>
            </c:numRef>
          </c:cat>
          <c:val>
            <c:numRef>
              <c:f>'Parameter Inputs'!$AB$1532:$AB$1543</c:f>
              <c:numCache>
                <c:formatCode>0%</c:formatCode>
                <c:ptCount val="12"/>
              </c:numCache>
            </c:numRef>
          </c:val>
          <c:extLst>
            <c:ext xmlns:c16="http://schemas.microsoft.com/office/drawing/2014/chart" uri="{C3380CC4-5D6E-409C-BE32-E72D297353CC}">
              <c16:uniqueId val="{00000018-B84D-4DE0-8E8A-D05CB7079E24}"/>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'Parameter Inputs'!$AO$849</c:f>
              <c:strCache>
                <c:ptCount val="1"/>
              </c:strCache>
            </c:strRef>
          </c:tx>
          <c:spPr>
            <a:pattFill prst="smGrid">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Inputs'!$AP$849:$AX$849</c:f>
              <c:numCache>
                <c:formatCode>General</c:formatCode>
                <c:ptCount val="9"/>
              </c:numCache>
              <c:extLst/>
            </c:numRef>
          </c:val>
          <c:extLst>
            <c:ext xmlns:c16="http://schemas.microsoft.com/office/drawing/2014/chart" uri="{C3380CC4-5D6E-409C-BE32-E72D297353CC}">
              <c16:uniqueId val="{00000000-74BB-43F9-BBF3-C3756ACD3050}"/>
            </c:ext>
          </c:extLst>
        </c:ser>
        <c:ser>
          <c:idx val="1"/>
          <c:order val="1"/>
          <c:tx>
            <c:strRef>
              <c:f>'Parameter Inputs'!$AO$850</c:f>
              <c:strCache>
                <c:ptCount val="1"/>
              </c:strCache>
            </c:strRef>
          </c:tx>
          <c:spPr>
            <a:pattFill prst="wdUp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Inputs'!$AP$850:$AX$850</c:f>
              <c:numCache>
                <c:formatCode>General</c:formatCode>
                <c:ptCount val="9"/>
              </c:numCache>
              <c:extLst/>
            </c:numRef>
          </c:val>
          <c:extLst>
            <c:ext xmlns:c16="http://schemas.microsoft.com/office/drawing/2014/chart" uri="{C3380CC4-5D6E-409C-BE32-E72D297353CC}">
              <c16:uniqueId val="{00000001-74BB-43F9-BBF3-C3756ACD3050}"/>
            </c:ext>
          </c:extLst>
        </c:ser>
        <c:ser>
          <c:idx val="2"/>
          <c:order val="2"/>
          <c:tx>
            <c:strRef>
              <c:f>'Parameter Inputs'!$AO$851</c:f>
              <c:strCache>
                <c:ptCount val="1"/>
              </c:strCache>
            </c:strRef>
          </c:tx>
          <c:spPr>
            <a:pattFill prst="openDmnd">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Inputs'!$AP$851:$AX$851</c:f>
              <c:numCache>
                <c:formatCode>General</c:formatCode>
                <c:ptCount val="9"/>
              </c:numCache>
              <c:extLst/>
            </c:numRef>
          </c:val>
          <c:extLst>
            <c:ext xmlns:c16="http://schemas.microsoft.com/office/drawing/2014/chart" uri="{C3380CC4-5D6E-409C-BE32-E72D297353CC}">
              <c16:uniqueId val="{00000002-74BB-43F9-BBF3-C3756ACD3050}"/>
            </c:ext>
          </c:extLst>
        </c:ser>
        <c:ser>
          <c:idx val="3"/>
          <c:order val="3"/>
          <c:tx>
            <c:strRef>
              <c:f>'Parameter Inputs'!$AO$852</c:f>
              <c:strCache>
                <c:ptCount val="1"/>
              </c:strCache>
            </c:strRef>
          </c:tx>
          <c:spPr>
            <a:pattFill prst="dkDn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Inputs'!$AP$852:$AX$852</c:f>
              <c:numCache>
                <c:formatCode>General</c:formatCode>
                <c:ptCount val="9"/>
              </c:numCache>
              <c:extLst/>
            </c:numRef>
          </c:val>
          <c:extLst>
            <c:ext xmlns:c16="http://schemas.microsoft.com/office/drawing/2014/chart" uri="{C3380CC4-5D6E-409C-BE32-E72D297353CC}">
              <c16:uniqueId val="{00000003-74BB-43F9-BBF3-C3756ACD3050}"/>
            </c:ext>
          </c:extLst>
        </c:ser>
        <c:ser>
          <c:idx val="4"/>
          <c:order val="4"/>
          <c:tx>
            <c:strRef>
              <c:f>'Parameter Inputs'!$AO$853</c:f>
              <c:strCache>
                <c:ptCount val="1"/>
              </c:strCache>
            </c:strRef>
          </c:tx>
          <c:spPr>
            <a:pattFill prst="ltVert">
              <a:fgClr>
                <a:schemeClr val="tx1"/>
              </a:fgClr>
              <a:bgClr>
                <a:schemeClr val="bg1"/>
              </a:bgClr>
            </a:pattFill>
            <a:ln>
              <a:noFill/>
            </a:ln>
            <a:effectLst/>
          </c:spPr>
          <c:invertIfNegative val="0"/>
          <c:cat>
            <c:numRef>
              <c:f>'Parameter Inputs'!$AP$848:$AX$848</c:f>
              <c:numCache>
                <c:formatCode>General</c:formatCode>
                <c:ptCount val="9"/>
              </c:numCache>
            </c:numRef>
          </c:cat>
          <c:val>
            <c:numRef>
              <c:f>'Parameter Inputs'!$AP$853:$AX$853</c:f>
              <c:numCache>
                <c:formatCode>General</c:formatCode>
                <c:ptCount val="9"/>
              </c:numCache>
              <c:extLst/>
            </c:numRef>
          </c:val>
          <c:extLst>
            <c:ext xmlns:c16="http://schemas.microsoft.com/office/drawing/2014/chart" uri="{C3380CC4-5D6E-409C-BE32-E72D297353CC}">
              <c16:uniqueId val="{00000004-74BB-43F9-BBF3-C3756ACD3050}"/>
            </c:ext>
          </c:extLst>
        </c:ser>
        <c:ser>
          <c:idx val="5"/>
          <c:order val="5"/>
          <c:tx>
            <c:strRef>
              <c:f>'Parameter Inputs'!$AO$854</c:f>
              <c:strCache>
                <c:ptCount val="1"/>
              </c:strCache>
            </c:strRef>
          </c:tx>
          <c:spPr>
            <a:pattFill prst="horzBrick">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Inputs'!$AP$854:$AX$854</c:f>
              <c:numCache>
                <c:formatCode>0.00</c:formatCode>
                <c:ptCount val="9"/>
              </c:numCache>
              <c:extLst/>
            </c:numRef>
          </c:val>
          <c:extLst>
            <c:ext xmlns:c16="http://schemas.microsoft.com/office/drawing/2014/chart" uri="{C3380CC4-5D6E-409C-BE32-E72D297353CC}">
              <c16:uniqueId val="{00000005-74BB-43F9-BBF3-C3756ACD3050}"/>
            </c:ext>
          </c:extLst>
        </c:ser>
        <c:ser>
          <c:idx val="6"/>
          <c:order val="6"/>
          <c:tx>
            <c:strRef>
              <c:f>'Parameter Inputs'!$AO$855</c:f>
              <c:strCache>
                <c:ptCount val="1"/>
              </c:strCache>
            </c:strRef>
          </c:tx>
          <c:spPr>
            <a:pattFill prst="dashVert">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Inputs'!$AP$855:$AX$855</c:f>
              <c:numCache>
                <c:formatCode>General</c:formatCode>
                <c:ptCount val="9"/>
              </c:numCache>
              <c:extLst/>
            </c:numRef>
          </c:val>
          <c:extLst>
            <c:ext xmlns:c16="http://schemas.microsoft.com/office/drawing/2014/chart" uri="{C3380CC4-5D6E-409C-BE32-E72D297353CC}">
              <c16:uniqueId val="{00000006-74BB-43F9-BBF3-C3756ACD3050}"/>
            </c:ext>
          </c:extLst>
        </c:ser>
        <c:ser>
          <c:idx val="7"/>
          <c:order val="7"/>
          <c:tx>
            <c:strRef>
              <c:f>'Parameter Inputs'!$AO$857</c:f>
              <c:strCache>
                <c:ptCount val="1"/>
              </c:strCache>
            </c:strRef>
          </c:tx>
          <c:spPr>
            <a:pattFill prst="pct5">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Inputs'!$AP$857:$AX$857</c:f>
              <c:numCache>
                <c:formatCode>General</c:formatCode>
                <c:ptCount val="9"/>
              </c:numCache>
              <c:extLst/>
            </c:numRef>
          </c:val>
          <c:extLst>
            <c:ext xmlns:c16="http://schemas.microsoft.com/office/drawing/2014/chart" uri="{C3380CC4-5D6E-409C-BE32-E72D297353CC}">
              <c16:uniqueId val="{00000007-74BB-43F9-BBF3-C3756ACD3050}"/>
            </c:ext>
          </c:extLst>
        </c:ser>
        <c:ser>
          <c:idx val="8"/>
          <c:order val="8"/>
          <c:tx>
            <c:strRef>
              <c:f>'Parameter Inputs'!$AO$858</c:f>
              <c:strCache>
                <c:ptCount val="1"/>
              </c:strCache>
            </c:strRef>
          </c:tx>
          <c:spPr>
            <a:pattFill prst="wdDn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Inputs'!$AP$858:$AX$858</c:f>
              <c:numCache>
                <c:formatCode>0.00</c:formatCode>
                <c:ptCount val="9"/>
              </c:numCache>
              <c:extLst/>
            </c:numRef>
          </c:val>
          <c:extLst>
            <c:ext xmlns:c16="http://schemas.microsoft.com/office/drawing/2014/chart" uri="{C3380CC4-5D6E-409C-BE32-E72D297353CC}">
              <c16:uniqueId val="{00000008-74BB-43F9-BBF3-C3756ACD3050}"/>
            </c:ext>
          </c:extLst>
        </c:ser>
        <c:ser>
          <c:idx val="9"/>
          <c:order val="9"/>
          <c:tx>
            <c:strRef>
              <c:f>'Parameter Inputs'!$AO$859</c:f>
              <c:strCache>
                <c:ptCount val="1"/>
              </c:strCache>
            </c:strRef>
          </c:tx>
          <c:spPr>
            <a:pattFill prst="narHorz">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Inputs'!$AP$859:$AX$859</c:f>
              <c:numCache>
                <c:formatCode>0.00000</c:formatCode>
                <c:ptCount val="9"/>
              </c:numCache>
              <c:extLst/>
            </c:numRef>
          </c:val>
          <c:extLst>
            <c:ext xmlns:c16="http://schemas.microsoft.com/office/drawing/2014/chart" uri="{C3380CC4-5D6E-409C-BE32-E72D297353CC}">
              <c16:uniqueId val="{00000009-74BB-43F9-BBF3-C3756ACD3050}"/>
            </c:ext>
          </c:extLst>
        </c:ser>
        <c:ser>
          <c:idx val="10"/>
          <c:order val="10"/>
          <c:tx>
            <c:strRef>
              <c:f>'Parameter Inputs'!$AO$860</c:f>
              <c:strCache>
                <c:ptCount val="1"/>
              </c:strCache>
            </c:strRef>
          </c:tx>
          <c:spPr>
            <a:pattFill prst="zigZ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Inputs'!$AP$860:$AX$860</c:f>
              <c:numCache>
                <c:formatCode>0.00</c:formatCode>
                <c:ptCount val="9"/>
              </c:numCache>
              <c:extLst/>
            </c:numRef>
          </c:val>
          <c:extLst>
            <c:ext xmlns:c16="http://schemas.microsoft.com/office/drawing/2014/chart" uri="{C3380CC4-5D6E-409C-BE32-E72D297353CC}">
              <c16:uniqueId val="{0000000A-74BB-43F9-BBF3-C3756ACD3050}"/>
            </c:ext>
          </c:extLst>
        </c:ser>
        <c:ser>
          <c:idx val="11"/>
          <c:order val="11"/>
          <c:tx>
            <c:strRef>
              <c:f>'1. Sludge Resource User Inputs'!#REF!</c:f>
              <c:strCache>
                <c:ptCount val="1"/>
                <c:pt idx="0">
                  <c:v>#REF!</c:v>
                </c:pt>
              </c:strCache>
            </c:strRef>
          </c:tx>
          <c:spPr>
            <a:solidFill>
              <a:schemeClr val="accent6">
                <a:lumMod val="60000"/>
              </a:schemeClr>
            </a:solidFill>
            <a:ln>
              <a:noFill/>
            </a:ln>
            <a:effectLst/>
          </c:spPr>
          <c:invertIfNegative val="0"/>
          <c:cat>
            <c:numRef>
              <c:f>'Parameter Inputs'!$AP$848:$AX$848</c:f>
              <c:numCache>
                <c:formatCode>General</c:formatCode>
                <c:ptCount val="9"/>
              </c:numCache>
            </c:numRef>
          </c:cat>
          <c:val>
            <c:numRef>
              <c:f>'1. Sludge Resource User Inputs'!#REF!</c:f>
              <c:numCache>
                <c:formatCode>General</c:formatCode>
                <c:ptCount val="1"/>
                <c:pt idx="0">
                  <c:v>1</c:v>
                </c:pt>
              </c:numCache>
              <c:extLst/>
            </c:numRef>
          </c:val>
          <c:extLst>
            <c:ext xmlns:c16="http://schemas.microsoft.com/office/drawing/2014/chart" uri="{C3380CC4-5D6E-409C-BE32-E72D297353CC}">
              <c16:uniqueId val="{0000000B-74BB-43F9-BBF3-C3756ACD3050}"/>
            </c:ext>
          </c:extLst>
        </c:ser>
        <c:dLbls>
          <c:showLegendKey val="0"/>
          <c:showVal val="0"/>
          <c:showCatName val="0"/>
          <c:showSerName val="0"/>
          <c:showPercent val="0"/>
          <c:showBubbleSize val="0"/>
        </c:dLbls>
        <c:gapWidth val="150"/>
        <c:overlap val="100"/>
        <c:axId val="1862789375"/>
        <c:axId val="1862790335"/>
      </c:barChart>
      <c:catAx>
        <c:axId val="1862789375"/>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90335"/>
        <c:crosses val="autoZero"/>
        <c:auto val="1"/>
        <c:lblAlgn val="ctr"/>
        <c:lblOffset val="100"/>
        <c:noMultiLvlLbl val="0"/>
      </c:catAx>
      <c:valAx>
        <c:axId val="186279033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89375"/>
        <c:crosses val="autoZero"/>
        <c:crossBetween val="between"/>
      </c:valAx>
      <c:spPr>
        <a:noFill/>
        <a:ln>
          <a:noFill/>
        </a:ln>
        <a:effectLst/>
      </c:spPr>
    </c:plotArea>
    <c:legend>
      <c:legendPos val="b"/>
      <c:layout>
        <c:manualLayout>
          <c:xMode val="edge"/>
          <c:yMode val="edge"/>
          <c:x val="4.0239335968516664E-2"/>
          <c:y val="0.85732776610277317"/>
          <c:w val="0.91492928249830419"/>
          <c:h val="0.114894390455755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C5-4AB2-B2B3-3CC9520583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C5-4AB2-B2B3-3CC9520583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C5-4AB2-B2B3-3CC9520583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C5-4AB2-B2B3-3CC9520583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6C5-4AB2-B2B3-3CC9520583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6C5-4AB2-B2B3-3CC95205834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6C5-4AB2-B2B3-3CC95205834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6C5-4AB2-B2B3-3CC95205834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6C5-4AB2-B2B3-3CC95205834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6C5-4AB2-B2B3-3CC95205834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6C5-4AB2-B2B3-3CC95205834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6C5-4AB2-B2B3-3CC95205834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6C5-4AB2-B2B3-3CC95205834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6C5-4AB2-B2B3-3CC95205834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6C5-4AB2-B2B3-3CC95205834E}"/>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6C5-4AB2-B2B3-3CC95205834E}"/>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6C5-4AB2-B2B3-3CC95205834E}"/>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6C5-4AB2-B2B3-3CC95205834E}"/>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6C5-4AB2-B2B3-3CC9520583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Production Costs'!$D$6:$D$24</c:f>
              <c:strCache>
                <c:ptCount val="19"/>
                <c:pt idx="0">
                  <c:v>Fermentation reactor</c:v>
                </c:pt>
                <c:pt idx="1">
                  <c:v>Centrifuge 1</c:v>
                </c:pt>
                <c:pt idx="2">
                  <c:v>selection Reactor</c:v>
                </c:pt>
                <c:pt idx="3">
                  <c:v>Accumulation Reactor</c:v>
                </c:pt>
                <c:pt idx="4">
                  <c:v>Centrifuge 2</c:v>
                </c:pt>
                <c:pt idx="5">
                  <c:v>Dryer</c:v>
                </c:pt>
                <c:pt idx="6">
                  <c:v>Extraction reactor</c:v>
                </c:pt>
                <c:pt idx="7">
                  <c:v>Centrifuge 3</c:v>
                </c:pt>
                <c:pt idx="8">
                  <c:v>Evaporator 1 (DMC-PHA)</c:v>
                </c:pt>
                <c:pt idx="9">
                  <c:v>Evaporator 2 (DMC-Biomass)</c:v>
                </c:pt>
                <c:pt idx="10">
                  <c:v>Compounder</c:v>
                </c:pt>
                <c:pt idx="11">
                  <c:v>Total Capex</c:v>
                </c:pt>
                <c:pt idx="12">
                  <c:v>Piping</c:v>
                </c:pt>
                <c:pt idx="13">
                  <c:v>Instrumentation/Electrical</c:v>
                </c:pt>
                <c:pt idx="14">
                  <c:v>Engineering Cost</c:v>
                </c:pt>
                <c:pt idx="15">
                  <c:v>Civil Works</c:v>
                </c:pt>
                <c:pt idx="16">
                  <c:v>Start Up</c:v>
                </c:pt>
                <c:pt idx="17">
                  <c:v>Total Investment</c:v>
                </c:pt>
                <c:pt idx="18">
                  <c:v>Insurance</c:v>
                </c:pt>
              </c:strCache>
            </c:strRef>
          </c:cat>
          <c:val>
            <c:numRef>
              <c:f>'Results. Production Costs'!$E$6:$E$24</c:f>
              <c:numCache>
                <c:formatCode>"€"#,##0.00</c:formatCode>
                <c:ptCount val="19"/>
                <c:pt idx="0">
                  <c:v>390343.99885046342</c:v>
                </c:pt>
                <c:pt idx="1">
                  <c:v>1153399.7046545669</c:v>
                </c:pt>
                <c:pt idx="2">
                  <c:v>2183863.4165731492</c:v>
                </c:pt>
                <c:pt idx="3">
                  <c:v>2582719.8447433985</c:v>
                </c:pt>
                <c:pt idx="4">
                  <c:v>967675.91162787378</c:v>
                </c:pt>
                <c:pt idx="5">
                  <c:v>479952.17309669207</c:v>
                </c:pt>
                <c:pt idx="6">
                  <c:v>33349.194871277083</c:v>
                </c:pt>
                <c:pt idx="7">
                  <c:v>211606.46920139904</c:v>
                </c:pt>
                <c:pt idx="8">
                  <c:v>869840.28</c:v>
                </c:pt>
                <c:pt idx="9">
                  <c:v>434920.14</c:v>
                </c:pt>
                <c:pt idx="10">
                  <c:v>357655.13295486971</c:v>
                </c:pt>
                <c:pt idx="11">
                  <c:v>8872750.9936188199</c:v>
                </c:pt>
                <c:pt idx="12">
                  <c:v>1330912.6490428229</c:v>
                </c:pt>
                <c:pt idx="13">
                  <c:v>2218187.748404705</c:v>
                </c:pt>
                <c:pt idx="14">
                  <c:v>887275.09936188208</c:v>
                </c:pt>
                <c:pt idx="15">
                  <c:v>3016735.3378303992</c:v>
                </c:pt>
                <c:pt idx="16">
                  <c:v>1064730.1192342583</c:v>
                </c:pt>
                <c:pt idx="17">
                  <c:v>9937481.1128530782</c:v>
                </c:pt>
                <c:pt idx="18">
                  <c:v>49687.405564265391</c:v>
                </c:pt>
              </c:numCache>
            </c:numRef>
          </c:val>
          <c:extLst>
            <c:ext xmlns:c16="http://schemas.microsoft.com/office/drawing/2014/chart" uri="{C3380CC4-5D6E-409C-BE32-E72D297353CC}">
              <c16:uniqueId val="{00000000-EFB5-42D9-8006-EB46182E449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EE-4C09-A561-7D13726E39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EE-4C09-A561-7D13726E39F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EE-4C09-A561-7D13726E39F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EE-4C09-A561-7D13726E39F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EE-4C09-A561-7D13726E39F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EE-4C09-A561-7D13726E39F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EE-4C09-A561-7D13726E39F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EE-4C09-A561-7D13726E39F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2EE-4C09-A561-7D13726E39F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2EE-4C09-A561-7D13726E39F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2EE-4C09-A561-7D13726E39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Production Costs'!$G$6:$G$16</c:f>
              <c:strCache>
                <c:ptCount val="11"/>
                <c:pt idx="0">
                  <c:v>Electricity </c:v>
                </c:pt>
                <c:pt idx="1">
                  <c:v>Natural Gas</c:v>
                </c:pt>
                <c:pt idx="2">
                  <c:v>Process Water Annual Charge</c:v>
                </c:pt>
                <c:pt idx="3">
                  <c:v>Process Water Charge </c:v>
                </c:pt>
                <c:pt idx="4">
                  <c:v>Acetate</c:v>
                </c:pt>
                <c:pt idx="5">
                  <c:v>NH4Cl</c:v>
                </c:pt>
                <c:pt idx="6">
                  <c:v>KH2PO4</c:v>
                </c:pt>
                <c:pt idx="7">
                  <c:v>DMC</c:v>
                </c:pt>
                <c:pt idx="8">
                  <c:v>Infrastructure</c:v>
                </c:pt>
                <c:pt idx="9">
                  <c:v>Labour</c:v>
                </c:pt>
                <c:pt idx="10">
                  <c:v>Maintenance</c:v>
                </c:pt>
              </c:strCache>
            </c:strRef>
          </c:cat>
          <c:val>
            <c:numRef>
              <c:f>'Results. Production Costs'!$I$6:$I$16</c:f>
              <c:numCache>
                <c:formatCode>0.00</c:formatCode>
                <c:ptCount val="11"/>
                <c:pt idx="0">
                  <c:v>2.4073181505590999</c:v>
                </c:pt>
                <c:pt idx="1">
                  <c:v>0.18023482959533305</c:v>
                </c:pt>
                <c:pt idx="2">
                  <c:v>2.7092032642381985E-3</c:v>
                </c:pt>
                <c:pt idx="3">
                  <c:v>9.3982150144675203E-2</c:v>
                </c:pt>
                <c:pt idx="4">
                  <c:v>0</c:v>
                </c:pt>
                <c:pt idx="5">
                  <c:v>0</c:v>
                </c:pt>
                <c:pt idx="6">
                  <c:v>0</c:v>
                </c:pt>
                <c:pt idx="7">
                  <c:v>0.29219174828652589</c:v>
                </c:pt>
                <c:pt idx="8">
                  <c:v>1.0724036321314492</c:v>
                </c:pt>
                <c:pt idx="9">
                  <c:v>1.666736447175122</c:v>
                </c:pt>
                <c:pt idx="10">
                  <c:v>0.25668278310163295</c:v>
                </c:pt>
              </c:numCache>
            </c:numRef>
          </c:val>
          <c:extLst>
            <c:ext xmlns:c16="http://schemas.microsoft.com/office/drawing/2014/chart" uri="{C3380CC4-5D6E-409C-BE32-E72D297353CC}">
              <c16:uniqueId val="{00000000-1B54-4CDD-B2F5-5015179CFCB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Percentage of Electrical Energy Consumption by Process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'Results. Energy Balance'!$E$5</c:f>
              <c:strCache>
                <c:ptCount val="1"/>
                <c:pt idx="0">
                  <c:v>Annual Electrical Requirement (kWh)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59-49D9-A341-6606E45279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59-49D9-A341-6606E45279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59-49D9-A341-6606E452799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59-49D9-A341-6606E452799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559-49D9-A341-6606E452799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559-49D9-A341-6606E452799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559-49D9-A341-6606E452799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559-49D9-A341-6606E45279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'Results. Energy Balance'!$D$6:$D$20</c15:sqref>
                  </c15:fullRef>
                </c:ext>
              </c:extLst>
              <c:f>'Results. Energy Balance'!$D$6:$D$13</c:f>
              <c:strCache>
                <c:ptCount val="8"/>
                <c:pt idx="0">
                  <c:v>Accumulation</c:v>
                </c:pt>
                <c:pt idx="1">
                  <c:v>Drying</c:v>
                </c:pt>
                <c:pt idx="2">
                  <c:v>Centrifugation </c:v>
                </c:pt>
                <c:pt idx="3">
                  <c:v>Enrichment</c:v>
                </c:pt>
                <c:pt idx="4">
                  <c:v>Centrifugation 2</c:v>
                </c:pt>
                <c:pt idx="5">
                  <c:v>Compounding</c:v>
                </c:pt>
                <c:pt idx="6">
                  <c:v>Acidogenic Fermentation </c:v>
                </c:pt>
                <c:pt idx="7">
                  <c:v>Thermal Hydrolysis and Anaerobic digestion</c:v>
                </c:pt>
              </c:strCache>
            </c:strRef>
          </c:cat>
          <c:val>
            <c:numRef>
              <c:extLst>
                <c:ext xmlns:c15="http://schemas.microsoft.com/office/drawing/2012/chart" uri="{02D57815-91ED-43cb-92C2-25804820EDAC}">
                  <c15:fullRef>
                    <c15:sqref>'Results. Energy Balance'!$F$6:$F$20</c15:sqref>
                  </c15:fullRef>
                </c:ext>
              </c:extLst>
              <c:f>'Results. Energy Balance'!$F$6:$F$13</c:f>
              <c:numCache>
                <c:formatCode>0%</c:formatCode>
                <c:ptCount val="8"/>
                <c:pt idx="0">
                  <c:v>0.37283030170078385</c:v>
                </c:pt>
                <c:pt idx="1">
                  <c:v>0.20917035049944507</c:v>
                </c:pt>
                <c:pt idx="2">
                  <c:v>0.12344460501080336</c:v>
                </c:pt>
                <c:pt idx="3">
                  <c:v>0.12249393846434155</c:v>
                </c:pt>
                <c:pt idx="4">
                  <c:v>0.10050264679794545</c:v>
                </c:pt>
                <c:pt idx="5">
                  <c:v>4.4039027652152153E-2</c:v>
                </c:pt>
                <c:pt idx="6">
                  <c:v>1.3186133328157334E-2</c:v>
                </c:pt>
                <c:pt idx="7">
                  <c:v>9.582669584875747E-3</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0-D559-49D9-A341-6606E45279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Percentage of Thermal Energy Consumption</a:t>
            </a:r>
            <a:r>
              <a:rPr lang="en-US" baseline="0"/>
              <a:t> by Process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'Parameter Inputs'!$J$1388</c:f>
              <c:strCache>
                <c:ptCount val="1"/>
                <c:pt idx="0">
                  <c:v>Percentage of Heating Demand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15-491B-B64B-A15B228752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15-491B-B64B-A15B228752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15-491B-B64B-A15B228752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15-491B-B64B-A15B2287522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15-491B-B64B-A15B228752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Energy Balance'!$D$23:$D$27</c:f>
              <c:strCache>
                <c:ptCount val="5"/>
                <c:pt idx="0">
                  <c:v>Acidogenic Fermentation </c:v>
                </c:pt>
                <c:pt idx="1">
                  <c:v>Extraction</c:v>
                </c:pt>
                <c:pt idx="2">
                  <c:v>Thermal Hydrolysis and Anaerobic digestion</c:v>
                </c:pt>
                <c:pt idx="3">
                  <c:v>Accumulation</c:v>
                </c:pt>
                <c:pt idx="4">
                  <c:v>Enrichment</c:v>
                </c:pt>
              </c:strCache>
            </c:strRef>
          </c:cat>
          <c:val>
            <c:numRef>
              <c:f>'Results. Energy Balance'!$F$23:$F$27</c:f>
              <c:numCache>
                <c:formatCode>0%</c:formatCode>
                <c:ptCount val="5"/>
                <c:pt idx="0">
                  <c:v>0.79068573432839506</c:v>
                </c:pt>
                <c:pt idx="1">
                  <c:v>0.12667978006533093</c:v>
                </c:pt>
                <c:pt idx="2">
                  <c:v>7.2652514823893857E-2</c:v>
                </c:pt>
                <c:pt idx="3">
                  <c:v>5.0944184197365067E-3</c:v>
                </c:pt>
                <c:pt idx="4">
                  <c:v>4.4139569566157087E-3</c:v>
                </c:pt>
              </c:numCache>
            </c:numRef>
          </c:val>
          <c:extLst>
            <c:ext xmlns:c16="http://schemas.microsoft.com/office/drawing/2014/chart" uri="{C3380CC4-5D6E-409C-BE32-E72D297353CC}">
              <c16:uniqueId val="{0000000A-1415-491B-B64B-A15B2287522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'Results. Energy Balance'!$D$57:$D$63</c:f>
              <c:strCache>
                <c:ptCount val="7"/>
                <c:pt idx="0">
                  <c:v>Proportion of Total Electricity from Biogas</c:v>
                </c:pt>
                <c:pt idx="1">
                  <c:v>Proportion of AD/PHA Electricity from biogas</c:v>
                </c:pt>
                <c:pt idx="2">
                  <c:v>Proportion of WWTP Electricity Covered by biogas</c:v>
                </c:pt>
                <c:pt idx="3">
                  <c:v>Proportion of WWTP electricity from natural gas</c:v>
                </c:pt>
                <c:pt idx="4">
                  <c:v>Proportion of AD/PHA Electricity from natural gas</c:v>
                </c:pt>
                <c:pt idx="5">
                  <c:v>Proportion of WWTP electrcicity coming from grid </c:v>
                </c:pt>
                <c:pt idx="6">
                  <c:v>Proportion of PHA/AD Electricity comgin fom Grid</c:v>
                </c:pt>
              </c:strCache>
            </c:strRef>
          </c:cat>
          <c:val>
            <c:numRef>
              <c:f>'Results. Energy Balance'!$E$57:$E$63</c:f>
              <c:numCache>
                <c:formatCode>0%</c:formatCode>
                <c:ptCount val="7"/>
                <c:pt idx="0">
                  <c:v>0</c:v>
                </c:pt>
                <c:pt idx="1">
                  <c:v>0</c:v>
                </c:pt>
                <c:pt idx="2">
                  <c:v>0</c:v>
                </c:pt>
                <c:pt idx="3">
                  <c:v>0</c:v>
                </c:pt>
                <c:pt idx="4">
                  <c:v>0</c:v>
                </c:pt>
                <c:pt idx="5">
                  <c:v>1</c:v>
                </c:pt>
                <c:pt idx="6">
                  <c:v>1</c:v>
                </c:pt>
              </c:numCache>
            </c:numRef>
          </c:val>
          <c:extLst>
            <c:ext xmlns:c16="http://schemas.microsoft.com/office/drawing/2014/chart" uri="{C3380CC4-5D6E-409C-BE32-E72D297353CC}">
              <c16:uniqueId val="{00000000-852B-4376-BBB1-56EF17D17379}"/>
            </c:ext>
          </c:extLst>
        </c:ser>
        <c:dLbls>
          <c:showLegendKey val="0"/>
          <c:showVal val="0"/>
          <c:showCatName val="0"/>
          <c:showSerName val="0"/>
          <c:showPercent val="0"/>
          <c:showBubbleSize val="0"/>
        </c:dLbls>
        <c:gapWidth val="182"/>
        <c:axId val="730909935"/>
        <c:axId val="1337904559"/>
      </c:barChart>
      <c:catAx>
        <c:axId val="73090993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7904559"/>
        <c:crosses val="autoZero"/>
        <c:auto val="1"/>
        <c:lblAlgn val="ctr"/>
        <c:lblOffset val="100"/>
        <c:noMultiLvlLbl val="0"/>
      </c:catAx>
      <c:valAx>
        <c:axId val="1337904559"/>
        <c:scaling>
          <c:orientation val="minMax"/>
          <c:max val="1"/>
        </c:scaling>
        <c:delete val="0"/>
        <c:axPos val="b"/>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9099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LCIA'!$E$8:$E$31</c15:sqref>
                  </c15:fullRef>
                </c:ext>
              </c:extLst>
              <c:f>'Results. LCIA'!$E$8:$E$9</c:f>
              <c:numCache>
                <c:formatCode>0.000E+00</c:formatCode>
                <c:ptCount val="2"/>
                <c:pt idx="0">
                  <c:v>0</c:v>
                </c:pt>
              </c:numCache>
            </c:numRef>
          </c:val>
          <c:extLst xmlns:c15="http://schemas.microsoft.com/office/drawing/2012/chart">
            <c:ext xmlns:c16="http://schemas.microsoft.com/office/drawing/2014/chart" uri="{C3380CC4-5D6E-409C-BE32-E72D297353CC}">
              <c16:uniqueId val="{0000000D-D7D0-4EC2-96DA-086E731EE213}"/>
            </c:ext>
          </c:extLst>
        </c:ser>
        <c:ser>
          <c:idx val="1"/>
          <c:order val="1"/>
          <c:tx>
            <c:strRef>
              <c:f>'Results. LCIA'!$F$5</c:f>
              <c:strCache>
                <c:ptCount val="1"/>
                <c:pt idx="0">
                  <c:v>NH4Cl </c:v>
                </c:pt>
              </c:strCache>
            </c:strRef>
          </c:tx>
          <c:spPr>
            <a:pattFill prst="ltHorz">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LCIA'!$F$8:$F$31</c15:sqref>
                  </c15:fullRef>
                </c:ext>
              </c:extLst>
              <c:f>'Results. LCIA'!$F$8:$F$9</c:f>
              <c:numCache>
                <c:formatCode>0.00</c:formatCode>
                <c:ptCount val="2"/>
                <c:pt idx="0">
                  <c:v>0</c:v>
                </c:pt>
              </c:numCache>
            </c:numRef>
          </c:val>
          <c:extLst xmlns:c15="http://schemas.microsoft.com/office/drawing/2012/chart">
            <c:ext xmlns:c16="http://schemas.microsoft.com/office/drawing/2014/chart" uri="{C3380CC4-5D6E-409C-BE32-E72D297353CC}">
              <c16:uniqueId val="{0000000E-D7D0-4EC2-96DA-086E731EE213}"/>
            </c:ext>
          </c:extLst>
        </c:ser>
        <c:ser>
          <c:idx val="2"/>
          <c:order val="2"/>
          <c:tx>
            <c:strRef>
              <c:f>'Results. LCIA'!$G$5</c:f>
              <c:strCache>
                <c:ptCount val="1"/>
                <c:pt idx="0">
                  <c:v>KH2PO4 </c:v>
                </c:pt>
              </c:strCache>
            </c:strRef>
          </c:tx>
          <c:spPr>
            <a:pattFill prst="pct80">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LCIA'!$G$8:$G$31</c15:sqref>
                  </c15:fullRef>
                </c:ext>
              </c:extLst>
              <c:f>'Results. LCIA'!$G$8:$G$9</c:f>
              <c:numCache>
                <c:formatCode>0.00</c:formatCode>
                <c:ptCount val="2"/>
                <c:pt idx="0">
                  <c:v>0</c:v>
                </c:pt>
              </c:numCache>
            </c:numRef>
          </c:val>
          <c:extLst xmlns:c15="http://schemas.microsoft.com/office/drawing/2012/chart">
            <c:ext xmlns:c16="http://schemas.microsoft.com/office/drawing/2014/chart" uri="{C3380CC4-5D6E-409C-BE32-E72D297353CC}">
              <c16:uniqueId val="{0000000F-D7D0-4EC2-96DA-086E731EE213}"/>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LCIA'!$H$8:$H$31</c15:sqref>
                  </c15:fullRef>
                </c:ext>
              </c:extLst>
              <c:f>'Results. LCIA'!$H$8:$H$9</c:f>
              <c:numCache>
                <c:formatCode>0.00</c:formatCode>
                <c:ptCount val="2"/>
                <c:pt idx="0">
                  <c:v>93.235514337269905</c:v>
                </c:pt>
              </c:numCache>
            </c:numRef>
          </c:val>
          <c:extLst>
            <c:ext xmlns:c16="http://schemas.microsoft.com/office/drawing/2014/chart" uri="{C3380CC4-5D6E-409C-BE32-E72D297353CC}">
              <c16:uniqueId val="{00000000-D7D0-4EC2-96DA-086E731EE213}"/>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LCIA'!$I$8:$I$31</c15:sqref>
                  </c15:fullRef>
                </c:ext>
              </c:extLst>
              <c:f>'Results. LCIA'!$I$8:$I$9</c:f>
              <c:numCache>
                <c:formatCode>0.00</c:formatCode>
                <c:ptCount val="2"/>
                <c:pt idx="0">
                  <c:v>4.831531495661932</c:v>
                </c:pt>
              </c:numCache>
            </c:numRef>
          </c:val>
          <c:extLst>
            <c:ext xmlns:c16="http://schemas.microsoft.com/office/drawing/2014/chart" uri="{C3380CC4-5D6E-409C-BE32-E72D297353CC}">
              <c16:uniqueId val="{00000001-D7D0-4EC2-96DA-086E731EE213}"/>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LCIA'!$J$8:$J$31</c15:sqref>
                  </c15:fullRef>
                </c:ext>
              </c:extLst>
              <c:f>'Results. LCIA'!$J$8:$J$9</c:f>
              <c:numCache>
                <c:formatCode>0.00</c:formatCode>
                <c:ptCount val="2"/>
                <c:pt idx="0">
                  <c:v>2.8043892250181397</c:v>
                </c:pt>
              </c:numCache>
            </c:numRef>
          </c:val>
          <c:extLst>
            <c:ext xmlns:c16="http://schemas.microsoft.com/office/drawing/2014/chart" uri="{C3380CC4-5D6E-409C-BE32-E72D297353CC}">
              <c16:uniqueId val="{00000002-D7D0-4EC2-96DA-086E731EE213}"/>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LCIA'!$K$8:$K$31</c15:sqref>
                  </c15:fullRef>
                </c:ext>
              </c:extLst>
              <c:f>'Results. LCIA'!$K$8:$K$9</c:f>
              <c:numCache>
                <c:formatCode>0.00</c:formatCode>
                <c:ptCount val="2"/>
                <c:pt idx="0">
                  <c:v>20.48086444963586</c:v>
                </c:pt>
              </c:numCache>
            </c:numRef>
          </c:val>
          <c:extLst>
            <c:ext xmlns:c16="http://schemas.microsoft.com/office/drawing/2014/chart" uri="{C3380CC4-5D6E-409C-BE32-E72D297353CC}">
              <c16:uniqueId val="{00000003-D7D0-4EC2-96DA-086E731EE213}"/>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LCIA'!$L$8:$L$31</c15:sqref>
                  </c15:fullRef>
                </c:ext>
              </c:extLst>
              <c:f>'Results. LCIA'!$L$8:$L$9</c:f>
              <c:numCache>
                <c:formatCode>0.00</c:formatCode>
                <c:ptCount val="2"/>
                <c:pt idx="0">
                  <c:v>0.7389940633121963</c:v>
                </c:pt>
              </c:numCache>
            </c:numRef>
          </c:val>
          <c:extLst>
            <c:ext xmlns:c16="http://schemas.microsoft.com/office/drawing/2014/chart" uri="{C3380CC4-5D6E-409C-BE32-E72D297353CC}">
              <c16:uniqueId val="{00000004-D7D0-4EC2-96DA-086E731EE213}"/>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LCIA'!$M$8:$M$31</c15:sqref>
                  </c15:fullRef>
                </c:ext>
              </c:extLst>
              <c:f>'Results. LCIA'!$M$8:$M$9</c:f>
              <c:numCache>
                <c:formatCode>0.00</c:formatCode>
                <c:ptCount val="2"/>
                <c:pt idx="0">
                  <c:v>22.359080350121573</c:v>
                </c:pt>
              </c:numCache>
            </c:numRef>
          </c:val>
          <c:extLst>
            <c:ext xmlns:c16="http://schemas.microsoft.com/office/drawing/2014/chart" uri="{C3380CC4-5D6E-409C-BE32-E72D297353CC}">
              <c16:uniqueId val="{00000005-D7D0-4EC2-96DA-086E731EE213}"/>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LCIA'!$N$8:$N$31</c15:sqref>
                  </c15:fullRef>
                </c:ext>
              </c:extLst>
              <c:f>'Results. LCIA'!$N$8:$N$9</c:f>
              <c:numCache>
                <c:formatCode>0.00</c:formatCode>
                <c:ptCount val="2"/>
                <c:pt idx="0">
                  <c:v>0</c:v>
                </c:pt>
              </c:numCache>
            </c:numRef>
          </c:val>
          <c:extLst>
            <c:ext xmlns:c16="http://schemas.microsoft.com/office/drawing/2014/chart" uri="{C3380CC4-5D6E-409C-BE32-E72D297353CC}">
              <c16:uniqueId val="{00000006-D7D0-4EC2-96DA-086E731EE213}"/>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LCIA'!$O$8:$O$31</c15:sqref>
                  </c15:fullRef>
                </c:ext>
              </c:extLst>
              <c:f>'Results. LCIA'!$O$8:$O$9</c:f>
              <c:numCache>
                <c:formatCode>0.00</c:formatCode>
                <c:ptCount val="2"/>
                <c:pt idx="0">
                  <c:v>0</c:v>
                </c:pt>
              </c:numCache>
            </c:numRef>
          </c:val>
          <c:extLst>
            <c:ext xmlns:c16="http://schemas.microsoft.com/office/drawing/2014/chart" uri="{C3380CC4-5D6E-409C-BE32-E72D297353CC}">
              <c16:uniqueId val="{00000007-D7D0-4EC2-96DA-086E731EE213}"/>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LCIA'!$P$8:$P$31</c15:sqref>
                  </c15:fullRef>
                </c:ext>
              </c:extLst>
              <c:f>'Results. LCIA'!$P$8:$P$9</c:f>
              <c:numCache>
                <c:formatCode>0.00</c:formatCode>
                <c:ptCount val="2"/>
                <c:pt idx="0">
                  <c:v>-50.006520820058924</c:v>
                </c:pt>
              </c:numCache>
            </c:numRef>
          </c:val>
          <c:extLst>
            <c:ext xmlns:c16="http://schemas.microsoft.com/office/drawing/2014/chart" uri="{C3380CC4-5D6E-409C-BE32-E72D297353CC}">
              <c16:uniqueId val="{00000008-D7D0-4EC2-96DA-086E731EE213}"/>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LCIA'!$Q$8:$Q$31</c15:sqref>
                  </c15:fullRef>
                </c:ext>
              </c:extLst>
              <c:f>'Results. LCIA'!$Q$8:$Q$9</c:f>
              <c:numCache>
                <c:formatCode>0.00</c:formatCode>
                <c:ptCount val="2"/>
                <c:pt idx="0">
                  <c:v>-75.533424894521033</c:v>
                </c:pt>
              </c:numCache>
            </c:numRef>
          </c:val>
          <c:extLst xmlns:c15="http://schemas.microsoft.com/office/drawing/2012/chart">
            <c:ext xmlns:c16="http://schemas.microsoft.com/office/drawing/2014/chart" uri="{C3380CC4-5D6E-409C-BE32-E72D297353CC}">
              <c16:uniqueId val="{0000000B-D7D0-4EC2-96DA-086E731EE213}"/>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LCIA'!$R$8:$R$31</c15:sqref>
                  </c15:fullRef>
                </c:ext>
              </c:extLst>
              <c:f>'Results. LCIA'!$R$8:$R$9</c:f>
              <c:numCache>
                <c:formatCode>0.00</c:formatCode>
                <c:ptCount val="2"/>
                <c:pt idx="1">
                  <c:v>18.910428206439647</c:v>
                </c:pt>
              </c:numCache>
            </c:numRef>
          </c:val>
          <c:extLst>
            <c:ext xmlns:c16="http://schemas.microsoft.com/office/drawing/2014/chart" uri="{C3380CC4-5D6E-409C-BE32-E72D297353CC}">
              <c16:uniqueId val="{0000000C-D7D0-4EC2-96DA-086E731EE213}"/>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LCIA'!$E$8:$E$31</c15:sqref>
                  </c15:fullRef>
                </c:ext>
              </c:extLst>
              <c:f>'Results. LCIA'!$E$18:$E$19</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D-0A24-4443-9F50-4A1A42FDCC3D}"/>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LCIA'!$F$8:$F$31</c15:sqref>
                  </c15:fullRef>
                </c:ext>
              </c:extLst>
              <c:f>'Results. LCIA'!$F$18:$F$19</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E-0A24-4443-9F50-4A1A42FDCC3D}"/>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LCIA'!$G$8:$G$31</c15:sqref>
                  </c15:fullRef>
                </c:ext>
              </c:extLst>
              <c:f>'Results. LCIA'!$G$18:$G$19</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F-0A24-4443-9F50-4A1A42FDCC3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LCIA'!$H$8:$H$31</c15:sqref>
                  </c15:fullRef>
                </c:ext>
              </c:extLst>
              <c:f>'Results. LCIA'!$H$18:$H$19</c:f>
              <c:numCache>
                <c:formatCode>0.00</c:formatCode>
                <c:ptCount val="2"/>
                <c:pt idx="0" formatCode="General">
                  <c:v>4.5255126801509718E-3</c:v>
                </c:pt>
              </c:numCache>
            </c:numRef>
          </c:val>
          <c:extLst>
            <c:ext xmlns:c16="http://schemas.microsoft.com/office/drawing/2014/chart" uri="{C3380CC4-5D6E-409C-BE32-E72D297353CC}">
              <c16:uniqueId val="{00000000-0A24-4443-9F50-4A1A42FDCC3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LCIA'!$I$8:$I$31</c15:sqref>
                  </c15:fullRef>
                </c:ext>
              </c:extLst>
              <c:f>'Results. LCIA'!$I$18:$I$19</c:f>
              <c:numCache>
                <c:formatCode>0.00</c:formatCode>
                <c:ptCount val="2"/>
                <c:pt idx="0" formatCode="General">
                  <c:v>8.4626108170673874E-5</c:v>
                </c:pt>
              </c:numCache>
            </c:numRef>
          </c:val>
          <c:extLst>
            <c:ext xmlns:c16="http://schemas.microsoft.com/office/drawing/2014/chart" uri="{C3380CC4-5D6E-409C-BE32-E72D297353CC}">
              <c16:uniqueId val="{00000001-0A24-4443-9F50-4A1A42FDCC3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LCIA'!$J$8:$J$31</c15:sqref>
                  </c15:fullRef>
                </c:ext>
              </c:extLst>
              <c:f>'Results. LCIA'!$J$18:$J$19</c:f>
              <c:numCache>
                <c:formatCode>0.00</c:formatCode>
                <c:ptCount val="2"/>
                <c:pt idx="0" formatCode="General">
                  <c:v>8.0108325390890981E-4</c:v>
                </c:pt>
              </c:numCache>
            </c:numRef>
          </c:val>
          <c:extLst>
            <c:ext xmlns:c16="http://schemas.microsoft.com/office/drawing/2014/chart" uri="{C3380CC4-5D6E-409C-BE32-E72D297353CC}">
              <c16:uniqueId val="{00000002-0A24-4443-9F50-4A1A42FDCC3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LCIA'!$K$8:$K$31</c15:sqref>
                  </c15:fullRef>
                </c:ext>
              </c:extLst>
              <c:f>'Results. LCIA'!$K$18:$K$19</c:f>
              <c:numCache>
                <c:formatCode>0.00</c:formatCode>
                <c:ptCount val="2"/>
                <c:pt idx="0" formatCode="General">
                  <c:v>5.3943562691346914E-3</c:v>
                </c:pt>
              </c:numCache>
            </c:numRef>
          </c:val>
          <c:extLst>
            <c:ext xmlns:c16="http://schemas.microsoft.com/office/drawing/2014/chart" uri="{C3380CC4-5D6E-409C-BE32-E72D297353CC}">
              <c16:uniqueId val="{00000003-0A24-4443-9F50-4A1A42FDCC3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LCIA'!$L$8:$L$31</c15:sqref>
                  </c15:fullRef>
                </c:ext>
              </c:extLst>
              <c:f>'Results. LCIA'!$L$18:$L$19</c:f>
              <c:numCache>
                <c:formatCode>0.00</c:formatCode>
                <c:ptCount val="2"/>
                <c:pt idx="0" formatCode="General">
                  <c:v>4.7856380468110879E-4</c:v>
                </c:pt>
              </c:numCache>
            </c:numRef>
          </c:val>
          <c:extLst>
            <c:ext xmlns:c16="http://schemas.microsoft.com/office/drawing/2014/chart" uri="{C3380CC4-5D6E-409C-BE32-E72D297353CC}">
              <c16:uniqueId val="{00000004-0A24-4443-9F50-4A1A42FDCC3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LCIA'!$M$8:$M$31</c15:sqref>
                  </c15:fullRef>
                </c:ext>
              </c:extLst>
              <c:f>'Results. LCIA'!$M$18:$M$19</c:f>
              <c:numCache>
                <c:formatCode>0.00</c:formatCode>
                <c:ptCount val="2"/>
                <c:pt idx="0" formatCode="General">
                  <c:v>3.6045957920753297E-3</c:v>
                </c:pt>
              </c:numCache>
            </c:numRef>
          </c:val>
          <c:extLst>
            <c:ext xmlns:c16="http://schemas.microsoft.com/office/drawing/2014/chart" uri="{C3380CC4-5D6E-409C-BE32-E72D297353CC}">
              <c16:uniqueId val="{00000005-0A24-4443-9F50-4A1A42FDCC3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LCIA'!$N$8:$N$31</c15:sqref>
                  </c15:fullRef>
                </c:ext>
              </c:extLst>
              <c:f>'Results. LCIA'!$N$18:$N$19</c:f>
              <c:numCache>
                <c:formatCode>0.00</c:formatCode>
                <c:ptCount val="2"/>
                <c:pt idx="0" formatCode="General">
                  <c:v>0</c:v>
                </c:pt>
              </c:numCache>
            </c:numRef>
          </c:val>
          <c:extLst>
            <c:ext xmlns:c16="http://schemas.microsoft.com/office/drawing/2014/chart" uri="{C3380CC4-5D6E-409C-BE32-E72D297353CC}">
              <c16:uniqueId val="{00000006-0A24-4443-9F50-4A1A42FDCC3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LCIA'!$O$8:$O$31</c15:sqref>
                  </c15:fullRef>
                </c:ext>
              </c:extLst>
              <c:f>'Results. LCIA'!$O$18:$O$19</c:f>
              <c:numCache>
                <c:formatCode>0.00</c:formatCode>
                <c:ptCount val="2"/>
                <c:pt idx="0" formatCode="General">
                  <c:v>0</c:v>
                </c:pt>
              </c:numCache>
            </c:numRef>
          </c:val>
          <c:extLst>
            <c:ext xmlns:c16="http://schemas.microsoft.com/office/drawing/2014/chart" uri="{C3380CC4-5D6E-409C-BE32-E72D297353CC}">
              <c16:uniqueId val="{00000007-0A24-4443-9F50-4A1A42FDCC3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LCIA'!$P$8:$P$31</c15:sqref>
                  </c15:fullRef>
                </c:ext>
              </c:extLst>
              <c:f>'Results. LCIA'!$P$18:$P$19</c:f>
              <c:numCache>
                <c:formatCode>0.00</c:formatCode>
                <c:ptCount val="2"/>
                <c:pt idx="0" formatCode="General">
                  <c:v>-1.5774041017318101E-2</c:v>
                </c:pt>
              </c:numCache>
            </c:numRef>
          </c:val>
          <c:extLst>
            <c:ext xmlns:c16="http://schemas.microsoft.com/office/drawing/2014/chart" uri="{C3380CC4-5D6E-409C-BE32-E72D297353CC}">
              <c16:uniqueId val="{00000008-0A24-4443-9F50-4A1A42FDCC3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LCIA'!$Q$8:$Q$31</c15:sqref>
                  </c15:fullRef>
                </c:ext>
              </c:extLst>
              <c:f>'Results. LCIA'!$Q$18:$Q$19</c:f>
              <c:numCache>
                <c:formatCode>0.00</c:formatCode>
                <c:ptCount val="2"/>
                <c:pt idx="0" formatCode="General">
                  <c:v>-1.5313482053234812E-2</c:v>
                </c:pt>
              </c:numCache>
            </c:numRef>
          </c:val>
          <c:extLst xmlns:c15="http://schemas.microsoft.com/office/drawing/2012/chart">
            <c:ext xmlns:c16="http://schemas.microsoft.com/office/drawing/2014/chart" uri="{C3380CC4-5D6E-409C-BE32-E72D297353CC}">
              <c16:uniqueId val="{0000000B-0A24-4443-9F50-4A1A42FDCC3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LCIA'!$R$8:$R$31</c15:sqref>
                  </c15:fullRef>
                </c:ext>
              </c:extLst>
              <c:f>'Results. LCIA'!$R$18:$R$19</c:f>
              <c:numCache>
                <c:formatCode>0.00</c:formatCode>
                <c:ptCount val="2"/>
                <c:pt idx="1">
                  <c:v>0</c:v>
                </c:pt>
              </c:numCache>
            </c:numRef>
          </c:val>
          <c:extLst>
            <c:ext xmlns:c16="http://schemas.microsoft.com/office/drawing/2014/chart" uri="{C3380CC4-5D6E-409C-BE32-E72D297353CC}">
              <c16:uniqueId val="{0000000C-0A24-4443-9F50-4A1A42FDCC3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LCIA'!$E$8:$E$31</c15:sqref>
                  </c15:fullRef>
                </c:ext>
              </c:extLst>
              <c:f>'Results. LCIA'!$E$20:$E$21</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D-A968-4F1B-89A6-4803162EC507}"/>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LCIA'!$F$8:$F$31</c15:sqref>
                  </c15:fullRef>
                </c:ext>
              </c:extLst>
              <c:f>'Results. LCIA'!$F$20:$F$21</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E-A968-4F1B-89A6-4803162EC507}"/>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LCIA'!$G$8:$G$31</c15:sqref>
                  </c15:fullRef>
                </c:ext>
              </c:extLst>
              <c:f>'Results. LCIA'!$G$20:$G$21</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F-A968-4F1B-89A6-4803162EC507}"/>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LCIA'!$H$8:$H$31</c15:sqref>
                  </c15:fullRef>
                </c:ext>
              </c:extLst>
              <c:f>'Results. LCIA'!$H$20:$H$21</c:f>
              <c:numCache>
                <c:formatCode>0.00</c:formatCode>
                <c:ptCount val="2"/>
                <c:pt idx="0" formatCode="General">
                  <c:v>6.2343959811447347E-4</c:v>
                </c:pt>
              </c:numCache>
            </c:numRef>
          </c:val>
          <c:extLst>
            <c:ext xmlns:c16="http://schemas.microsoft.com/office/drawing/2014/chart" uri="{C3380CC4-5D6E-409C-BE32-E72D297353CC}">
              <c16:uniqueId val="{00000000-A968-4F1B-89A6-4803162EC507}"/>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LCIA'!$I$8:$I$31</c15:sqref>
                  </c15:fullRef>
                </c:ext>
              </c:extLst>
              <c:f>'Results. LCIA'!$I$20:$I$21</c:f>
              <c:numCache>
                <c:formatCode>0.00</c:formatCode>
                <c:ptCount val="2"/>
                <c:pt idx="0" formatCode="General">
                  <c:v>1.0100383987959441E-5</c:v>
                </c:pt>
              </c:numCache>
            </c:numRef>
          </c:val>
          <c:extLst>
            <c:ext xmlns:c16="http://schemas.microsoft.com/office/drawing/2014/chart" uri="{C3380CC4-5D6E-409C-BE32-E72D297353CC}">
              <c16:uniqueId val="{00000001-A968-4F1B-89A6-4803162EC507}"/>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LCIA'!$J$8:$J$31</c15:sqref>
                  </c15:fullRef>
                </c:ext>
              </c:extLst>
              <c:f>'Results. LCIA'!$J$20:$J$21</c:f>
              <c:numCache>
                <c:formatCode>0.00</c:formatCode>
                <c:ptCount val="2"/>
                <c:pt idx="0" formatCode="General">
                  <c:v>1.0986980956641979E-4</c:v>
                </c:pt>
              </c:numCache>
            </c:numRef>
          </c:val>
          <c:extLst>
            <c:ext xmlns:c16="http://schemas.microsoft.com/office/drawing/2014/chart" uri="{C3380CC4-5D6E-409C-BE32-E72D297353CC}">
              <c16:uniqueId val="{00000002-A968-4F1B-89A6-4803162EC507}"/>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LCIA'!$K$8:$K$31</c15:sqref>
                  </c15:fullRef>
                </c:ext>
              </c:extLst>
              <c:f>'Results. LCIA'!$K$20:$K$21</c:f>
              <c:numCache>
                <c:formatCode>0.00</c:formatCode>
                <c:ptCount val="2"/>
                <c:pt idx="0" formatCode="General">
                  <c:v>5.3896631701553534E-4</c:v>
                </c:pt>
              </c:numCache>
            </c:numRef>
          </c:val>
          <c:extLst>
            <c:ext xmlns:c16="http://schemas.microsoft.com/office/drawing/2014/chart" uri="{C3380CC4-5D6E-409C-BE32-E72D297353CC}">
              <c16:uniqueId val="{00000003-A968-4F1B-89A6-4803162EC507}"/>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LCIA'!$L$8:$L$31</c15:sqref>
                  </c15:fullRef>
                </c:ext>
              </c:extLst>
              <c:f>'Results. LCIA'!$L$20:$L$21</c:f>
              <c:numCache>
                <c:formatCode>0.00</c:formatCode>
                <c:ptCount val="2"/>
                <c:pt idx="0" formatCode="General">
                  <c:v>4.9867824133077139E-5</c:v>
                </c:pt>
              </c:numCache>
            </c:numRef>
          </c:val>
          <c:extLst>
            <c:ext xmlns:c16="http://schemas.microsoft.com/office/drawing/2014/chart" uri="{C3380CC4-5D6E-409C-BE32-E72D297353CC}">
              <c16:uniqueId val="{00000004-A968-4F1B-89A6-4803162EC507}"/>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LCIA'!$M$8:$M$31</c15:sqref>
                  </c15:fullRef>
                </c:ext>
              </c:extLst>
              <c:f>'Results. LCIA'!$M$20:$M$21</c:f>
              <c:numCache>
                <c:formatCode>0.00</c:formatCode>
                <c:ptCount val="2"/>
                <c:pt idx="0" formatCode="General">
                  <c:v>2.7432761523993614E-4</c:v>
                </c:pt>
              </c:numCache>
            </c:numRef>
          </c:val>
          <c:extLst>
            <c:ext xmlns:c16="http://schemas.microsoft.com/office/drawing/2014/chart" uri="{C3380CC4-5D6E-409C-BE32-E72D297353CC}">
              <c16:uniqueId val="{00000005-A968-4F1B-89A6-4803162EC507}"/>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LCIA'!$N$8:$N$31</c15:sqref>
                  </c15:fullRef>
                </c:ext>
              </c:extLst>
              <c:f>'Results. LCIA'!$N$20:$N$21</c:f>
              <c:numCache>
                <c:formatCode>0.00</c:formatCode>
                <c:ptCount val="2"/>
                <c:pt idx="0" formatCode="General">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6-A968-4F1B-89A6-4803162EC507}"/>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LCIA'!$O$8:$O$31</c15:sqref>
                  </c15:fullRef>
                </c:ext>
              </c:extLst>
              <c:f>'Results. LCIA'!$O$20:$O$21</c:f>
              <c:numCache>
                <c:formatCode>0.00</c:formatCode>
                <c:ptCount val="2"/>
                <c:pt idx="0" formatCode="General">
                  <c:v>0</c:v>
                </c:pt>
              </c:numCache>
            </c:numRef>
          </c:val>
          <c:extLst>
            <c:ext xmlns:c16="http://schemas.microsoft.com/office/drawing/2014/chart" uri="{C3380CC4-5D6E-409C-BE32-E72D297353CC}">
              <c16:uniqueId val="{00000007-A968-4F1B-89A6-4803162EC507}"/>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LCIA'!$P$8:$P$31</c15:sqref>
                  </c15:fullRef>
                </c:ext>
              </c:extLst>
              <c:f>'Results. LCIA'!$P$20:$P$21</c:f>
              <c:numCache>
                <c:formatCode>0.00</c:formatCode>
                <c:ptCount val="2"/>
                <c:pt idx="0" formatCode="General">
                  <c:v>-2.8838493177828594E-3</c:v>
                </c:pt>
              </c:numCache>
            </c:numRef>
          </c:val>
          <c:extLst>
            <c:ext xmlns:c16="http://schemas.microsoft.com/office/drawing/2014/chart" uri="{C3380CC4-5D6E-409C-BE32-E72D297353CC}">
              <c16:uniqueId val="{00000008-A968-4F1B-89A6-4803162EC507}"/>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LCIA'!$Q$8:$Q$31</c15:sqref>
                  </c15:fullRef>
                </c:ext>
              </c:extLst>
              <c:f>'Results. LCIA'!$Q$20:$Q$21</c:f>
              <c:numCache>
                <c:formatCode>0.00</c:formatCode>
                <c:ptCount val="2"/>
                <c:pt idx="0" formatCode="General">
                  <c:v>-2.4101014874140527E-3</c:v>
                </c:pt>
              </c:numCache>
            </c:numRef>
          </c:val>
          <c:extLst xmlns:c15="http://schemas.microsoft.com/office/drawing/2012/chart">
            <c:ext xmlns:c16="http://schemas.microsoft.com/office/drawing/2014/chart" uri="{C3380CC4-5D6E-409C-BE32-E72D297353CC}">
              <c16:uniqueId val="{0000000B-A968-4F1B-89A6-4803162EC507}"/>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LCIA'!$R$8:$R$31</c15:sqref>
                  </c15:fullRef>
                </c:ext>
              </c:extLst>
              <c:f>'Results. LCIA'!$R$20:$R$21</c:f>
              <c:numCache>
                <c:formatCode>0.00</c:formatCode>
                <c:ptCount val="2"/>
                <c:pt idx="1">
                  <c:v>0</c:v>
                </c:pt>
              </c:numCache>
            </c:numRef>
          </c:val>
          <c:extLst>
            <c:ext xmlns:c16="http://schemas.microsoft.com/office/drawing/2014/chart" uri="{C3380CC4-5D6E-409C-BE32-E72D297353CC}">
              <c16:uniqueId val="{0000000C-A968-4F1B-89A6-4803162EC507}"/>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LCIA'!$E$8:$E$31</c15:sqref>
                  </c15:fullRef>
                </c:ext>
              </c:extLst>
              <c:f>'Results. LCIA'!$E$12:$E$13</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B-5C8F-4827-B8A9-B813C8D82CE1}"/>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LCIA'!$F$8:$F$31</c15:sqref>
                  </c15:fullRef>
                </c:ext>
              </c:extLst>
              <c:f>'Results. LCIA'!$F$12:$F$13</c:f>
              <c:numCache>
                <c:formatCode>0.00</c:formatCode>
                <c:ptCount val="2"/>
                <c:pt idx="0">
                  <c:v>0</c:v>
                </c:pt>
              </c:numCache>
            </c:numRef>
          </c:val>
          <c:extLst xmlns:c15="http://schemas.microsoft.com/office/drawing/2012/chart">
            <c:ext xmlns:c16="http://schemas.microsoft.com/office/drawing/2014/chart" uri="{C3380CC4-5D6E-409C-BE32-E72D297353CC}">
              <c16:uniqueId val="{0000000C-5C8F-4827-B8A9-B813C8D82CE1}"/>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LCIA'!$G$8:$G$31</c15:sqref>
                  </c15:fullRef>
                </c:ext>
              </c:extLst>
              <c:f>'Results. LCIA'!$G$12:$G$13</c:f>
              <c:numCache>
                <c:formatCode>0.00</c:formatCode>
                <c:ptCount val="2"/>
                <c:pt idx="0">
                  <c:v>0</c:v>
                </c:pt>
              </c:numCache>
            </c:numRef>
          </c:val>
          <c:extLst xmlns:c15="http://schemas.microsoft.com/office/drawing/2012/chart">
            <c:ext xmlns:c16="http://schemas.microsoft.com/office/drawing/2014/chart" uri="{C3380CC4-5D6E-409C-BE32-E72D297353CC}">
              <c16:uniqueId val="{0000000D-5C8F-4827-B8A9-B813C8D82CE1}"/>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LCIA'!$H$8:$H$31</c15:sqref>
                  </c15:fullRef>
                </c:ext>
              </c:extLst>
              <c:f>'Results. LCIA'!$H$12:$H$13</c:f>
              <c:numCache>
                <c:formatCode>0.00</c:formatCode>
                <c:ptCount val="2"/>
                <c:pt idx="0">
                  <c:v>1.3673699510108801</c:v>
                </c:pt>
              </c:numCache>
            </c:numRef>
          </c:val>
          <c:extLst>
            <c:ext xmlns:c16="http://schemas.microsoft.com/office/drawing/2014/chart" uri="{C3380CC4-5D6E-409C-BE32-E72D297353CC}">
              <c16:uniqueId val="{00000000-5C8F-4827-B8A9-B813C8D82CE1}"/>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LCIA'!$I$8:$I$31</c15:sqref>
                  </c15:fullRef>
                </c:ext>
              </c:extLst>
              <c:f>'Results. LCIA'!$I$12:$I$13</c:f>
              <c:numCache>
                <c:formatCode>0.00</c:formatCode>
                <c:ptCount val="2"/>
                <c:pt idx="0">
                  <c:v>1.7078196760297568E-2</c:v>
                </c:pt>
              </c:numCache>
            </c:numRef>
          </c:val>
          <c:extLst>
            <c:ext xmlns:c16="http://schemas.microsoft.com/office/drawing/2014/chart" uri="{C3380CC4-5D6E-409C-BE32-E72D297353CC}">
              <c16:uniqueId val="{00000001-5C8F-4827-B8A9-B813C8D82CE1}"/>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LCIA'!$J$8:$J$31</c15:sqref>
                  </c15:fullRef>
                </c:ext>
              </c:extLst>
              <c:f>'Results. LCIA'!$J$12:$J$13</c:f>
              <c:numCache>
                <c:formatCode>0.00</c:formatCode>
                <c:ptCount val="2"/>
                <c:pt idx="0">
                  <c:v>0.21674981275814892</c:v>
                </c:pt>
              </c:numCache>
            </c:numRef>
          </c:val>
          <c:extLst>
            <c:ext xmlns:c16="http://schemas.microsoft.com/office/drawing/2014/chart" uri="{C3380CC4-5D6E-409C-BE32-E72D297353CC}">
              <c16:uniqueId val="{00000002-5C8F-4827-B8A9-B813C8D82CE1}"/>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LCIA'!$K$8:$K$31</c15:sqref>
                  </c15:fullRef>
                </c:ext>
              </c:extLst>
              <c:f>'Results. LCIA'!$K$12:$K$13</c:f>
              <c:numCache>
                <c:formatCode>0.00</c:formatCode>
                <c:ptCount val="2"/>
                <c:pt idx="0">
                  <c:v>1.3681286043803378</c:v>
                </c:pt>
              </c:numCache>
            </c:numRef>
          </c:val>
          <c:extLst>
            <c:ext xmlns:c16="http://schemas.microsoft.com/office/drawing/2014/chart" uri="{C3380CC4-5D6E-409C-BE32-E72D297353CC}">
              <c16:uniqueId val="{00000003-5C8F-4827-B8A9-B813C8D82CE1}"/>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LCIA'!$L$8:$L$31</c15:sqref>
                  </c15:fullRef>
                </c:ext>
              </c:extLst>
              <c:f>'Results. LCIA'!$L$12:$L$13</c:f>
              <c:numCache>
                <c:formatCode>0.00</c:formatCode>
                <c:ptCount val="2"/>
                <c:pt idx="0">
                  <c:v>5.2833293648483007E-2</c:v>
                </c:pt>
              </c:numCache>
            </c:numRef>
          </c:val>
          <c:extLst>
            <c:ext xmlns:c16="http://schemas.microsoft.com/office/drawing/2014/chart" uri="{C3380CC4-5D6E-409C-BE32-E72D297353CC}">
              <c16:uniqueId val="{00000004-5C8F-4827-B8A9-B813C8D82CE1}"/>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LCIA'!$M$8:$M$31</c15:sqref>
                  </c15:fullRef>
                </c:ext>
              </c:extLst>
              <c:f>'Results. LCIA'!$M$12:$M$13</c:f>
              <c:numCache>
                <c:formatCode>0.00</c:formatCode>
                <c:ptCount val="2"/>
                <c:pt idx="0">
                  <c:v>0.45817588449053803</c:v>
                </c:pt>
              </c:numCache>
            </c:numRef>
          </c:val>
          <c:extLst>
            <c:ext xmlns:c16="http://schemas.microsoft.com/office/drawing/2014/chart" uri="{C3380CC4-5D6E-409C-BE32-E72D297353CC}">
              <c16:uniqueId val="{00000005-5C8F-4827-B8A9-B813C8D82CE1}"/>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LCIA'!$N$8:$N$31</c15:sqref>
                  </c15:fullRef>
                </c:ext>
              </c:extLst>
              <c:f>'Results. LCIA'!$N$12:$N$13</c:f>
              <c:numCache>
                <c:formatCode>0.00</c:formatCode>
                <c:ptCount val="2"/>
                <c:pt idx="0">
                  <c:v>0</c:v>
                </c:pt>
              </c:numCache>
            </c:numRef>
          </c:val>
          <c:extLst>
            <c:ext xmlns:c16="http://schemas.microsoft.com/office/drawing/2014/chart" uri="{C3380CC4-5D6E-409C-BE32-E72D297353CC}">
              <c16:uniqueId val="{00000006-5C8F-4827-B8A9-B813C8D82CE1}"/>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LCIA'!$O$8:$O$31</c15:sqref>
                  </c15:fullRef>
                </c:ext>
              </c:extLst>
              <c:f>'Results. LCIA'!$O$12:$O$13</c:f>
              <c:numCache>
                <c:formatCode>0.00</c:formatCode>
                <c:ptCount val="2"/>
                <c:pt idx="0">
                  <c:v>0</c:v>
                </c:pt>
              </c:numCache>
            </c:numRef>
          </c:val>
          <c:extLst>
            <c:ext xmlns:c16="http://schemas.microsoft.com/office/drawing/2014/chart" uri="{C3380CC4-5D6E-409C-BE32-E72D297353CC}">
              <c16:uniqueId val="{00000007-5C8F-4827-B8A9-B813C8D82CE1}"/>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LCIA'!$P$8:$P$31</c15:sqref>
                  </c15:fullRef>
                </c:ext>
              </c:extLst>
              <c:f>'Results. LCIA'!$P$12:$P$13</c:f>
              <c:numCache>
                <c:formatCode>0.00</c:formatCode>
                <c:ptCount val="2"/>
                <c:pt idx="0">
                  <c:v>-4.6302988831794742</c:v>
                </c:pt>
              </c:numCache>
            </c:numRef>
          </c:val>
          <c:extLst>
            <c:ext xmlns:c16="http://schemas.microsoft.com/office/drawing/2014/chart" uri="{C3380CC4-5D6E-409C-BE32-E72D297353CC}">
              <c16:uniqueId val="{00000008-5C8F-4827-B8A9-B813C8D82CE1}"/>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LCIA'!$Q$8:$Q$31</c15:sqref>
                  </c15:fullRef>
                </c:ext>
              </c:extLst>
              <c:f>'Results. LCIA'!$Q$12:$Q$13</c:f>
              <c:numCache>
                <c:formatCode>0.00</c:formatCode>
                <c:ptCount val="2"/>
                <c:pt idx="0">
                  <c:v>-3.7592143488410001</c:v>
                </c:pt>
              </c:numCache>
            </c:numRef>
          </c:val>
          <c:extLst xmlns:c15="http://schemas.microsoft.com/office/drawing/2012/chart">
            <c:ext xmlns:c16="http://schemas.microsoft.com/office/drawing/2014/chart" uri="{C3380CC4-5D6E-409C-BE32-E72D297353CC}">
              <c16:uniqueId val="{00000009-5C8F-4827-B8A9-B813C8D82CE1}"/>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LCIA'!$R$8:$R$31</c15:sqref>
                  </c15:fullRef>
                </c:ext>
              </c:extLst>
              <c:f>'Results. LCIA'!$R$12:$R$13</c:f>
              <c:numCache>
                <c:formatCode>0.00</c:formatCode>
                <c:ptCount val="2"/>
                <c:pt idx="1">
                  <c:v>-4.909177488971789</c:v>
                </c:pt>
              </c:numCache>
            </c:numRef>
          </c:val>
          <c:extLst>
            <c:ext xmlns:c16="http://schemas.microsoft.com/office/drawing/2014/chart" uri="{C3380CC4-5D6E-409C-BE32-E72D297353CC}">
              <c16:uniqueId val="{0000000A-5C8F-4827-B8A9-B813C8D82CE1}"/>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max val="10"/>
          <c:min val="-10"/>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LCIA'!$E$8:$E$31</c15:sqref>
                  </c15:fullRef>
                </c:ext>
              </c:extLst>
              <c:f>('Results. LCIA'!$E$14:$E$15,'Results. LCIA'!$E$21)</c:f>
              <c:numCache>
                <c:formatCode>0.000E+00</c:formatCode>
                <c:ptCount val="3"/>
                <c:pt idx="0" formatCode="General">
                  <c:v>0</c:v>
                </c:pt>
              </c:numCache>
            </c:numRef>
          </c:val>
          <c:extLst xmlns:c15="http://schemas.microsoft.com/office/drawing/2012/chart">
            <c:ext xmlns:c16="http://schemas.microsoft.com/office/drawing/2014/chart" uri="{C3380CC4-5D6E-409C-BE32-E72D297353CC}">
              <c16:uniqueId val="{0000000B-BAFC-400D-8910-06BAED3DFB6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LCIA'!$F$8:$F$31</c15:sqref>
                  </c15:fullRef>
                </c:ext>
              </c:extLst>
              <c:f>('Results. LCIA'!$F$14:$F$15,'Results. LCIA'!$F$21)</c:f>
              <c:numCache>
                <c:formatCode>0.00</c:formatCode>
                <c:ptCount val="3"/>
                <c:pt idx="0">
                  <c:v>0</c:v>
                </c:pt>
              </c:numCache>
            </c:numRef>
          </c:val>
          <c:extLst xmlns:c15="http://schemas.microsoft.com/office/drawing/2012/chart">
            <c:ext xmlns:c16="http://schemas.microsoft.com/office/drawing/2014/chart" uri="{C3380CC4-5D6E-409C-BE32-E72D297353CC}">
              <c16:uniqueId val="{0000000C-BAFC-400D-8910-06BAED3DFB6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LCIA'!$G$8:$G$31</c15:sqref>
                  </c15:fullRef>
                </c:ext>
              </c:extLst>
              <c:f>('Results. LCIA'!$G$14:$G$15,'Results. LCIA'!$G$21)</c:f>
              <c:numCache>
                <c:formatCode>0.00</c:formatCode>
                <c:ptCount val="3"/>
                <c:pt idx="0">
                  <c:v>0</c:v>
                </c:pt>
              </c:numCache>
            </c:numRef>
          </c:val>
          <c:extLst xmlns:c15="http://schemas.microsoft.com/office/drawing/2012/chart">
            <c:ext xmlns:c16="http://schemas.microsoft.com/office/drawing/2014/chart" uri="{C3380CC4-5D6E-409C-BE32-E72D297353CC}">
              <c16:uniqueId val="{0000000D-BAFC-400D-8910-06BAED3DFB6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LCIA'!$H$8:$H$31</c15:sqref>
                  </c15:fullRef>
                </c:ext>
              </c:extLst>
              <c:f>('Results. LCIA'!$H$14:$H$15,'Results. LCIA'!$H$21)</c:f>
              <c:numCache>
                <c:formatCode>0.00</c:formatCode>
                <c:ptCount val="3"/>
                <c:pt idx="0">
                  <c:v>54.752726287926528</c:v>
                </c:pt>
              </c:numCache>
            </c:numRef>
          </c:val>
          <c:extLst>
            <c:ext xmlns:c16="http://schemas.microsoft.com/office/drawing/2014/chart" uri="{C3380CC4-5D6E-409C-BE32-E72D297353CC}">
              <c16:uniqueId val="{00000000-BAFC-400D-8910-06BAED3DFB6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LCIA'!$I$8:$I$31</c15:sqref>
                  </c15:fullRef>
                </c:ext>
              </c:extLst>
              <c:f>('Results. LCIA'!$I$14:$I$15,'Results. LCIA'!$I$21)</c:f>
              <c:numCache>
                <c:formatCode>0.00</c:formatCode>
                <c:ptCount val="3"/>
                <c:pt idx="0">
                  <c:v>0.8655171611842486</c:v>
                </c:pt>
              </c:numCache>
            </c:numRef>
          </c:val>
          <c:extLst>
            <c:ext xmlns:c16="http://schemas.microsoft.com/office/drawing/2014/chart" uri="{C3380CC4-5D6E-409C-BE32-E72D297353CC}">
              <c16:uniqueId val="{00000001-BAFC-400D-8910-06BAED3DFB6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LCIA'!$J$8:$J$31</c15:sqref>
                  </c15:fullRef>
                </c:ext>
              </c:extLst>
              <c:f>('Results. LCIA'!$J$14:$J$15,'Results. LCIA'!$J$21)</c:f>
              <c:numCache>
                <c:formatCode>0.00</c:formatCode>
                <c:ptCount val="3"/>
                <c:pt idx="0">
                  <c:v>31.677884731705959</c:v>
                </c:pt>
              </c:numCache>
            </c:numRef>
          </c:val>
          <c:extLst>
            <c:ext xmlns:c16="http://schemas.microsoft.com/office/drawing/2014/chart" uri="{C3380CC4-5D6E-409C-BE32-E72D297353CC}">
              <c16:uniqueId val="{00000002-BAFC-400D-8910-06BAED3DFB6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LCIA'!$K$8:$K$31</c15:sqref>
                  </c15:fullRef>
                </c:ext>
              </c:extLst>
              <c:f>('Results. LCIA'!$K$14:$K$15,'Results. LCIA'!$K$21)</c:f>
              <c:numCache>
                <c:formatCode>0.00</c:formatCode>
                <c:ptCount val="3"/>
                <c:pt idx="0">
                  <c:v>104.32217519646628</c:v>
                </c:pt>
              </c:numCache>
            </c:numRef>
          </c:val>
          <c:extLst>
            <c:ext xmlns:c16="http://schemas.microsoft.com/office/drawing/2014/chart" uri="{C3380CC4-5D6E-409C-BE32-E72D297353CC}">
              <c16:uniqueId val="{00000003-BAFC-400D-8910-06BAED3DFB6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LCIA'!$L$8:$L$31</c15:sqref>
                  </c15:fullRef>
                </c:ext>
              </c:extLst>
              <c:f>('Results. LCIA'!$L$14:$L$15,'Results. LCIA'!$L$21)</c:f>
              <c:numCache>
                <c:formatCode>0.00</c:formatCode>
                <c:ptCount val="3"/>
                <c:pt idx="0">
                  <c:v>2.7147440024947707</c:v>
                </c:pt>
              </c:numCache>
            </c:numRef>
          </c:val>
          <c:extLst>
            <c:ext xmlns:c16="http://schemas.microsoft.com/office/drawing/2014/chart" uri="{C3380CC4-5D6E-409C-BE32-E72D297353CC}">
              <c16:uniqueId val="{00000004-BAFC-400D-8910-06BAED3DFB6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LCIA'!$M$8:$M$31</c15:sqref>
                  </c15:fullRef>
                </c:ext>
              </c:extLst>
              <c:f>('Results. LCIA'!$M$14:$M$15,'Results. LCIA'!$M$21)</c:f>
              <c:numCache>
                <c:formatCode>0.00</c:formatCode>
                <c:ptCount val="3"/>
                <c:pt idx="0">
                  <c:v>28.138234893988137</c:v>
                </c:pt>
              </c:numCache>
            </c:numRef>
          </c:val>
          <c:extLst>
            <c:ext xmlns:c16="http://schemas.microsoft.com/office/drawing/2014/chart" uri="{C3380CC4-5D6E-409C-BE32-E72D297353CC}">
              <c16:uniqueId val="{00000005-BAFC-400D-8910-06BAED3DFB6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LCIA'!$N$8:$N$31</c15:sqref>
                  </c15:fullRef>
                </c:ext>
              </c:extLst>
              <c:f>('Results. LCIA'!$N$14:$N$15,'Results. LCIA'!$N$21)</c:f>
              <c:numCache>
                <c:formatCode>0.00</c:formatCode>
                <c:ptCount val="3"/>
                <c:pt idx="0">
                  <c:v>0</c:v>
                </c:pt>
              </c:numCache>
            </c:numRef>
          </c:val>
          <c:extLst>
            <c:ext xmlns:c16="http://schemas.microsoft.com/office/drawing/2014/chart" uri="{C3380CC4-5D6E-409C-BE32-E72D297353CC}">
              <c16:uniqueId val="{00000006-BAFC-400D-8910-06BAED3DFB6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LCIA'!$O$8:$O$31</c15:sqref>
                  </c15:fullRef>
                </c:ext>
              </c:extLst>
              <c:f>('Results. LCIA'!$O$14:$O$15,'Results. LCIA'!$O$21)</c:f>
              <c:numCache>
                <c:formatCode>0.00</c:formatCode>
                <c:ptCount val="3"/>
                <c:pt idx="0">
                  <c:v>0</c:v>
                </c:pt>
              </c:numCache>
            </c:numRef>
          </c:val>
          <c:extLst>
            <c:ext xmlns:c16="http://schemas.microsoft.com/office/drawing/2014/chart" uri="{C3380CC4-5D6E-409C-BE32-E72D297353CC}">
              <c16:uniqueId val="{00000007-BAFC-400D-8910-06BAED3DFB6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LCIA'!$P$8:$P$31</c15:sqref>
                  </c15:fullRef>
                </c:ext>
              </c:extLst>
              <c:f>('Results. LCIA'!$P$14:$P$15,'Results. LCIA'!$P$21)</c:f>
              <c:numCache>
                <c:formatCode>0.00</c:formatCode>
                <c:ptCount val="3"/>
                <c:pt idx="0">
                  <c:v>-357.41293431372571</c:v>
                </c:pt>
              </c:numCache>
            </c:numRef>
          </c:val>
          <c:extLst>
            <c:ext xmlns:c16="http://schemas.microsoft.com/office/drawing/2014/chart" uri="{C3380CC4-5D6E-409C-BE32-E72D297353CC}">
              <c16:uniqueId val="{00000008-BAFC-400D-8910-06BAED3DFB6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LCIA'!$Q$8:$Q$31</c15:sqref>
                  </c15:fullRef>
                </c:ext>
              </c:extLst>
              <c:f>('Results. LCIA'!$Q$14:$Q$15,'Results. LCIA'!$Q$21)</c:f>
              <c:numCache>
                <c:formatCode>0.00</c:formatCode>
                <c:ptCount val="3"/>
                <c:pt idx="0">
                  <c:v>-315.85994694392429</c:v>
                </c:pt>
              </c:numCache>
            </c:numRef>
          </c:val>
          <c:extLst xmlns:c15="http://schemas.microsoft.com/office/drawing/2012/chart">
            <c:ext xmlns:c16="http://schemas.microsoft.com/office/drawing/2014/chart" uri="{C3380CC4-5D6E-409C-BE32-E72D297353CC}">
              <c16:uniqueId val="{00000009-BAFC-400D-8910-06BAED3DFB6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LCIA'!$R$8:$R$31</c15:sqref>
                  </c15:fullRef>
                </c:ext>
              </c:extLst>
              <c:f>('Results. LCIA'!$R$14:$R$15,'Results. LCIA'!$R$21)</c:f>
              <c:numCache>
                <c:formatCode>0.00</c:formatCode>
                <c:ptCount val="3"/>
                <c:pt idx="1">
                  <c:v>-450.80159898388411</c:v>
                </c:pt>
                <c:pt idx="2">
                  <c:v>0</c:v>
                </c:pt>
              </c:numCache>
            </c:numRef>
          </c:val>
          <c:extLst>
            <c:ext xmlns:c16="http://schemas.microsoft.com/office/drawing/2014/chart" uri="{C3380CC4-5D6E-409C-BE32-E72D297353CC}">
              <c16:uniqueId val="{0000000A-BAFC-400D-8910-06BAED3DFB6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max val="800"/>
          <c:min val="-800"/>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LCIA'!$E$8:$E$31</c15:sqref>
                  </c15:fullRef>
                </c:ext>
              </c:extLst>
              <c:f>('Results. LCIA'!$E$18:$E$21,'Results. LCIA'!$E$24:$E$29)</c:f>
              <c:numCache>
                <c:formatCode>0.000E+00</c:formatCode>
                <c:ptCount val="10"/>
                <c:pt idx="0" formatCode="General">
                  <c:v>0</c:v>
                </c:pt>
                <c:pt idx="2" formatCode="General">
                  <c:v>0</c:v>
                </c:pt>
                <c:pt idx="4" formatCode="General">
                  <c:v>0</c:v>
                </c:pt>
                <c:pt idx="6" formatCode="General">
                  <c:v>0</c:v>
                </c:pt>
                <c:pt idx="8" formatCode="General">
                  <c:v>0</c:v>
                </c:pt>
              </c:numCache>
            </c:numRef>
          </c:val>
          <c:extLst xmlns:c15="http://schemas.microsoft.com/office/drawing/2012/chart">
            <c:ext xmlns:c16="http://schemas.microsoft.com/office/drawing/2014/chart" uri="{C3380CC4-5D6E-409C-BE32-E72D297353CC}">
              <c16:uniqueId val="{00000000-9E94-4613-AE8A-A81F84CBDB09}"/>
            </c:ext>
          </c:extLst>
        </c:ser>
        <c:ser>
          <c:idx val="1"/>
          <c:order val="1"/>
          <c:tx>
            <c:strRef>
              <c:f>'Results. LCIA'!$F$5</c:f>
              <c:strCache>
                <c:ptCount val="1"/>
                <c:pt idx="0">
                  <c:v>NH4Cl </c:v>
                </c:pt>
              </c:strCache>
            </c:strRef>
          </c:tx>
          <c:spPr>
            <a:pattFill prst="ltHorz">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LCIA'!$F$8:$F$31</c15:sqref>
                  </c15:fullRef>
                </c:ext>
              </c:extLst>
              <c:f>('Results. LCIA'!$F$18:$F$21,'Results. LCIA'!$F$24:$F$29)</c:f>
              <c:numCache>
                <c:formatCode>0.00</c:formatCode>
                <c:ptCount val="10"/>
                <c:pt idx="0" formatCode="General">
                  <c:v>0</c:v>
                </c:pt>
                <c:pt idx="2" formatCode="General">
                  <c:v>0</c:v>
                </c:pt>
                <c:pt idx="4">
                  <c:v>0</c:v>
                </c:pt>
                <c:pt idx="6">
                  <c:v>0</c:v>
                </c:pt>
                <c:pt idx="8">
                  <c:v>0</c:v>
                </c:pt>
              </c:numCache>
            </c:numRef>
          </c:val>
          <c:extLst xmlns:c15="http://schemas.microsoft.com/office/drawing/2012/chart">
            <c:ext xmlns:c16="http://schemas.microsoft.com/office/drawing/2014/chart" uri="{C3380CC4-5D6E-409C-BE32-E72D297353CC}">
              <c16:uniqueId val="{00000001-9E94-4613-AE8A-A81F84CBDB09}"/>
            </c:ext>
          </c:extLst>
        </c:ser>
        <c:ser>
          <c:idx val="2"/>
          <c:order val="2"/>
          <c:tx>
            <c:strRef>
              <c:f>'Results. LCIA'!$G$5</c:f>
              <c:strCache>
                <c:ptCount val="1"/>
                <c:pt idx="0">
                  <c:v>KH2PO4 </c:v>
                </c:pt>
              </c:strCache>
            </c:strRef>
          </c:tx>
          <c:spPr>
            <a:pattFill prst="pct80">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LCIA'!$G$8:$G$31</c15:sqref>
                  </c15:fullRef>
                </c:ext>
              </c:extLst>
              <c:f>('Results. LCIA'!$G$18:$G$21,'Results. LCIA'!$G$24:$G$29)</c:f>
              <c:numCache>
                <c:formatCode>0.00</c:formatCode>
                <c:ptCount val="10"/>
                <c:pt idx="0" formatCode="General">
                  <c:v>0</c:v>
                </c:pt>
                <c:pt idx="2" formatCode="General">
                  <c:v>0</c:v>
                </c:pt>
                <c:pt idx="4">
                  <c:v>0</c:v>
                </c:pt>
                <c:pt idx="6">
                  <c:v>0</c:v>
                </c:pt>
                <c:pt idx="8">
                  <c:v>0</c:v>
                </c:pt>
              </c:numCache>
            </c:numRef>
          </c:val>
          <c:extLst xmlns:c15="http://schemas.microsoft.com/office/drawing/2012/chart">
            <c:ext xmlns:c16="http://schemas.microsoft.com/office/drawing/2014/chart" uri="{C3380CC4-5D6E-409C-BE32-E72D297353CC}">
              <c16:uniqueId val="{00000002-9E94-4613-AE8A-A81F84CBDB0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LCIA'!$H$8:$H$31</c15:sqref>
                  </c15:fullRef>
                </c:ext>
              </c:extLst>
              <c:f>('Results. LCIA'!$H$18:$H$21,'Results. LCIA'!$H$24:$H$29)</c:f>
              <c:numCache>
                <c:formatCode>0.00</c:formatCode>
                <c:ptCount val="10"/>
                <c:pt idx="0" formatCode="General">
                  <c:v>4.5255126801509718E-3</c:v>
                </c:pt>
                <c:pt idx="2" formatCode="General">
                  <c:v>6.2343959811447347E-4</c:v>
                </c:pt>
                <c:pt idx="4">
                  <c:v>16.634886197778428</c:v>
                </c:pt>
                <c:pt idx="6">
                  <c:v>4.2664154277352768</c:v>
                </c:pt>
                <c:pt idx="8">
                  <c:v>2.0090042850419438</c:v>
                </c:pt>
              </c:numCache>
            </c:numRef>
          </c:val>
          <c:extLst>
            <c:ext xmlns:c16="http://schemas.microsoft.com/office/drawing/2014/chart" uri="{C3380CC4-5D6E-409C-BE32-E72D297353CC}">
              <c16:uniqueId val="{00000003-9E94-4613-AE8A-A81F84CBDB0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LCIA'!$I$8:$I$31</c15:sqref>
                  </c15:fullRef>
                </c:ext>
              </c:extLst>
              <c:f>('Results. LCIA'!$I$18:$I$21,'Results. LCIA'!$I$24:$I$29)</c:f>
              <c:numCache>
                <c:formatCode>0.00</c:formatCode>
                <c:ptCount val="10"/>
                <c:pt idx="0" formatCode="General">
                  <c:v>8.4626108170673874E-5</c:v>
                </c:pt>
                <c:pt idx="2" formatCode="General">
                  <c:v>1.0100383987959441E-5</c:v>
                </c:pt>
                <c:pt idx="4">
                  <c:v>0.20644932596619633</c:v>
                </c:pt>
                <c:pt idx="6">
                  <c:v>2.6436517197660284E-2</c:v>
                </c:pt>
                <c:pt idx="8">
                  <c:v>4.9620300133753703E-3</c:v>
                </c:pt>
              </c:numCache>
            </c:numRef>
          </c:val>
          <c:extLst>
            <c:ext xmlns:c16="http://schemas.microsoft.com/office/drawing/2014/chart" uri="{C3380CC4-5D6E-409C-BE32-E72D297353CC}">
              <c16:uniqueId val="{00000004-9E94-4613-AE8A-A81F84CBDB0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LCIA'!$J$8:$J$31</c15:sqref>
                  </c15:fullRef>
                </c:ext>
              </c:extLst>
              <c:f>('Results. LCIA'!$J$18:$J$21,'Results. LCIA'!$J$24:$J$29)</c:f>
              <c:numCache>
                <c:formatCode>0.00</c:formatCode>
                <c:ptCount val="10"/>
                <c:pt idx="0" formatCode="General">
                  <c:v>8.0108325390890981E-4</c:v>
                </c:pt>
                <c:pt idx="2" formatCode="General">
                  <c:v>1.0986980956641979E-4</c:v>
                </c:pt>
                <c:pt idx="4">
                  <c:v>2.5047495649950888</c:v>
                </c:pt>
                <c:pt idx="6">
                  <c:v>0.14174231602806697</c:v>
                </c:pt>
                <c:pt idx="8">
                  <c:v>7.142122398564596E-2</c:v>
                </c:pt>
              </c:numCache>
            </c:numRef>
          </c:val>
          <c:extLst>
            <c:ext xmlns:c16="http://schemas.microsoft.com/office/drawing/2014/chart" uri="{C3380CC4-5D6E-409C-BE32-E72D297353CC}">
              <c16:uniqueId val="{00000005-9E94-4613-AE8A-A81F84CBDB0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LCIA'!$K$8:$K$31</c15:sqref>
                  </c15:fullRef>
                </c:ext>
              </c:extLst>
              <c:f>('Results. LCIA'!$K$18:$K$21,'Results. LCIA'!$K$24:$K$29)</c:f>
              <c:numCache>
                <c:formatCode>0.00</c:formatCode>
                <c:ptCount val="10"/>
                <c:pt idx="0" formatCode="General">
                  <c:v>5.3943562691346914E-3</c:v>
                </c:pt>
                <c:pt idx="2" formatCode="General">
                  <c:v>5.3896631701553534E-4</c:v>
                </c:pt>
                <c:pt idx="4">
                  <c:v>19.290441843146205</c:v>
                </c:pt>
                <c:pt idx="6">
                  <c:v>1.5009794062569692</c:v>
                </c:pt>
                <c:pt idx="8">
                  <c:v>0.30895031588592725</c:v>
                </c:pt>
              </c:numCache>
            </c:numRef>
          </c:val>
          <c:extLst>
            <c:ext xmlns:c16="http://schemas.microsoft.com/office/drawing/2014/chart" uri="{C3380CC4-5D6E-409C-BE32-E72D297353CC}">
              <c16:uniqueId val="{00000006-9E94-4613-AE8A-A81F84CBDB0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LCIA'!$L$8:$L$31</c15:sqref>
                  </c15:fullRef>
                </c:ext>
              </c:extLst>
              <c:f>('Results. LCIA'!$L$18:$L$21,'Results. LCIA'!$L$24:$L$29)</c:f>
              <c:numCache>
                <c:formatCode>0.00</c:formatCode>
                <c:ptCount val="10"/>
                <c:pt idx="0" formatCode="General">
                  <c:v>4.7856380468110879E-4</c:v>
                </c:pt>
                <c:pt idx="2" formatCode="General">
                  <c:v>4.9867824133077139E-5</c:v>
                </c:pt>
                <c:pt idx="4">
                  <c:v>0.88602213587871392</c:v>
                </c:pt>
                <c:pt idx="6">
                  <c:v>0.25425023895952059</c:v>
                </c:pt>
                <c:pt idx="8">
                  <c:v>1.9445443645672099E-2</c:v>
                </c:pt>
              </c:numCache>
            </c:numRef>
          </c:val>
          <c:extLst>
            <c:ext xmlns:c16="http://schemas.microsoft.com/office/drawing/2014/chart" uri="{C3380CC4-5D6E-409C-BE32-E72D297353CC}">
              <c16:uniqueId val="{00000007-9E94-4613-AE8A-A81F84CBDB0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LCIA'!$M$8:$M$31</c15:sqref>
                  </c15:fullRef>
                </c:ext>
              </c:extLst>
              <c:f>('Results. LCIA'!$M$18:$M$21,'Results. LCIA'!$M$24:$M$29)</c:f>
              <c:numCache>
                <c:formatCode>0.00</c:formatCode>
                <c:ptCount val="10"/>
                <c:pt idx="0" formatCode="General">
                  <c:v>3.6045957920753297E-3</c:v>
                </c:pt>
                <c:pt idx="2" formatCode="General">
                  <c:v>2.7432761523993614E-4</c:v>
                </c:pt>
                <c:pt idx="4">
                  <c:v>8.9741766205207174</c:v>
                </c:pt>
                <c:pt idx="6">
                  <c:v>0.28949572656527961</c:v>
                </c:pt>
                <c:pt idx="8">
                  <c:v>0.72294099476449669</c:v>
                </c:pt>
              </c:numCache>
            </c:numRef>
          </c:val>
          <c:extLst>
            <c:ext xmlns:c16="http://schemas.microsoft.com/office/drawing/2014/chart" uri="{C3380CC4-5D6E-409C-BE32-E72D297353CC}">
              <c16:uniqueId val="{00000008-9E94-4613-AE8A-A81F84CBDB0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LCIA'!$N$8:$N$31</c15:sqref>
                  </c15:fullRef>
                </c:ext>
              </c:extLst>
              <c:f>('Results. LCIA'!$N$18:$N$21,'Results. LCIA'!$N$24:$N$29)</c:f>
              <c:numCache>
                <c:formatCode>0.00</c:formatCode>
                <c:ptCount val="10"/>
                <c:pt idx="0" formatCode="General">
                  <c:v>0</c:v>
                </c:pt>
                <c:pt idx="2" formatCode="General">
                  <c:v>0</c:v>
                </c:pt>
                <c:pt idx="4">
                  <c:v>0</c:v>
                </c:pt>
                <c:pt idx="6">
                  <c:v>0</c:v>
                </c:pt>
                <c:pt idx="8">
                  <c:v>0</c:v>
                </c:pt>
              </c:numCache>
            </c:numRef>
          </c:val>
          <c:extLst>
            <c:ext xmlns:c15="http://schemas.microsoft.com/office/drawing/2012/chart" uri="{02D57815-91ED-43cb-92C2-25804820EDAC}">
              <c15:categoryFilterExceptions>
                <c15:categoryFilterException>
                  <c15:sqref>'Results. LCIA'!$N$9</c15:sqref>
                  <c15:invertIfNegative val="0"/>
                  <c15:bubble3D val="0"/>
                </c15:categoryFilterException>
                <c15:categoryFilterException>
                  <c15:sqref>'Results. LCIA'!$N$16</c15:sqref>
                  <c15:invertIfNegative val="0"/>
                  <c15:bubble3D val="0"/>
                </c15:categoryFilterException>
              </c15:categoryFilterExceptions>
            </c:ext>
            <c:ext xmlns:c16="http://schemas.microsoft.com/office/drawing/2014/chart" uri="{C3380CC4-5D6E-409C-BE32-E72D297353CC}">
              <c16:uniqueId val="{00000009-9E94-4613-AE8A-A81F84CBDB0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LCIA'!$O$8:$O$31</c15:sqref>
                  </c15:fullRef>
                </c:ext>
              </c:extLst>
              <c:f>('Results. LCIA'!$O$18:$O$21,'Results. LCIA'!$O$24:$O$29)</c:f>
              <c:numCache>
                <c:formatCode>0.00</c:formatCode>
                <c:ptCount val="10"/>
                <c:pt idx="0" formatCode="General">
                  <c:v>0</c:v>
                </c:pt>
                <c:pt idx="2" formatCode="General">
                  <c:v>0</c:v>
                </c:pt>
                <c:pt idx="4">
                  <c:v>0</c:v>
                </c:pt>
                <c:pt idx="6">
                  <c:v>0</c:v>
                </c:pt>
                <c:pt idx="8">
                  <c:v>0</c:v>
                </c:pt>
              </c:numCache>
            </c:numRef>
          </c:val>
          <c:extLst>
            <c:ext xmlns:c16="http://schemas.microsoft.com/office/drawing/2014/chart" uri="{C3380CC4-5D6E-409C-BE32-E72D297353CC}">
              <c16:uniqueId val="{0000000A-9E94-4613-AE8A-A81F84CBDB0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LCIA'!$P$8:$P$31</c15:sqref>
                  </c15:fullRef>
                </c:ext>
              </c:extLst>
              <c:f>('Results. LCIA'!$P$18:$P$21,'Results. LCIA'!$P$24:$P$29)</c:f>
              <c:numCache>
                <c:formatCode>0.00</c:formatCode>
                <c:ptCount val="10"/>
                <c:pt idx="0" formatCode="General">
                  <c:v>-1.5774041017318101E-2</c:v>
                </c:pt>
                <c:pt idx="2" formatCode="General">
                  <c:v>-2.8838493177828594E-3</c:v>
                </c:pt>
                <c:pt idx="4">
                  <c:v>-58.049991248031283</c:v>
                </c:pt>
                <c:pt idx="6">
                  <c:v>-5.20836807657441</c:v>
                </c:pt>
                <c:pt idx="8">
                  <c:v>-4.1241347798192134</c:v>
                </c:pt>
              </c:numCache>
            </c:numRef>
          </c:val>
          <c:extLst>
            <c:ext xmlns:c16="http://schemas.microsoft.com/office/drawing/2014/chart" uri="{C3380CC4-5D6E-409C-BE32-E72D297353CC}">
              <c16:uniqueId val="{0000000B-9E94-4613-AE8A-A81F84CBDB0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LCIA'!$Q$8:$Q$31</c15:sqref>
                  </c15:fullRef>
                </c:ext>
              </c:extLst>
              <c:f>('Results. LCIA'!$Q$18:$Q$21,'Results. LCIA'!$Q$24:$Q$29)</c:f>
              <c:numCache>
                <c:formatCode>0.00</c:formatCode>
                <c:ptCount val="10"/>
                <c:pt idx="0" formatCode="General">
                  <c:v>-1.5313482053234812E-2</c:v>
                </c:pt>
                <c:pt idx="2" formatCode="General">
                  <c:v>-2.4101014874140527E-3</c:v>
                </c:pt>
                <c:pt idx="4">
                  <c:v>-56.440707996465164</c:v>
                </c:pt>
                <c:pt idx="6" formatCode="General">
                  <c:v>-3.4996803582702407</c:v>
                </c:pt>
                <c:pt idx="8" formatCode="General">
                  <c:v>-0.98994028049689686</c:v>
                </c:pt>
              </c:numCache>
            </c:numRef>
          </c:val>
          <c:extLst xmlns:c15="http://schemas.microsoft.com/office/drawing/2012/chart">
            <c:ext xmlns:c16="http://schemas.microsoft.com/office/drawing/2014/chart" uri="{C3380CC4-5D6E-409C-BE32-E72D297353CC}">
              <c16:uniqueId val="{0000000C-9E94-4613-AE8A-A81F84CBDB0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LCIA'!$R$8:$R$31</c15:sqref>
                  </c15:fullRef>
                </c:ext>
              </c:extLst>
              <c:f>('Results. LCIA'!$R$18:$R$21,'Results. LCIA'!$R$24:$R$29)</c:f>
              <c:numCache>
                <c:formatCode>0.00</c:formatCode>
                <c:ptCount val="10"/>
                <c:pt idx="1">
                  <c:v>0</c:v>
                </c:pt>
                <c:pt idx="3">
                  <c:v>0</c:v>
                </c:pt>
                <c:pt idx="5">
                  <c:v>-65.993973556211103</c:v>
                </c:pt>
                <c:pt idx="7">
                  <c:v>0</c:v>
                </c:pt>
                <c:pt idx="9">
                  <c:v>0</c:v>
                </c:pt>
              </c:numCache>
            </c:numRef>
          </c:val>
          <c:extLst>
            <c:ext xmlns:c16="http://schemas.microsoft.com/office/drawing/2014/chart" uri="{C3380CC4-5D6E-409C-BE32-E72D297353CC}">
              <c16:uniqueId val="{0000000D-9E94-4613-AE8A-A81F84CBDB0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LCIA'!$E$6:$E$41</c15:sqref>
                  </c15:fullRef>
                </c:ext>
              </c:extLst>
              <c:f>'Results. LCIA'!$E$6:$E$7</c:f>
              <c:numCache>
                <c:formatCode>General</c:formatCode>
                <c:ptCount val="2"/>
                <c:pt idx="0">
                  <c:v>0</c:v>
                </c:pt>
              </c:numCache>
            </c:numRef>
          </c:val>
          <c:extLst xmlns:c15="http://schemas.microsoft.com/office/drawing/2012/chart">
            <c:ext xmlns:c16="http://schemas.microsoft.com/office/drawing/2014/chart" uri="{C3380CC4-5D6E-409C-BE32-E72D297353CC}">
              <c16:uniqueId val="{00000000-E067-416E-944F-BAD28D62330D}"/>
            </c:ext>
          </c:extLst>
        </c:ser>
        <c:ser>
          <c:idx val="1"/>
          <c:order val="1"/>
          <c:tx>
            <c:strRef>
              <c:f>'Results. LCIA'!$F$5</c:f>
              <c:strCache>
                <c:ptCount val="1"/>
                <c:pt idx="0">
                  <c:v>NH4Cl </c:v>
                </c:pt>
              </c:strCache>
            </c:strRef>
          </c:tx>
          <c:spPr>
            <a:pattFill prst="ltHorz">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LCIA'!$F$6:$F$41</c15:sqref>
                  </c15:fullRef>
                </c:ext>
              </c:extLst>
              <c:f>'Results. LCIA'!$F$6:$F$7</c:f>
              <c:numCache>
                <c:formatCode>General</c:formatCode>
                <c:ptCount val="2"/>
                <c:pt idx="0">
                  <c:v>0</c:v>
                </c:pt>
              </c:numCache>
            </c:numRef>
          </c:val>
          <c:extLst xmlns:c15="http://schemas.microsoft.com/office/drawing/2012/chart">
            <c:ext xmlns:c16="http://schemas.microsoft.com/office/drawing/2014/chart" uri="{C3380CC4-5D6E-409C-BE32-E72D297353CC}">
              <c16:uniqueId val="{00000001-E067-416E-944F-BAD28D62330D}"/>
            </c:ext>
          </c:extLst>
        </c:ser>
        <c:ser>
          <c:idx val="2"/>
          <c:order val="2"/>
          <c:tx>
            <c:strRef>
              <c:f>'Results. LCIA'!$G$5</c:f>
              <c:strCache>
                <c:ptCount val="1"/>
                <c:pt idx="0">
                  <c:v>KH2PO4 </c:v>
                </c:pt>
              </c:strCache>
            </c:strRef>
          </c:tx>
          <c:spPr>
            <a:pattFill prst="pct80">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LCIA'!$G$6:$G$41</c15:sqref>
                  </c15:fullRef>
                </c:ext>
              </c:extLst>
              <c:f>'Results. LCIA'!$G$6:$G$7</c:f>
              <c:numCache>
                <c:formatCode>General</c:formatCode>
                <c:ptCount val="2"/>
                <c:pt idx="0">
                  <c:v>0</c:v>
                </c:pt>
              </c:numCache>
            </c:numRef>
          </c:val>
          <c:extLst xmlns:c15="http://schemas.microsoft.com/office/drawing/2012/chart">
            <c:ext xmlns:c16="http://schemas.microsoft.com/office/drawing/2014/chart" uri="{C3380CC4-5D6E-409C-BE32-E72D297353CC}">
              <c16:uniqueId val="{00000002-E067-416E-944F-BAD28D62330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LCIA'!$H$6:$H$41</c15:sqref>
                  </c15:fullRef>
                </c:ext>
              </c:extLst>
              <c:f>'Results. LCIA'!$H$6:$H$7</c:f>
              <c:numCache>
                <c:formatCode>General</c:formatCode>
                <c:ptCount val="2"/>
                <c:pt idx="0">
                  <c:v>0.14388060125763052</c:v>
                </c:pt>
              </c:numCache>
            </c:numRef>
          </c:val>
          <c:extLst>
            <c:ext xmlns:c16="http://schemas.microsoft.com/office/drawing/2014/chart" uri="{C3380CC4-5D6E-409C-BE32-E72D297353CC}">
              <c16:uniqueId val="{00000003-E067-416E-944F-BAD28D62330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LCIA'!$I$6:$I$41</c15:sqref>
                  </c15:fullRef>
                </c:ext>
              </c:extLst>
              <c:f>'Results. LCIA'!$I$6:$I$7</c:f>
              <c:numCache>
                <c:formatCode>General</c:formatCode>
                <c:ptCount val="2"/>
                <c:pt idx="0">
                  <c:v>1.8493216677303447E-3</c:v>
                </c:pt>
              </c:numCache>
            </c:numRef>
          </c:val>
          <c:extLst>
            <c:ext xmlns:c16="http://schemas.microsoft.com/office/drawing/2014/chart" uri="{C3380CC4-5D6E-409C-BE32-E72D297353CC}">
              <c16:uniqueId val="{00000004-E067-416E-944F-BAD28D62330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LCIA'!$J$6:$J$41</c15:sqref>
                  </c15:fullRef>
                </c:ext>
              </c:extLst>
              <c:f>'Results. LCIA'!$J$6:$J$7</c:f>
              <c:numCache>
                <c:formatCode>General</c:formatCode>
                <c:ptCount val="2"/>
                <c:pt idx="0" formatCode="0.00">
                  <c:v>7.6756982118527089E-3</c:v>
                </c:pt>
              </c:numCache>
            </c:numRef>
          </c:val>
          <c:extLst>
            <c:ext xmlns:c16="http://schemas.microsoft.com/office/drawing/2014/chart" uri="{C3380CC4-5D6E-409C-BE32-E72D297353CC}">
              <c16:uniqueId val="{00000005-E067-416E-944F-BAD28D62330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LCIA'!$K$6:$K$41</c15:sqref>
                  </c15:fullRef>
                </c:ext>
              </c:extLst>
              <c:f>'Results. LCIA'!$K$6:$K$7</c:f>
              <c:numCache>
                <c:formatCode>General</c:formatCode>
                <c:ptCount val="2"/>
                <c:pt idx="0">
                  <c:v>5.2410182851751815E-2</c:v>
                </c:pt>
              </c:numCache>
            </c:numRef>
          </c:val>
          <c:extLst>
            <c:ext xmlns:c16="http://schemas.microsoft.com/office/drawing/2014/chart" uri="{C3380CC4-5D6E-409C-BE32-E72D297353CC}">
              <c16:uniqueId val="{00000006-E067-416E-944F-BAD28D62330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LCIA'!$L$6:$L$41</c15:sqref>
                  </c15:fullRef>
                </c:ext>
              </c:extLst>
              <c:f>'Results. LCIA'!$L$6:$L$7</c:f>
              <c:numCache>
                <c:formatCode>General</c:formatCode>
                <c:ptCount val="2"/>
                <c:pt idx="0">
                  <c:v>2.6696275090749666E-3</c:v>
                </c:pt>
              </c:numCache>
            </c:numRef>
          </c:val>
          <c:extLst>
            <c:ext xmlns:c16="http://schemas.microsoft.com/office/drawing/2014/chart" uri="{C3380CC4-5D6E-409C-BE32-E72D297353CC}">
              <c16:uniqueId val="{00000007-E067-416E-944F-BAD28D62330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LCIA'!$M$6:$M$41</c15:sqref>
                  </c15:fullRef>
                </c:ext>
              </c:extLst>
              <c:f>'Results. LCIA'!$M$6:$M$7</c:f>
              <c:numCache>
                <c:formatCode>General</c:formatCode>
                <c:ptCount val="2"/>
                <c:pt idx="0">
                  <c:v>0.11336167411572487</c:v>
                </c:pt>
              </c:numCache>
            </c:numRef>
          </c:val>
          <c:extLst>
            <c:ext xmlns:c16="http://schemas.microsoft.com/office/drawing/2014/chart" uri="{C3380CC4-5D6E-409C-BE32-E72D297353CC}">
              <c16:uniqueId val="{00000008-E067-416E-944F-BAD28D62330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LCIA'!$N$6:$N$41</c15:sqref>
                  </c15:fullRef>
                </c:ext>
              </c:extLst>
              <c:f>'Results. LCIA'!$N$6:$N$7</c:f>
              <c:numCache>
                <c:formatCode>General</c:formatCode>
                <c:ptCount val="2"/>
                <c:pt idx="0">
                  <c:v>0</c:v>
                </c:pt>
              </c:numCache>
            </c:numRef>
          </c:val>
          <c:extLst>
            <c:ext xmlns:c16="http://schemas.microsoft.com/office/drawing/2014/chart" uri="{C3380CC4-5D6E-409C-BE32-E72D297353CC}">
              <c16:uniqueId val="{00000009-E067-416E-944F-BAD28D62330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LCIA'!$O$6:$O$41</c15:sqref>
                  </c15:fullRef>
                </c:ext>
              </c:extLst>
              <c:f>'Results. LCIA'!$O$6:$O$7</c:f>
              <c:numCache>
                <c:formatCode>General</c:formatCode>
                <c:ptCount val="2"/>
                <c:pt idx="0">
                  <c:v>0</c:v>
                </c:pt>
              </c:numCache>
            </c:numRef>
          </c:val>
          <c:extLst>
            <c:ext xmlns:c16="http://schemas.microsoft.com/office/drawing/2014/chart" uri="{C3380CC4-5D6E-409C-BE32-E72D297353CC}">
              <c16:uniqueId val="{0000000A-E067-416E-944F-BAD28D62330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LCIA'!$P$6:$P$41</c15:sqref>
                  </c15:fullRef>
                </c:ext>
              </c:extLst>
              <c:f>'Results. LCIA'!$P$6:$P$7</c:f>
              <c:numCache>
                <c:formatCode>General</c:formatCode>
                <c:ptCount val="2"/>
                <c:pt idx="0">
                  <c:v>-0.15199949364244691</c:v>
                </c:pt>
              </c:numCache>
            </c:numRef>
          </c:val>
          <c:extLst>
            <c:ext xmlns:c16="http://schemas.microsoft.com/office/drawing/2014/chart" uri="{C3380CC4-5D6E-409C-BE32-E72D297353CC}">
              <c16:uniqueId val="{0000000B-E067-416E-944F-BAD28D62330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LCIA'!$Q$6:$Q$41</c15:sqref>
                  </c15:fullRef>
                </c:ext>
              </c:extLst>
              <c:f>'Results. LCIA'!$Q$6:$Q$7</c:f>
              <c:numCache>
                <c:formatCode>General</c:formatCode>
                <c:ptCount val="2"/>
                <c:pt idx="0">
                  <c:v>-0.20334475953599504</c:v>
                </c:pt>
              </c:numCache>
            </c:numRef>
          </c:val>
          <c:extLst xmlns:c15="http://schemas.microsoft.com/office/drawing/2012/chart">
            <c:ext xmlns:c16="http://schemas.microsoft.com/office/drawing/2014/chart" uri="{C3380CC4-5D6E-409C-BE32-E72D297353CC}">
              <c16:uniqueId val="{0000000C-E067-416E-944F-BAD28D62330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LCIA'!$R$6:$R$41</c15:sqref>
                  </c15:fullRef>
                </c:ext>
              </c:extLst>
              <c:f>'Results. LCIA'!$R$6:$R$7</c:f>
              <c:numCache>
                <c:formatCode>General</c:formatCode>
                <c:ptCount val="2"/>
                <c:pt idx="1">
                  <c:v>-3.3497147564676727E-2</c:v>
                </c:pt>
              </c:numCache>
            </c:numRef>
          </c:val>
          <c:extLst>
            <c:ext xmlns:c16="http://schemas.microsoft.com/office/drawing/2014/chart" uri="{C3380CC4-5D6E-409C-BE32-E72D297353CC}">
              <c16:uniqueId val="{0000000D-E067-416E-944F-BAD28D62330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LCIA'!$E$8:$E$31</c15:sqref>
                  </c15:fullRef>
                </c:ext>
              </c:extLst>
              <c:f>'Results. LCIA'!$E$22:$E$23</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2975-47FD-B228-7A4F56C39FD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LCIA'!$F$8:$F$31</c15:sqref>
                  </c15:fullRef>
                </c:ext>
              </c:extLst>
              <c:f>'Results. LCIA'!$F$22:$F$23</c:f>
              <c:numCache>
                <c:formatCode>0.00</c:formatCode>
                <c:ptCount val="2"/>
                <c:pt idx="0">
                  <c:v>0</c:v>
                </c:pt>
              </c:numCache>
            </c:numRef>
          </c:val>
          <c:extLst xmlns:c15="http://schemas.microsoft.com/office/drawing/2012/chart">
            <c:ext xmlns:c16="http://schemas.microsoft.com/office/drawing/2014/chart" uri="{C3380CC4-5D6E-409C-BE32-E72D297353CC}">
              <c16:uniqueId val="{00000001-2975-47FD-B228-7A4F56C39FD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LCIA'!$G$8:$G$31</c15:sqref>
                  </c15:fullRef>
                </c:ext>
              </c:extLst>
              <c:f>'Results. LCIA'!$G$22:$G$23</c:f>
              <c:numCache>
                <c:formatCode>0.00</c:formatCode>
                <c:ptCount val="2"/>
                <c:pt idx="0">
                  <c:v>0</c:v>
                </c:pt>
              </c:numCache>
            </c:numRef>
          </c:val>
          <c:extLst xmlns:c15="http://schemas.microsoft.com/office/drawing/2012/chart">
            <c:ext xmlns:c16="http://schemas.microsoft.com/office/drawing/2014/chart" uri="{C3380CC4-5D6E-409C-BE32-E72D297353CC}">
              <c16:uniqueId val="{00000002-2975-47FD-B228-7A4F56C39FD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LCIA'!$H$8:$H$31</c15:sqref>
                  </c15:fullRef>
                </c:ext>
              </c:extLst>
              <c:f>'Results. LCIA'!$H$22:$H$23</c:f>
              <c:numCache>
                <c:formatCode>0.00</c:formatCode>
                <c:ptCount val="2"/>
                <c:pt idx="0">
                  <c:v>2.2498014774547013</c:v>
                </c:pt>
              </c:numCache>
            </c:numRef>
          </c:val>
          <c:extLst>
            <c:ext xmlns:c16="http://schemas.microsoft.com/office/drawing/2014/chart" uri="{C3380CC4-5D6E-409C-BE32-E72D297353CC}">
              <c16:uniqueId val="{00000003-2975-47FD-B228-7A4F56C39FD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LCIA'!$I$8:$I$31</c15:sqref>
                  </c15:fullRef>
                </c:ext>
              </c:extLst>
              <c:f>'Results. LCIA'!$I$22:$I$23</c:f>
              <c:numCache>
                <c:formatCode>0.00</c:formatCode>
                <c:ptCount val="2"/>
                <c:pt idx="0">
                  <c:v>6.9516459744418613E-2</c:v>
                </c:pt>
              </c:numCache>
            </c:numRef>
          </c:val>
          <c:extLst>
            <c:ext xmlns:c16="http://schemas.microsoft.com/office/drawing/2014/chart" uri="{C3380CC4-5D6E-409C-BE32-E72D297353CC}">
              <c16:uniqueId val="{00000004-2975-47FD-B228-7A4F56C39FD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LCIA'!$J$8:$J$31</c15:sqref>
                  </c15:fullRef>
                </c:ext>
              </c:extLst>
              <c:f>'Results. LCIA'!$J$22:$J$23</c:f>
              <c:numCache>
                <c:formatCode>0.00</c:formatCode>
                <c:ptCount val="2"/>
                <c:pt idx="0">
                  <c:v>1.9553940183805829</c:v>
                </c:pt>
              </c:numCache>
            </c:numRef>
          </c:val>
          <c:extLst>
            <c:ext xmlns:c16="http://schemas.microsoft.com/office/drawing/2014/chart" uri="{C3380CC4-5D6E-409C-BE32-E72D297353CC}">
              <c16:uniqueId val="{00000005-2975-47FD-B228-7A4F56C39FD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LCIA'!$K$8:$K$31</c15:sqref>
                  </c15:fullRef>
                </c:ext>
              </c:extLst>
              <c:f>'Results. LCIA'!$K$22:$K$23</c:f>
              <c:numCache>
                <c:formatCode>0.00</c:formatCode>
                <c:ptCount val="2"/>
                <c:pt idx="0">
                  <c:v>1.1799533856895925</c:v>
                </c:pt>
              </c:numCache>
            </c:numRef>
          </c:val>
          <c:extLst>
            <c:ext xmlns:c16="http://schemas.microsoft.com/office/drawing/2014/chart" uri="{C3380CC4-5D6E-409C-BE32-E72D297353CC}">
              <c16:uniqueId val="{00000006-2975-47FD-B228-7A4F56C39FD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LCIA'!$L$8:$L$31</c15:sqref>
                  </c15:fullRef>
                </c:ext>
              </c:extLst>
              <c:f>'Results. LCIA'!$L$22:$L$23</c:f>
              <c:numCache>
                <c:formatCode>0.00</c:formatCode>
                <c:ptCount val="2"/>
                <c:pt idx="0">
                  <c:v>0.61090551871253385</c:v>
                </c:pt>
              </c:numCache>
            </c:numRef>
          </c:val>
          <c:extLst>
            <c:ext xmlns:c16="http://schemas.microsoft.com/office/drawing/2014/chart" uri="{C3380CC4-5D6E-409C-BE32-E72D297353CC}">
              <c16:uniqueId val="{00000007-2975-47FD-B228-7A4F56C39FD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LCIA'!$M$8:$M$31</c15:sqref>
                  </c15:fullRef>
                </c:ext>
              </c:extLst>
              <c:f>'Results. LCIA'!$M$22:$M$23</c:f>
              <c:numCache>
                <c:formatCode>0.00</c:formatCode>
                <c:ptCount val="2"/>
                <c:pt idx="0">
                  <c:v>0.61643447393654149</c:v>
                </c:pt>
              </c:numCache>
            </c:numRef>
          </c:val>
          <c:extLst>
            <c:ext xmlns:c16="http://schemas.microsoft.com/office/drawing/2014/chart" uri="{C3380CC4-5D6E-409C-BE32-E72D297353CC}">
              <c16:uniqueId val="{00000008-2975-47FD-B228-7A4F56C39FD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LCIA'!$N$8:$N$31</c15:sqref>
                  </c15:fullRef>
                </c:ext>
              </c:extLst>
              <c:f>'Results. LCIA'!$N$22:$N$23</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2975-47FD-B228-7A4F56C39FD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LCIA'!$O$8:$O$31</c15:sqref>
                  </c15:fullRef>
                </c:ext>
              </c:extLst>
              <c:f>'Results. LCIA'!$O$22:$O$23</c:f>
              <c:numCache>
                <c:formatCode>0.00</c:formatCode>
                <c:ptCount val="2"/>
                <c:pt idx="0">
                  <c:v>0</c:v>
                </c:pt>
              </c:numCache>
            </c:numRef>
          </c:val>
          <c:extLst>
            <c:ext xmlns:c16="http://schemas.microsoft.com/office/drawing/2014/chart" uri="{C3380CC4-5D6E-409C-BE32-E72D297353CC}">
              <c16:uniqueId val="{0000000A-2975-47FD-B228-7A4F56C39FD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LCIA'!$P$8:$P$31</c15:sqref>
                  </c15:fullRef>
                </c:ext>
              </c:extLst>
              <c:f>'Results. LCIA'!$P$22:$P$23</c:f>
              <c:numCache>
                <c:formatCode>0.00</c:formatCode>
                <c:ptCount val="2"/>
                <c:pt idx="0">
                  <c:v>-3.2759022088078202</c:v>
                </c:pt>
              </c:numCache>
            </c:numRef>
          </c:val>
          <c:extLst>
            <c:ext xmlns:c16="http://schemas.microsoft.com/office/drawing/2014/chart" uri="{C3380CC4-5D6E-409C-BE32-E72D297353CC}">
              <c16:uniqueId val="{0000000B-2975-47FD-B228-7A4F56C39FD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LCIA'!$Q$8:$Q$31</c15:sqref>
                  </c15:fullRef>
                </c:ext>
              </c:extLst>
              <c:f>'Results. LCIA'!$Q$22:$Q$23</c:f>
              <c:numCache>
                <c:formatCode>0.00</c:formatCode>
                <c:ptCount val="2"/>
                <c:pt idx="0">
                  <c:v>-3.8541896285512784</c:v>
                </c:pt>
              </c:numCache>
            </c:numRef>
          </c:val>
          <c:extLst xmlns:c15="http://schemas.microsoft.com/office/drawing/2012/chart">
            <c:ext xmlns:c16="http://schemas.microsoft.com/office/drawing/2014/chart" uri="{C3380CC4-5D6E-409C-BE32-E72D297353CC}">
              <c16:uniqueId val="{0000000C-2975-47FD-B228-7A4F56C39FD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LCIA'!$R$8:$R$31</c15:sqref>
                  </c15:fullRef>
                </c:ext>
              </c:extLst>
              <c:f>'Results. LCIA'!$R$22:$R$23</c:f>
              <c:numCache>
                <c:formatCode>0.00</c:formatCode>
                <c:ptCount val="2"/>
                <c:pt idx="1">
                  <c:v>-0.4480865034407282</c:v>
                </c:pt>
              </c:numCache>
            </c:numRef>
          </c:val>
          <c:extLst>
            <c:ext xmlns:c16="http://schemas.microsoft.com/office/drawing/2014/chart" uri="{C3380CC4-5D6E-409C-BE32-E72D297353CC}">
              <c16:uniqueId val="{0000000D-2975-47FD-B228-7A4F56C39FD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LCIA'!$E$8:$E$31</c15:sqref>
                  </c15:fullRef>
                </c:ext>
              </c:extLst>
              <c:f>'Results. LCIA'!$E$24:$E$25</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5B6B-458E-95D2-7A024D361411}"/>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LCIA'!$F$8:$F$31</c15:sqref>
                  </c15:fullRef>
                </c:ext>
              </c:extLst>
              <c:f>'Results. LCIA'!$F$24:$F$25</c:f>
              <c:numCache>
                <c:formatCode>0.00</c:formatCode>
                <c:ptCount val="2"/>
                <c:pt idx="0">
                  <c:v>0</c:v>
                </c:pt>
              </c:numCache>
            </c:numRef>
          </c:val>
          <c:extLst xmlns:c15="http://schemas.microsoft.com/office/drawing/2012/chart">
            <c:ext xmlns:c16="http://schemas.microsoft.com/office/drawing/2014/chart" uri="{C3380CC4-5D6E-409C-BE32-E72D297353CC}">
              <c16:uniqueId val="{00000001-5B6B-458E-95D2-7A024D361411}"/>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LCIA'!$G$8:$G$31</c15:sqref>
                  </c15:fullRef>
                </c:ext>
              </c:extLst>
              <c:f>'Results. LCIA'!$G$24:$G$25</c:f>
              <c:numCache>
                <c:formatCode>0.00</c:formatCode>
                <c:ptCount val="2"/>
                <c:pt idx="0">
                  <c:v>0</c:v>
                </c:pt>
              </c:numCache>
            </c:numRef>
          </c:val>
          <c:extLst xmlns:c15="http://schemas.microsoft.com/office/drawing/2012/chart">
            <c:ext xmlns:c16="http://schemas.microsoft.com/office/drawing/2014/chart" uri="{C3380CC4-5D6E-409C-BE32-E72D297353CC}">
              <c16:uniqueId val="{00000002-5B6B-458E-95D2-7A024D361411}"/>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LCIA'!$H$8:$H$31</c15:sqref>
                  </c15:fullRef>
                </c:ext>
              </c:extLst>
              <c:f>'Results. LCIA'!$H$24:$H$25</c:f>
              <c:numCache>
                <c:formatCode>0.00</c:formatCode>
                <c:ptCount val="2"/>
                <c:pt idx="0">
                  <c:v>16.634886197778428</c:v>
                </c:pt>
              </c:numCache>
            </c:numRef>
          </c:val>
          <c:extLst>
            <c:ext xmlns:c16="http://schemas.microsoft.com/office/drawing/2014/chart" uri="{C3380CC4-5D6E-409C-BE32-E72D297353CC}">
              <c16:uniqueId val="{00000003-5B6B-458E-95D2-7A024D361411}"/>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LCIA'!$I$8:$I$31</c15:sqref>
                  </c15:fullRef>
                </c:ext>
              </c:extLst>
              <c:f>'Results. LCIA'!$I$24:$I$25</c:f>
              <c:numCache>
                <c:formatCode>0.00</c:formatCode>
                <c:ptCount val="2"/>
                <c:pt idx="0">
                  <c:v>0.20644932596619633</c:v>
                </c:pt>
              </c:numCache>
            </c:numRef>
          </c:val>
          <c:extLst>
            <c:ext xmlns:c16="http://schemas.microsoft.com/office/drawing/2014/chart" uri="{C3380CC4-5D6E-409C-BE32-E72D297353CC}">
              <c16:uniqueId val="{00000004-5B6B-458E-95D2-7A024D361411}"/>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LCIA'!$J$8:$J$31</c15:sqref>
                  </c15:fullRef>
                </c:ext>
              </c:extLst>
              <c:f>'Results. LCIA'!$J$24:$J$25</c:f>
              <c:numCache>
                <c:formatCode>0.00</c:formatCode>
                <c:ptCount val="2"/>
                <c:pt idx="0">
                  <c:v>2.5047495649950888</c:v>
                </c:pt>
              </c:numCache>
            </c:numRef>
          </c:val>
          <c:extLst>
            <c:ext xmlns:c16="http://schemas.microsoft.com/office/drawing/2014/chart" uri="{C3380CC4-5D6E-409C-BE32-E72D297353CC}">
              <c16:uniqueId val="{00000005-5B6B-458E-95D2-7A024D361411}"/>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LCIA'!$K$8:$K$31</c15:sqref>
                  </c15:fullRef>
                </c:ext>
              </c:extLst>
              <c:f>'Results. LCIA'!$K$24:$K$25</c:f>
              <c:numCache>
                <c:formatCode>0.00</c:formatCode>
                <c:ptCount val="2"/>
                <c:pt idx="0">
                  <c:v>19.290441843146205</c:v>
                </c:pt>
              </c:numCache>
            </c:numRef>
          </c:val>
          <c:extLst>
            <c:ext xmlns:c16="http://schemas.microsoft.com/office/drawing/2014/chart" uri="{C3380CC4-5D6E-409C-BE32-E72D297353CC}">
              <c16:uniqueId val="{00000006-5B6B-458E-95D2-7A024D361411}"/>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LCIA'!$L$8:$L$31</c15:sqref>
                  </c15:fullRef>
                </c:ext>
              </c:extLst>
              <c:f>'Results. LCIA'!$L$24:$L$25</c:f>
              <c:numCache>
                <c:formatCode>0.00</c:formatCode>
                <c:ptCount val="2"/>
                <c:pt idx="0">
                  <c:v>0.88602213587871392</c:v>
                </c:pt>
              </c:numCache>
            </c:numRef>
          </c:val>
          <c:extLst>
            <c:ext xmlns:c16="http://schemas.microsoft.com/office/drawing/2014/chart" uri="{C3380CC4-5D6E-409C-BE32-E72D297353CC}">
              <c16:uniqueId val="{00000007-5B6B-458E-95D2-7A024D361411}"/>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LCIA'!$M$8:$M$31</c15:sqref>
                  </c15:fullRef>
                </c:ext>
              </c:extLst>
              <c:f>'Results. LCIA'!$M$24:$M$25</c:f>
              <c:numCache>
                <c:formatCode>0.00</c:formatCode>
                <c:ptCount val="2"/>
                <c:pt idx="0">
                  <c:v>8.9741766205207174</c:v>
                </c:pt>
              </c:numCache>
            </c:numRef>
          </c:val>
          <c:extLst>
            <c:ext xmlns:c16="http://schemas.microsoft.com/office/drawing/2014/chart" uri="{C3380CC4-5D6E-409C-BE32-E72D297353CC}">
              <c16:uniqueId val="{00000008-5B6B-458E-95D2-7A024D361411}"/>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LCIA'!$N$8:$N$31</c15:sqref>
                  </c15:fullRef>
                </c:ext>
              </c:extLst>
              <c:f>'Results. LCIA'!$N$24:$N$25</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5B6B-458E-95D2-7A024D361411}"/>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LCIA'!$O$8:$O$31</c15:sqref>
                  </c15:fullRef>
                </c:ext>
              </c:extLst>
              <c:f>'Results. LCIA'!$O$24:$O$25</c:f>
              <c:numCache>
                <c:formatCode>0.00</c:formatCode>
                <c:ptCount val="2"/>
                <c:pt idx="0">
                  <c:v>0</c:v>
                </c:pt>
              </c:numCache>
            </c:numRef>
          </c:val>
          <c:extLst>
            <c:ext xmlns:c16="http://schemas.microsoft.com/office/drawing/2014/chart" uri="{C3380CC4-5D6E-409C-BE32-E72D297353CC}">
              <c16:uniqueId val="{0000000A-5B6B-458E-95D2-7A024D361411}"/>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LCIA'!$P$8:$P$31</c15:sqref>
                  </c15:fullRef>
                </c:ext>
              </c:extLst>
              <c:f>'Results. LCIA'!$P$24:$P$25</c:f>
              <c:numCache>
                <c:formatCode>0.00</c:formatCode>
                <c:ptCount val="2"/>
                <c:pt idx="0">
                  <c:v>-58.049991248031283</c:v>
                </c:pt>
              </c:numCache>
            </c:numRef>
          </c:val>
          <c:extLst>
            <c:ext xmlns:c16="http://schemas.microsoft.com/office/drawing/2014/chart" uri="{C3380CC4-5D6E-409C-BE32-E72D297353CC}">
              <c16:uniqueId val="{0000000B-5B6B-458E-95D2-7A024D361411}"/>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LCIA'!$Q$8:$Q$31</c15:sqref>
                  </c15:fullRef>
                </c:ext>
              </c:extLst>
              <c:f>'Results. LCIA'!$Q$24:$Q$25</c:f>
              <c:numCache>
                <c:formatCode>0.00</c:formatCode>
                <c:ptCount val="2"/>
                <c:pt idx="0">
                  <c:v>-56.440707996465164</c:v>
                </c:pt>
              </c:numCache>
            </c:numRef>
          </c:val>
          <c:extLst xmlns:c15="http://schemas.microsoft.com/office/drawing/2012/chart">
            <c:ext xmlns:c16="http://schemas.microsoft.com/office/drawing/2014/chart" uri="{C3380CC4-5D6E-409C-BE32-E72D297353CC}">
              <c16:uniqueId val="{0000000C-5B6B-458E-95D2-7A024D361411}"/>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LCIA'!$R$8:$R$31</c15:sqref>
                  </c15:fullRef>
                </c:ext>
              </c:extLst>
              <c:f>'Results. LCIA'!$R$24:$R$25</c:f>
              <c:numCache>
                <c:formatCode>0.00</c:formatCode>
                <c:ptCount val="2"/>
                <c:pt idx="1">
                  <c:v>-65.993973556211103</c:v>
                </c:pt>
              </c:numCache>
            </c:numRef>
          </c:val>
          <c:extLst>
            <c:ext xmlns:c16="http://schemas.microsoft.com/office/drawing/2014/chart" uri="{C3380CC4-5D6E-409C-BE32-E72D297353CC}">
              <c16:uniqueId val="{0000000D-5B6B-458E-95D2-7A024D361411}"/>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LCIA'!$E$8:$E$31</c15:sqref>
                  </c15:fullRef>
                </c:ext>
              </c:extLst>
              <c:f>'Results. LCIA'!$E$26:$E$27</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E9D4-47CA-BBBA-787EB4FCA05E}"/>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LCIA'!$F$8:$F$31</c15:sqref>
                  </c15:fullRef>
                </c:ext>
              </c:extLst>
              <c:f>'Results. LCIA'!$F$26:$F$27</c:f>
              <c:numCache>
                <c:formatCode>0.00</c:formatCode>
                <c:ptCount val="2"/>
                <c:pt idx="0">
                  <c:v>0</c:v>
                </c:pt>
              </c:numCache>
            </c:numRef>
          </c:val>
          <c:extLst xmlns:c15="http://schemas.microsoft.com/office/drawing/2012/chart">
            <c:ext xmlns:c16="http://schemas.microsoft.com/office/drawing/2014/chart" uri="{C3380CC4-5D6E-409C-BE32-E72D297353CC}">
              <c16:uniqueId val="{00000001-E9D4-47CA-BBBA-787EB4FCA05E}"/>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LCIA'!$G$8:$G$31</c15:sqref>
                  </c15:fullRef>
                </c:ext>
              </c:extLst>
              <c:f>'Results. LCIA'!$G$26:$G$27</c:f>
              <c:numCache>
                <c:formatCode>0.00</c:formatCode>
                <c:ptCount val="2"/>
                <c:pt idx="0">
                  <c:v>0</c:v>
                </c:pt>
              </c:numCache>
            </c:numRef>
          </c:val>
          <c:extLst xmlns:c15="http://schemas.microsoft.com/office/drawing/2012/chart">
            <c:ext xmlns:c16="http://schemas.microsoft.com/office/drawing/2014/chart" uri="{C3380CC4-5D6E-409C-BE32-E72D297353CC}">
              <c16:uniqueId val="{00000002-E9D4-47CA-BBBA-787EB4FCA05E}"/>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LCIA'!$H$8:$H$31</c15:sqref>
                  </c15:fullRef>
                </c:ext>
              </c:extLst>
              <c:f>'Results. LCIA'!$H$26:$H$27</c:f>
              <c:numCache>
                <c:formatCode>0.00</c:formatCode>
                <c:ptCount val="2"/>
                <c:pt idx="0">
                  <c:v>4.2664154277352768</c:v>
                </c:pt>
              </c:numCache>
            </c:numRef>
          </c:val>
          <c:extLst>
            <c:ext xmlns:c16="http://schemas.microsoft.com/office/drawing/2014/chart" uri="{C3380CC4-5D6E-409C-BE32-E72D297353CC}">
              <c16:uniqueId val="{00000003-E9D4-47CA-BBBA-787EB4FCA05E}"/>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LCIA'!$I$8:$I$31</c15:sqref>
                  </c15:fullRef>
                </c:ext>
              </c:extLst>
              <c:f>'Results. LCIA'!$I$26:$I$27</c:f>
              <c:numCache>
                <c:formatCode>0.00</c:formatCode>
                <c:ptCount val="2"/>
                <c:pt idx="0">
                  <c:v>2.6436517197660284E-2</c:v>
                </c:pt>
              </c:numCache>
            </c:numRef>
          </c:val>
          <c:extLst>
            <c:ext xmlns:c16="http://schemas.microsoft.com/office/drawing/2014/chart" uri="{C3380CC4-5D6E-409C-BE32-E72D297353CC}">
              <c16:uniqueId val="{00000004-E9D4-47CA-BBBA-787EB4FCA05E}"/>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LCIA'!$J$8:$J$31</c15:sqref>
                  </c15:fullRef>
                </c:ext>
              </c:extLst>
              <c:f>'Results. LCIA'!$J$26:$J$27</c:f>
              <c:numCache>
                <c:formatCode>0.00</c:formatCode>
                <c:ptCount val="2"/>
                <c:pt idx="0">
                  <c:v>0.14174231602806697</c:v>
                </c:pt>
              </c:numCache>
            </c:numRef>
          </c:val>
          <c:extLst>
            <c:ext xmlns:c16="http://schemas.microsoft.com/office/drawing/2014/chart" uri="{C3380CC4-5D6E-409C-BE32-E72D297353CC}">
              <c16:uniqueId val="{00000005-E9D4-47CA-BBBA-787EB4FCA05E}"/>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LCIA'!$K$8:$K$31</c15:sqref>
                  </c15:fullRef>
                </c:ext>
              </c:extLst>
              <c:f>'Results. LCIA'!$K$26:$K$27</c:f>
              <c:numCache>
                <c:formatCode>0.00</c:formatCode>
                <c:ptCount val="2"/>
                <c:pt idx="0">
                  <c:v>1.5009794062569692</c:v>
                </c:pt>
              </c:numCache>
            </c:numRef>
          </c:val>
          <c:extLst>
            <c:ext xmlns:c16="http://schemas.microsoft.com/office/drawing/2014/chart" uri="{C3380CC4-5D6E-409C-BE32-E72D297353CC}">
              <c16:uniqueId val="{00000006-E9D4-47CA-BBBA-787EB4FCA05E}"/>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LCIA'!$L$8:$L$31</c15:sqref>
                  </c15:fullRef>
                </c:ext>
              </c:extLst>
              <c:f>'Results. LCIA'!$L$26:$L$27</c:f>
              <c:numCache>
                <c:formatCode>0.00</c:formatCode>
                <c:ptCount val="2"/>
                <c:pt idx="0">
                  <c:v>0.25425023895952059</c:v>
                </c:pt>
              </c:numCache>
            </c:numRef>
          </c:val>
          <c:extLst>
            <c:ext xmlns:c16="http://schemas.microsoft.com/office/drawing/2014/chart" uri="{C3380CC4-5D6E-409C-BE32-E72D297353CC}">
              <c16:uniqueId val="{00000007-E9D4-47CA-BBBA-787EB4FCA05E}"/>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LCIA'!$M$8:$M$31</c15:sqref>
                  </c15:fullRef>
                </c:ext>
              </c:extLst>
              <c:f>'Results. LCIA'!$M$26:$M$27</c:f>
              <c:numCache>
                <c:formatCode>0.00</c:formatCode>
                <c:ptCount val="2"/>
                <c:pt idx="0">
                  <c:v>0.28949572656527961</c:v>
                </c:pt>
              </c:numCache>
            </c:numRef>
          </c:val>
          <c:extLst>
            <c:ext xmlns:c16="http://schemas.microsoft.com/office/drawing/2014/chart" uri="{C3380CC4-5D6E-409C-BE32-E72D297353CC}">
              <c16:uniqueId val="{00000008-E9D4-47CA-BBBA-787EB4FCA05E}"/>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LCIA'!$N$8:$N$31</c15:sqref>
                  </c15:fullRef>
                </c:ext>
              </c:extLst>
              <c:f>'Results. LCIA'!$N$26:$N$27</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E9D4-47CA-BBBA-787EB4FCA05E}"/>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LCIA'!$O$8:$O$31</c15:sqref>
                  </c15:fullRef>
                </c:ext>
              </c:extLst>
              <c:f>'Results. LCIA'!$O$26:$O$27</c:f>
              <c:numCache>
                <c:formatCode>0.00</c:formatCode>
                <c:ptCount val="2"/>
                <c:pt idx="0">
                  <c:v>0</c:v>
                </c:pt>
              </c:numCache>
            </c:numRef>
          </c:val>
          <c:extLst>
            <c:ext xmlns:c16="http://schemas.microsoft.com/office/drawing/2014/chart" uri="{C3380CC4-5D6E-409C-BE32-E72D297353CC}">
              <c16:uniqueId val="{0000000A-E9D4-47CA-BBBA-787EB4FCA05E}"/>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LCIA'!$P$8:$P$31</c15:sqref>
                  </c15:fullRef>
                </c:ext>
              </c:extLst>
              <c:f>'Results. LCIA'!$P$26:$P$27</c:f>
              <c:numCache>
                <c:formatCode>0.00</c:formatCode>
                <c:ptCount val="2"/>
                <c:pt idx="0">
                  <c:v>-5.20836807657441</c:v>
                </c:pt>
              </c:numCache>
            </c:numRef>
          </c:val>
          <c:extLst>
            <c:ext xmlns:c16="http://schemas.microsoft.com/office/drawing/2014/chart" uri="{C3380CC4-5D6E-409C-BE32-E72D297353CC}">
              <c16:uniqueId val="{0000000B-E9D4-47CA-BBBA-787EB4FCA05E}"/>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LCIA'!$Q$8:$Q$31</c15:sqref>
                  </c15:fullRef>
                </c:ext>
              </c:extLst>
              <c:f>'Results. LCIA'!$Q$26:$Q$27</c:f>
              <c:numCache>
                <c:formatCode>0.00</c:formatCode>
                <c:ptCount val="2"/>
                <c:pt idx="0" formatCode="General">
                  <c:v>-3.4996803582702407</c:v>
                </c:pt>
              </c:numCache>
            </c:numRef>
          </c:val>
          <c:extLst xmlns:c15="http://schemas.microsoft.com/office/drawing/2012/chart">
            <c:ext xmlns:c16="http://schemas.microsoft.com/office/drawing/2014/chart" uri="{C3380CC4-5D6E-409C-BE32-E72D297353CC}">
              <c16:uniqueId val="{0000000C-E9D4-47CA-BBBA-787EB4FCA05E}"/>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LCIA'!$R$8:$R$31</c15:sqref>
                  </c15:fullRef>
                </c:ext>
              </c:extLst>
              <c:f>'Results. LCIA'!$R$26:$R$27</c:f>
              <c:numCache>
                <c:formatCode>0.00</c:formatCode>
                <c:ptCount val="2"/>
                <c:pt idx="1">
                  <c:v>0</c:v>
                </c:pt>
              </c:numCache>
            </c:numRef>
          </c:val>
          <c:extLst>
            <c:ext xmlns:c16="http://schemas.microsoft.com/office/drawing/2014/chart" uri="{C3380CC4-5D6E-409C-BE32-E72D297353CC}">
              <c16:uniqueId val="{0000000D-E9D4-47CA-BBBA-787EB4FCA05E}"/>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LCIA'!$E$6:$E$41</c15:sqref>
                  </c15:fullRef>
                </c:ext>
              </c:extLst>
              <c:f>'Results. LCIA'!$E$28:$E$29</c:f>
              <c:numCache>
                <c:formatCode>General</c:formatCode>
                <c:ptCount val="2"/>
                <c:pt idx="0">
                  <c:v>0</c:v>
                </c:pt>
              </c:numCache>
            </c:numRef>
          </c:val>
          <c:extLst xmlns:c15="http://schemas.microsoft.com/office/drawing/2012/chart">
            <c:ext xmlns:c16="http://schemas.microsoft.com/office/drawing/2014/chart" uri="{C3380CC4-5D6E-409C-BE32-E72D297353CC}">
              <c16:uniqueId val="{00000000-8CEE-482F-87D6-C57BFD90577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LCIA'!$F$6:$F$41</c15:sqref>
                  </c15:fullRef>
                </c:ext>
              </c:extLst>
              <c:f>'Results. LCIA'!$F$28:$F$29</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8CEE-482F-87D6-C57BFD90577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LCIA'!$G$6:$G$41</c15:sqref>
                  </c15:fullRef>
                </c:ext>
              </c:extLst>
              <c:f>'Results. LCIA'!$G$28:$G$29</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8CEE-482F-87D6-C57BFD90577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LCIA'!$H$6:$H$41</c15:sqref>
                  </c15:fullRef>
                </c:ext>
              </c:extLst>
              <c:f>'Results. LCIA'!$H$28:$H$29</c:f>
              <c:numCache>
                <c:formatCode>General</c:formatCode>
                <c:ptCount val="2"/>
                <c:pt idx="0" formatCode="0.00">
                  <c:v>2.0090042850419438</c:v>
                </c:pt>
              </c:numCache>
            </c:numRef>
          </c:val>
          <c:extLst>
            <c:ext xmlns:c16="http://schemas.microsoft.com/office/drawing/2014/chart" uri="{C3380CC4-5D6E-409C-BE32-E72D297353CC}">
              <c16:uniqueId val="{00000003-8CEE-482F-87D6-C57BFD90577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LCIA'!$I$6:$I$41</c15:sqref>
                  </c15:fullRef>
                </c:ext>
              </c:extLst>
              <c:f>'Results. LCIA'!$I$28:$I$29</c:f>
              <c:numCache>
                <c:formatCode>General</c:formatCode>
                <c:ptCount val="2"/>
                <c:pt idx="0" formatCode="0.00">
                  <c:v>4.9620300133753703E-3</c:v>
                </c:pt>
              </c:numCache>
            </c:numRef>
          </c:val>
          <c:extLst>
            <c:ext xmlns:c16="http://schemas.microsoft.com/office/drawing/2014/chart" uri="{C3380CC4-5D6E-409C-BE32-E72D297353CC}">
              <c16:uniqueId val="{00000004-8CEE-482F-87D6-C57BFD90577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LCIA'!$J$6:$J$41</c15:sqref>
                  </c15:fullRef>
                </c:ext>
              </c:extLst>
              <c:f>'Results. LCIA'!$J$28:$J$29</c:f>
              <c:numCache>
                <c:formatCode>General</c:formatCode>
                <c:ptCount val="2"/>
                <c:pt idx="0" formatCode="0.00">
                  <c:v>7.142122398564596E-2</c:v>
                </c:pt>
              </c:numCache>
            </c:numRef>
          </c:val>
          <c:extLst>
            <c:ext xmlns:c16="http://schemas.microsoft.com/office/drawing/2014/chart" uri="{C3380CC4-5D6E-409C-BE32-E72D297353CC}">
              <c16:uniqueId val="{00000005-8CEE-482F-87D6-C57BFD90577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LCIA'!$K$6:$K$41</c15:sqref>
                  </c15:fullRef>
                </c:ext>
              </c:extLst>
              <c:f>'Results. LCIA'!$K$28:$K$29</c:f>
              <c:numCache>
                <c:formatCode>General</c:formatCode>
                <c:ptCount val="2"/>
                <c:pt idx="0" formatCode="0.00">
                  <c:v>0.30895031588592725</c:v>
                </c:pt>
              </c:numCache>
            </c:numRef>
          </c:val>
          <c:extLst>
            <c:ext xmlns:c16="http://schemas.microsoft.com/office/drawing/2014/chart" uri="{C3380CC4-5D6E-409C-BE32-E72D297353CC}">
              <c16:uniqueId val="{00000006-8CEE-482F-87D6-C57BFD90577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LCIA'!$L$6:$L$41</c15:sqref>
                  </c15:fullRef>
                </c:ext>
              </c:extLst>
              <c:f>'Results. LCIA'!$L$28:$L$29</c:f>
              <c:numCache>
                <c:formatCode>General</c:formatCode>
                <c:ptCount val="2"/>
                <c:pt idx="0" formatCode="0.00">
                  <c:v>1.9445443645672099E-2</c:v>
                </c:pt>
              </c:numCache>
            </c:numRef>
          </c:val>
          <c:extLst>
            <c:ext xmlns:c16="http://schemas.microsoft.com/office/drawing/2014/chart" uri="{C3380CC4-5D6E-409C-BE32-E72D297353CC}">
              <c16:uniqueId val="{00000007-8CEE-482F-87D6-C57BFD90577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LCIA'!$M$6:$M$41</c15:sqref>
                  </c15:fullRef>
                </c:ext>
              </c:extLst>
              <c:f>'Results. LCIA'!$M$28:$M$29</c:f>
              <c:numCache>
                <c:formatCode>General</c:formatCode>
                <c:ptCount val="2"/>
                <c:pt idx="0" formatCode="0.00">
                  <c:v>0.72294099476449669</c:v>
                </c:pt>
              </c:numCache>
            </c:numRef>
          </c:val>
          <c:extLst>
            <c:ext xmlns:c16="http://schemas.microsoft.com/office/drawing/2014/chart" uri="{C3380CC4-5D6E-409C-BE32-E72D297353CC}">
              <c16:uniqueId val="{00000008-8CEE-482F-87D6-C57BFD90577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LCIA'!$N$6:$N$41</c15:sqref>
                  </c15:fullRef>
                </c:ext>
              </c:extLst>
              <c:f>'Results. LCIA'!$N$28:$N$29</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8CEE-482F-87D6-C57BFD90577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LCIA'!$O$6:$O$41</c15:sqref>
                  </c15:fullRef>
                </c:ext>
              </c:extLst>
              <c:f>'Results. LCIA'!$O$28:$O$29</c:f>
              <c:numCache>
                <c:formatCode>General</c:formatCode>
                <c:ptCount val="2"/>
                <c:pt idx="0" formatCode="0.00">
                  <c:v>0</c:v>
                </c:pt>
              </c:numCache>
            </c:numRef>
          </c:val>
          <c:extLst>
            <c:ext xmlns:c16="http://schemas.microsoft.com/office/drawing/2014/chart" uri="{C3380CC4-5D6E-409C-BE32-E72D297353CC}">
              <c16:uniqueId val="{0000000A-8CEE-482F-87D6-C57BFD90577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LCIA'!$P$6:$P$41</c15:sqref>
                  </c15:fullRef>
                </c:ext>
              </c:extLst>
              <c:f>'Results. LCIA'!$P$28:$P$29</c:f>
              <c:numCache>
                <c:formatCode>General</c:formatCode>
                <c:ptCount val="2"/>
                <c:pt idx="0" formatCode="0.00">
                  <c:v>-4.1241347798192134</c:v>
                </c:pt>
              </c:numCache>
            </c:numRef>
          </c:val>
          <c:extLst>
            <c:ext xmlns:c16="http://schemas.microsoft.com/office/drawing/2014/chart" uri="{C3380CC4-5D6E-409C-BE32-E72D297353CC}">
              <c16:uniqueId val="{0000000B-8CEE-482F-87D6-C57BFD90577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LCIA'!$Q$6:$Q$41</c15:sqref>
                  </c15:fullRef>
                </c:ext>
              </c:extLst>
              <c:f>'Results. LCIA'!$Q$28:$Q$29</c:f>
              <c:numCache>
                <c:formatCode>General</c:formatCode>
                <c:ptCount val="2"/>
                <c:pt idx="0">
                  <c:v>-0.98994028049689686</c:v>
                </c:pt>
              </c:numCache>
            </c:numRef>
          </c:val>
          <c:extLst xmlns:c15="http://schemas.microsoft.com/office/drawing/2012/chart">
            <c:ext xmlns:c16="http://schemas.microsoft.com/office/drawing/2014/chart" uri="{C3380CC4-5D6E-409C-BE32-E72D297353CC}">
              <c16:uniqueId val="{0000000C-8CEE-482F-87D6-C57BFD90577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LCIA'!$R$6:$R$41</c15:sqref>
                  </c15:fullRef>
                </c:ext>
              </c:extLst>
              <c:f>'Results. LCIA'!$R$28:$R$29</c:f>
              <c:numCache>
                <c:formatCode>General</c:formatCode>
                <c:ptCount val="2"/>
                <c:pt idx="1" formatCode="0.00">
                  <c:v>0</c:v>
                </c:pt>
              </c:numCache>
            </c:numRef>
          </c:val>
          <c:extLst>
            <c:ext xmlns:c16="http://schemas.microsoft.com/office/drawing/2014/chart" uri="{C3380CC4-5D6E-409C-BE32-E72D297353CC}">
              <c16:uniqueId val="{0000000D-8CEE-482F-87D6-C57BFD90577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LCIA'!$E$6:$E$41</c15:sqref>
                  </c15:fullRef>
                </c:ext>
              </c:extLst>
              <c:f>'Results. LCIA'!$E$30:$E$31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9724-4DC6-9CC4-062CB9F6E4AF}"/>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LCIA'!$F$6:$F$41</c15:sqref>
                  </c15:fullRef>
                </c:ext>
              </c:extLst>
              <c:f>'Results. LCIA'!$F$30:$F$31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9724-4DC6-9CC4-062CB9F6E4AF}"/>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LCIA'!$G$6:$G$41</c15:sqref>
                  </c15:fullRef>
                </c:ext>
              </c:extLst>
              <c:f>'Results. LCIA'!$G$30:$G$31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9724-4DC6-9CC4-062CB9F6E4AF}"/>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LCIA'!$H$6:$H$41</c15:sqref>
                  </c15:fullRef>
                </c:ext>
              </c:extLst>
              <c:f>'Results. LCIA'!$H$30:$H$31</c:f>
              <c:numCache>
                <c:formatCode>General</c:formatCode>
                <c:ptCount val="2"/>
                <c:pt idx="0" formatCode="0.00">
                  <c:v>0.51037419142006335</c:v>
                </c:pt>
              </c:numCache>
            </c:numRef>
          </c:val>
          <c:extLst>
            <c:ext xmlns:c16="http://schemas.microsoft.com/office/drawing/2014/chart" uri="{C3380CC4-5D6E-409C-BE32-E72D297353CC}">
              <c16:uniqueId val="{00000003-9724-4DC6-9CC4-062CB9F6E4AF}"/>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LCIA'!$I$6:$I$41</c15:sqref>
                  </c15:fullRef>
                </c:ext>
              </c:extLst>
              <c:f>'Results. LCIA'!$I$30:$I$31</c:f>
              <c:numCache>
                <c:formatCode>General</c:formatCode>
                <c:ptCount val="2"/>
                <c:pt idx="0" formatCode="0.00">
                  <c:v>2.7308072850666748E-2</c:v>
                </c:pt>
              </c:numCache>
            </c:numRef>
          </c:val>
          <c:extLst>
            <c:ext xmlns:c16="http://schemas.microsoft.com/office/drawing/2014/chart" uri="{C3380CC4-5D6E-409C-BE32-E72D297353CC}">
              <c16:uniqueId val="{00000004-9724-4DC6-9CC4-062CB9F6E4AF}"/>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LCIA'!$J$6:$J$41</c15:sqref>
                  </c15:fullRef>
                </c:ext>
              </c:extLst>
              <c:f>'Results. LCIA'!$J$30:$J$31</c:f>
              <c:numCache>
                <c:formatCode>General</c:formatCode>
                <c:ptCount val="2"/>
                <c:pt idx="0" formatCode="0.00">
                  <c:v>0.29672308125508889</c:v>
                </c:pt>
              </c:numCache>
            </c:numRef>
          </c:val>
          <c:extLst>
            <c:ext xmlns:c16="http://schemas.microsoft.com/office/drawing/2014/chart" uri="{C3380CC4-5D6E-409C-BE32-E72D297353CC}">
              <c16:uniqueId val="{00000005-9724-4DC6-9CC4-062CB9F6E4AF}"/>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LCIA'!$K$6:$K$41</c15:sqref>
                  </c15:fullRef>
                </c:ext>
              </c:extLst>
              <c:f>'Results. LCIA'!$K$30:$K$31</c:f>
              <c:numCache>
                <c:formatCode>General</c:formatCode>
                <c:ptCount val="2"/>
                <c:pt idx="0" formatCode="0.00">
                  <c:v>0.24257004089933595</c:v>
                </c:pt>
              </c:numCache>
            </c:numRef>
          </c:val>
          <c:extLst>
            <c:ext xmlns:c16="http://schemas.microsoft.com/office/drawing/2014/chart" uri="{C3380CC4-5D6E-409C-BE32-E72D297353CC}">
              <c16:uniqueId val="{00000006-9724-4DC6-9CC4-062CB9F6E4AF}"/>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LCIA'!$L$6:$L$41</c15:sqref>
                  </c15:fullRef>
                </c:ext>
              </c:extLst>
              <c:f>'Results. LCIA'!$L$30:$L$31</c:f>
              <c:numCache>
                <c:formatCode>General</c:formatCode>
                <c:ptCount val="2"/>
                <c:pt idx="0" formatCode="0.00">
                  <c:v>8.1658503272479671E-2</c:v>
                </c:pt>
              </c:numCache>
            </c:numRef>
          </c:val>
          <c:extLst>
            <c:ext xmlns:c16="http://schemas.microsoft.com/office/drawing/2014/chart" uri="{C3380CC4-5D6E-409C-BE32-E72D297353CC}">
              <c16:uniqueId val="{00000007-9724-4DC6-9CC4-062CB9F6E4AF}"/>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LCIA'!$M$6:$M$41</c15:sqref>
                  </c15:fullRef>
                </c:ext>
              </c:extLst>
              <c:f>'Results. LCIA'!$M$30:$M$31</c:f>
              <c:numCache>
                <c:formatCode>General</c:formatCode>
                <c:ptCount val="2"/>
                <c:pt idx="0" formatCode="0.00">
                  <c:v>0.1203556659510949</c:v>
                </c:pt>
              </c:numCache>
            </c:numRef>
          </c:val>
          <c:extLst>
            <c:ext xmlns:c16="http://schemas.microsoft.com/office/drawing/2014/chart" uri="{C3380CC4-5D6E-409C-BE32-E72D297353CC}">
              <c16:uniqueId val="{00000008-9724-4DC6-9CC4-062CB9F6E4AF}"/>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LCIA'!$N$6:$N$41</c15:sqref>
                  </c15:fullRef>
                </c:ext>
              </c:extLst>
              <c:f>'Results. LCIA'!$N$30:$N$31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9724-4DC6-9CC4-062CB9F6E4AF}"/>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LCIA'!$O$6:$O$41</c15:sqref>
                  </c15:fullRef>
                </c:ext>
              </c:extLst>
              <c:f>'Results. LCIA'!$O$30:$O$31</c:f>
              <c:numCache>
                <c:formatCode>General</c:formatCode>
                <c:ptCount val="2"/>
                <c:pt idx="0" formatCode="0.00">
                  <c:v>0</c:v>
                </c:pt>
              </c:numCache>
            </c:numRef>
          </c:val>
          <c:extLst>
            <c:ext xmlns:c16="http://schemas.microsoft.com/office/drawing/2014/chart" uri="{C3380CC4-5D6E-409C-BE32-E72D297353CC}">
              <c16:uniqueId val="{0000000A-9724-4DC6-9CC4-062CB9F6E4AF}"/>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LCIA'!$P$6:$P$41</c15:sqref>
                  </c15:fullRef>
                </c:ext>
              </c:extLst>
              <c:f>'Results. LCIA'!$P$30:$P$31</c:f>
              <c:numCache>
                <c:formatCode>General</c:formatCode>
                <c:ptCount val="2"/>
                <c:pt idx="0" formatCode="0.00">
                  <c:v>-2.7444144320671846</c:v>
                </c:pt>
              </c:numCache>
            </c:numRef>
          </c:val>
          <c:extLst>
            <c:ext xmlns:c16="http://schemas.microsoft.com/office/drawing/2014/chart" uri="{C3380CC4-5D6E-409C-BE32-E72D297353CC}">
              <c16:uniqueId val="{0000000B-9724-4DC6-9CC4-062CB9F6E4AF}"/>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LCIA'!$Q$6:$Q$41</c15:sqref>
                  </c15:fullRef>
                </c:ext>
              </c:extLst>
              <c:f>'Results. LCIA'!$Q$30:$Q$31</c:f>
              <c:numCache>
                <c:formatCode>General</c:formatCode>
                <c:ptCount val="2"/>
                <c:pt idx="0" formatCode="0.00">
                  <c:v>-0.71480495220509177</c:v>
                </c:pt>
              </c:numCache>
            </c:numRef>
          </c:val>
          <c:extLst xmlns:c15="http://schemas.microsoft.com/office/drawing/2012/chart">
            <c:ext xmlns:c16="http://schemas.microsoft.com/office/drawing/2014/chart" uri="{C3380CC4-5D6E-409C-BE32-E72D297353CC}">
              <c16:uniqueId val="{0000000C-9724-4DC6-9CC4-062CB9F6E4AF}"/>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LCIA'!$R$6:$R$41</c15:sqref>
                  </c15:fullRef>
                </c:ext>
              </c:extLst>
              <c:f>'Results. LCIA'!$R$30:$R$31</c:f>
              <c:numCache>
                <c:formatCode>General</c:formatCode>
                <c:ptCount val="2"/>
                <c:pt idx="1" formatCode="0.00">
                  <c:v>-2.1802298286235469</c:v>
                </c:pt>
              </c:numCache>
            </c:numRef>
          </c:val>
          <c:extLst>
            <c:ext xmlns:c16="http://schemas.microsoft.com/office/drawing/2014/chart" uri="{C3380CC4-5D6E-409C-BE32-E72D297353CC}">
              <c16:uniqueId val="{0000000D-9724-4DC6-9CC4-062CB9F6E4AF}"/>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LCIA'!$E$6:$E$41</c15:sqref>
                  </c15:fullRef>
                </c:ext>
              </c:extLst>
              <c:f>'Results. LCIA'!$E$32:$E$33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0-F844-4F0B-98C6-627F3817582D}"/>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LCIA'!$F$6:$F$41</c15:sqref>
                  </c15:fullRef>
                </c:ext>
              </c:extLst>
              <c:f>'Results. LCIA'!$F$32:$F$33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1-F844-4F0B-98C6-627F3817582D}"/>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LCIA'!$G$6:$G$41</c15:sqref>
                  </c15:fullRef>
                </c:ext>
              </c:extLst>
              <c:f>'Results. LCIA'!$G$32:$G$33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2-F844-4F0B-98C6-627F3817582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LCIA'!$H$6:$H$41</c15:sqref>
                  </c15:fullRef>
                </c:ext>
              </c:extLst>
              <c:f>'Results. LCIA'!$H$32:$H$33</c:f>
              <c:numCache>
                <c:formatCode>General</c:formatCode>
                <c:ptCount val="2"/>
                <c:pt idx="0">
                  <c:v>4.4359872067553051E-5</c:v>
                </c:pt>
              </c:numCache>
            </c:numRef>
          </c:val>
          <c:extLst>
            <c:ext xmlns:c16="http://schemas.microsoft.com/office/drawing/2014/chart" uri="{C3380CC4-5D6E-409C-BE32-E72D297353CC}">
              <c16:uniqueId val="{00000003-F844-4F0B-98C6-627F3817582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LCIA'!$I$6:$I$41</c15:sqref>
                  </c15:fullRef>
                </c:ext>
              </c:extLst>
              <c:f>'Results. LCIA'!$I$32:$I$33</c:f>
              <c:numCache>
                <c:formatCode>General</c:formatCode>
                <c:ptCount val="2"/>
                <c:pt idx="0">
                  <c:v>7.0455780694541036E-7</c:v>
                </c:pt>
              </c:numCache>
            </c:numRef>
          </c:val>
          <c:extLst>
            <c:ext xmlns:c16="http://schemas.microsoft.com/office/drawing/2014/chart" uri="{C3380CC4-5D6E-409C-BE32-E72D297353CC}">
              <c16:uniqueId val="{00000004-F844-4F0B-98C6-627F3817582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LCIA'!$J$6:$J$41</c15:sqref>
                  </c15:fullRef>
                </c:ext>
              </c:extLst>
              <c:f>'Results. LCIA'!$J$32:$J$33</c:f>
              <c:numCache>
                <c:formatCode>General</c:formatCode>
                <c:ptCount val="2"/>
                <c:pt idx="0">
                  <c:v>6.1704940996986676E-7</c:v>
                </c:pt>
              </c:numCache>
            </c:numRef>
          </c:val>
          <c:extLst>
            <c:ext xmlns:c16="http://schemas.microsoft.com/office/drawing/2014/chart" uri="{C3380CC4-5D6E-409C-BE32-E72D297353CC}">
              <c16:uniqueId val="{00000005-F844-4F0B-98C6-627F3817582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LCIA'!$K$6:$K$41</c15:sqref>
                  </c15:fullRef>
                </c:ext>
              </c:extLst>
              <c:f>'Results. LCIA'!$K$32:$K$33</c:f>
              <c:numCache>
                <c:formatCode>General</c:formatCode>
                <c:ptCount val="2"/>
                <c:pt idx="0">
                  <c:v>3.8097133483806857E-6</c:v>
                </c:pt>
              </c:numCache>
            </c:numRef>
          </c:val>
          <c:extLst>
            <c:ext xmlns:c16="http://schemas.microsoft.com/office/drawing/2014/chart" uri="{C3380CC4-5D6E-409C-BE32-E72D297353CC}">
              <c16:uniqueId val="{00000006-F844-4F0B-98C6-627F3817582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LCIA'!$L$6:$L$41</c15:sqref>
                  </c15:fullRef>
                </c:ext>
              </c:extLst>
              <c:f>'Results. LCIA'!$L$32:$L$33</c:f>
              <c:numCache>
                <c:formatCode>General</c:formatCode>
                <c:ptCount val="2"/>
                <c:pt idx="0">
                  <c:v>2.8390493411357928E-7</c:v>
                </c:pt>
              </c:numCache>
            </c:numRef>
          </c:val>
          <c:extLst>
            <c:ext xmlns:c16="http://schemas.microsoft.com/office/drawing/2014/chart" uri="{C3380CC4-5D6E-409C-BE32-E72D297353CC}">
              <c16:uniqueId val="{00000007-F844-4F0B-98C6-627F3817582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LCIA'!$M$6:$M$41</c15:sqref>
                  </c15:fullRef>
                </c:ext>
              </c:extLst>
              <c:f>'Results. LCIA'!$M$32:$M$33</c:f>
              <c:numCache>
                <c:formatCode>General</c:formatCode>
                <c:ptCount val="2"/>
                <c:pt idx="0">
                  <c:v>6.2700355837262182E-5</c:v>
                </c:pt>
              </c:numCache>
            </c:numRef>
          </c:val>
          <c:extLst>
            <c:ext xmlns:c16="http://schemas.microsoft.com/office/drawing/2014/chart" uri="{C3380CC4-5D6E-409C-BE32-E72D297353CC}">
              <c16:uniqueId val="{00000008-F844-4F0B-98C6-627F3817582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LCIA'!$N$6:$N$41</c15:sqref>
                  </c15:fullRef>
                </c:ext>
              </c:extLst>
              <c:f>'Results. LCIA'!$N$32:$N$33</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F844-4F0B-98C6-627F3817582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LCIA'!$O$6:$O$41</c15:sqref>
                  </c15:fullRef>
                </c:ext>
              </c:extLst>
              <c:f>'Results. LCIA'!$O$32:$O$33</c:f>
              <c:numCache>
                <c:formatCode>General</c:formatCode>
                <c:ptCount val="2"/>
                <c:pt idx="0">
                  <c:v>0</c:v>
                </c:pt>
              </c:numCache>
            </c:numRef>
          </c:val>
          <c:extLst>
            <c:ext xmlns:c16="http://schemas.microsoft.com/office/drawing/2014/chart" uri="{C3380CC4-5D6E-409C-BE32-E72D297353CC}">
              <c16:uniqueId val="{0000000A-F844-4F0B-98C6-627F3817582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LCIA'!$P$6:$P$41</c15:sqref>
                  </c15:fullRef>
                </c:ext>
              </c:extLst>
              <c:f>'Results. LCIA'!$P$32:$P$33</c:f>
              <c:numCache>
                <c:formatCode>General</c:formatCode>
                <c:ptCount val="2"/>
                <c:pt idx="0">
                  <c:v>-1.0850729997119635E-5</c:v>
                </c:pt>
              </c:numCache>
            </c:numRef>
          </c:val>
          <c:extLst>
            <c:ext xmlns:c16="http://schemas.microsoft.com/office/drawing/2014/chart" uri="{C3380CC4-5D6E-409C-BE32-E72D297353CC}">
              <c16:uniqueId val="{0000000B-F844-4F0B-98C6-627F3817582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LCIA'!$Q$6:$Q$41</c15:sqref>
                  </c15:fullRef>
                </c:ext>
              </c:extLst>
              <c:f>'Results. LCIA'!$Q$32:$Q$33</c:f>
              <c:numCache>
                <c:formatCode>General</c:formatCode>
                <c:ptCount val="2"/>
                <c:pt idx="0">
                  <c:v>-4.8351939315741484E-4</c:v>
                </c:pt>
              </c:numCache>
            </c:numRef>
          </c:val>
          <c:extLst xmlns:c15="http://schemas.microsoft.com/office/drawing/2012/chart">
            <c:ext xmlns:c16="http://schemas.microsoft.com/office/drawing/2014/chart" uri="{C3380CC4-5D6E-409C-BE32-E72D297353CC}">
              <c16:uniqueId val="{0000000C-F844-4F0B-98C6-627F3817582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LCIA'!$R$6:$R$41</c15:sqref>
                  </c15:fullRef>
                </c:ext>
              </c:extLst>
              <c:f>'Results. LCIA'!$R$32:$R$33</c:f>
              <c:numCache>
                <c:formatCode>General</c:formatCode>
                <c:ptCount val="2"/>
                <c:pt idx="1" formatCode="0.00">
                  <c:v>0</c:v>
                </c:pt>
              </c:numCache>
            </c:numRef>
          </c:val>
          <c:extLst>
            <c:ext xmlns:c16="http://schemas.microsoft.com/office/drawing/2014/chart" uri="{C3380CC4-5D6E-409C-BE32-E72D297353CC}">
              <c16:uniqueId val="{0000000D-F844-4F0B-98C6-627F3817582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LCIA'!$E$6:$E$41</c15:sqref>
                  </c15:fullRef>
                </c:ext>
              </c:extLst>
              <c:f>'Results. LCIA'!$E$34:$E$35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0-EE7E-4A5E-8B2A-5C2ECE356116}"/>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LCIA'!$F$6:$F$41</c15:sqref>
                  </c15:fullRef>
                </c:ext>
              </c:extLst>
              <c:f>'Results. LCIA'!$F$34:$F$35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1-EE7E-4A5E-8B2A-5C2ECE356116}"/>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LCIA'!$G$6:$G$41</c15:sqref>
                  </c15:fullRef>
                </c:ext>
              </c:extLst>
              <c:f>'Results. LCIA'!$G$34:$G$35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2-EE7E-4A5E-8B2A-5C2ECE356116}"/>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LCIA'!$H$6:$H$41</c15:sqref>
                  </c15:fullRef>
                </c:ext>
              </c:extLst>
              <c:f>'Results. LCIA'!$H$34:$H$35</c:f>
              <c:numCache>
                <c:formatCode>General</c:formatCode>
                <c:ptCount val="2"/>
                <c:pt idx="0">
                  <c:v>5.0173761633954019E-2</c:v>
                </c:pt>
              </c:numCache>
            </c:numRef>
          </c:val>
          <c:extLst>
            <c:ext xmlns:c16="http://schemas.microsoft.com/office/drawing/2014/chart" uri="{C3380CC4-5D6E-409C-BE32-E72D297353CC}">
              <c16:uniqueId val="{00000003-EE7E-4A5E-8B2A-5C2ECE356116}"/>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LCIA'!$I$6:$I$41</c15:sqref>
                  </c15:fullRef>
                </c:ext>
              </c:extLst>
              <c:f>'Results. LCIA'!$I$34:$I$35</c:f>
              <c:numCache>
                <c:formatCode>General</c:formatCode>
                <c:ptCount val="2"/>
                <c:pt idx="0">
                  <c:v>7.2549124526242483E-4</c:v>
                </c:pt>
              </c:numCache>
            </c:numRef>
          </c:val>
          <c:extLst>
            <c:ext xmlns:c16="http://schemas.microsoft.com/office/drawing/2014/chart" uri="{C3380CC4-5D6E-409C-BE32-E72D297353CC}">
              <c16:uniqueId val="{00000004-EE7E-4A5E-8B2A-5C2ECE356116}"/>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LCIA'!$J$6:$J$41</c15:sqref>
                  </c15:fullRef>
                </c:ext>
              </c:extLst>
              <c:f>'Results. LCIA'!$J$34:$J$35</c:f>
              <c:numCache>
                <c:formatCode>General</c:formatCode>
                <c:ptCount val="2"/>
                <c:pt idx="0">
                  <c:v>5.1704817446157191E-3</c:v>
                </c:pt>
              </c:numCache>
            </c:numRef>
          </c:val>
          <c:extLst>
            <c:ext xmlns:c16="http://schemas.microsoft.com/office/drawing/2014/chart" uri="{C3380CC4-5D6E-409C-BE32-E72D297353CC}">
              <c16:uniqueId val="{00000005-EE7E-4A5E-8B2A-5C2ECE356116}"/>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LCIA'!$K$6:$K$41</c15:sqref>
                  </c15:fullRef>
                </c:ext>
              </c:extLst>
              <c:f>'Results. LCIA'!$K$34:$K$35</c:f>
              <c:numCache>
                <c:formatCode>General</c:formatCode>
                <c:ptCount val="2"/>
                <c:pt idx="0">
                  <c:v>2.3005210189098756E-2</c:v>
                </c:pt>
              </c:numCache>
            </c:numRef>
          </c:val>
          <c:extLst>
            <c:ext xmlns:c16="http://schemas.microsoft.com/office/drawing/2014/chart" uri="{C3380CC4-5D6E-409C-BE32-E72D297353CC}">
              <c16:uniqueId val="{00000006-EE7E-4A5E-8B2A-5C2ECE356116}"/>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LCIA'!$L$6:$L$41</c15:sqref>
                  </c15:fullRef>
                </c:ext>
              </c:extLst>
              <c:f>'Results. LCIA'!$L$34:$L$35</c:f>
              <c:numCache>
                <c:formatCode>General</c:formatCode>
                <c:ptCount val="2"/>
                <c:pt idx="0">
                  <c:v>1.2129992223040122E-3</c:v>
                </c:pt>
              </c:numCache>
            </c:numRef>
          </c:val>
          <c:extLst>
            <c:ext xmlns:c16="http://schemas.microsoft.com/office/drawing/2014/chart" uri="{C3380CC4-5D6E-409C-BE32-E72D297353CC}">
              <c16:uniqueId val="{00000007-EE7E-4A5E-8B2A-5C2ECE356116}"/>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LCIA'!$M$6:$M$41</c15:sqref>
                  </c15:fullRef>
                </c:ext>
              </c:extLst>
              <c:f>'Results. LCIA'!$M$34:$M$35</c:f>
              <c:numCache>
                <c:formatCode>General</c:formatCode>
                <c:ptCount val="2"/>
                <c:pt idx="0">
                  <c:v>2.884023730029265E-2</c:v>
                </c:pt>
              </c:numCache>
            </c:numRef>
          </c:val>
          <c:extLst>
            <c:ext xmlns:c16="http://schemas.microsoft.com/office/drawing/2014/chart" uri="{C3380CC4-5D6E-409C-BE32-E72D297353CC}">
              <c16:uniqueId val="{00000008-EE7E-4A5E-8B2A-5C2ECE356116}"/>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LCIA'!$N$6:$N$41</c15:sqref>
                  </c15:fullRef>
                </c:ext>
              </c:extLst>
              <c:f>'Results. LCIA'!$N$34:$N$35</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EE7E-4A5E-8B2A-5C2ECE356116}"/>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LCIA'!$O$6:$O$41</c15:sqref>
                  </c15:fullRef>
                </c:ext>
              </c:extLst>
              <c:f>'Results. LCIA'!$O$34:$O$35</c:f>
              <c:numCache>
                <c:formatCode>General</c:formatCode>
                <c:ptCount val="2"/>
                <c:pt idx="0">
                  <c:v>0</c:v>
                </c:pt>
              </c:numCache>
            </c:numRef>
          </c:val>
          <c:extLst>
            <c:ext xmlns:c16="http://schemas.microsoft.com/office/drawing/2014/chart" uri="{C3380CC4-5D6E-409C-BE32-E72D297353CC}">
              <c16:uniqueId val="{0000000A-EE7E-4A5E-8B2A-5C2ECE356116}"/>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LCIA'!$P$6:$P$41</c15:sqref>
                  </c15:fullRef>
                </c:ext>
              </c:extLst>
              <c:f>'Results. LCIA'!$P$34:$P$35</c:f>
              <c:numCache>
                <c:formatCode>General</c:formatCode>
                <c:ptCount val="2"/>
                <c:pt idx="0">
                  <c:v>-4.9378953347107242E-2</c:v>
                </c:pt>
              </c:numCache>
            </c:numRef>
          </c:val>
          <c:extLst>
            <c:ext xmlns:c16="http://schemas.microsoft.com/office/drawing/2014/chart" uri="{C3380CC4-5D6E-409C-BE32-E72D297353CC}">
              <c16:uniqueId val="{0000000B-EE7E-4A5E-8B2A-5C2ECE356116}"/>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LCIA'!$Q$6:$Q$41</c15:sqref>
                  </c15:fullRef>
                </c:ext>
              </c:extLst>
              <c:f>'Results. LCIA'!$Q$34:$Q$35</c:f>
              <c:numCache>
                <c:formatCode>General</c:formatCode>
                <c:ptCount val="2"/>
                <c:pt idx="0">
                  <c:v>-8.4112939879146142E-2</c:v>
                </c:pt>
              </c:numCache>
            </c:numRef>
          </c:val>
          <c:extLst xmlns:c15="http://schemas.microsoft.com/office/drawing/2012/chart">
            <c:ext xmlns:c16="http://schemas.microsoft.com/office/drawing/2014/chart" uri="{C3380CC4-5D6E-409C-BE32-E72D297353CC}">
              <c16:uniqueId val="{0000000C-EE7E-4A5E-8B2A-5C2ECE356116}"/>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LCIA'!$R$6:$R$41</c15:sqref>
                  </c15:fullRef>
                </c:ext>
              </c:extLst>
              <c:f>'Results. LCIA'!$R$34:$R$35</c:f>
              <c:numCache>
                <c:formatCode>General</c:formatCode>
                <c:ptCount val="2"/>
                <c:pt idx="1" formatCode="0.00">
                  <c:v>0</c:v>
                </c:pt>
              </c:numCache>
            </c:numRef>
          </c:val>
          <c:extLst>
            <c:ext xmlns:c16="http://schemas.microsoft.com/office/drawing/2014/chart" uri="{C3380CC4-5D6E-409C-BE32-E72D297353CC}">
              <c16:uniqueId val="{0000000D-EE7E-4A5E-8B2A-5C2ECE356116}"/>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LCIA'!$E$6:$E$41</c15:sqref>
                  </c15:fullRef>
                </c:ext>
              </c:extLst>
              <c:f>'Results. LCIA'!$E$36:$E$37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0-0EA1-4827-B954-1CC61897E01A}"/>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LCIA'!$F$6:$F$41</c15:sqref>
                  </c15:fullRef>
                </c:ext>
              </c:extLst>
              <c:f>'Results. LCIA'!$F$36:$F$37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1-0EA1-4827-B954-1CC61897E01A}"/>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LCIA'!$G$6:$G$41</c15:sqref>
                  </c15:fullRef>
                </c:ext>
              </c:extLst>
              <c:f>'Results. LCIA'!$G$36:$G$37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2-0EA1-4827-B954-1CC61897E01A}"/>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LCIA'!$H$6:$H$41</c15:sqref>
                  </c15:fullRef>
                </c:ext>
              </c:extLst>
              <c:f>'Results. LCIA'!$H$36:$H$37</c:f>
              <c:numCache>
                <c:formatCode>General</c:formatCode>
                <c:ptCount val="2"/>
                <c:pt idx="0">
                  <c:v>0.11408441722982554</c:v>
                </c:pt>
              </c:numCache>
            </c:numRef>
          </c:val>
          <c:extLst>
            <c:ext xmlns:c16="http://schemas.microsoft.com/office/drawing/2014/chart" uri="{C3380CC4-5D6E-409C-BE32-E72D297353CC}">
              <c16:uniqueId val="{00000003-0EA1-4827-B954-1CC61897E01A}"/>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LCIA'!$I$6:$I$41</c15:sqref>
                  </c15:fullRef>
                </c:ext>
              </c:extLst>
              <c:f>'Results. LCIA'!$I$36:$I$37</c:f>
              <c:numCache>
                <c:formatCode>General</c:formatCode>
                <c:ptCount val="2"/>
                <c:pt idx="0">
                  <c:v>3.5223193742519908E-3</c:v>
                </c:pt>
              </c:numCache>
            </c:numRef>
          </c:val>
          <c:extLst>
            <c:ext xmlns:c16="http://schemas.microsoft.com/office/drawing/2014/chart" uri="{C3380CC4-5D6E-409C-BE32-E72D297353CC}">
              <c16:uniqueId val="{00000004-0EA1-4827-B954-1CC61897E01A}"/>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LCIA'!$J$6:$J$41</c15:sqref>
                  </c15:fullRef>
                </c:ext>
              </c:extLst>
              <c:f>'Results. LCIA'!$J$36:$J$37</c:f>
              <c:numCache>
                <c:formatCode>General</c:formatCode>
                <c:ptCount val="2"/>
                <c:pt idx="0">
                  <c:v>6.8063937883503043E-3</c:v>
                </c:pt>
              </c:numCache>
            </c:numRef>
          </c:val>
          <c:extLst>
            <c:ext xmlns:c16="http://schemas.microsoft.com/office/drawing/2014/chart" uri="{C3380CC4-5D6E-409C-BE32-E72D297353CC}">
              <c16:uniqueId val="{00000005-0EA1-4827-B954-1CC61897E01A}"/>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LCIA'!$K$6:$K$41</c15:sqref>
                  </c15:fullRef>
                </c:ext>
              </c:extLst>
              <c:f>'Results. LCIA'!$K$36:$K$37</c:f>
              <c:numCache>
                <c:formatCode>General</c:formatCode>
                <c:ptCount val="2"/>
                <c:pt idx="0">
                  <c:v>4.3422898306320457E-2</c:v>
                </c:pt>
              </c:numCache>
            </c:numRef>
          </c:val>
          <c:extLst>
            <c:ext xmlns:c16="http://schemas.microsoft.com/office/drawing/2014/chart" uri="{C3380CC4-5D6E-409C-BE32-E72D297353CC}">
              <c16:uniqueId val="{00000006-0EA1-4827-B954-1CC61897E01A}"/>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LCIA'!$L$6:$L$41</c15:sqref>
                  </c15:fullRef>
                </c:ext>
              </c:extLst>
              <c:f>'Results. LCIA'!$L$36:$L$37</c:f>
              <c:numCache>
                <c:formatCode>General</c:formatCode>
                <c:ptCount val="2"/>
                <c:pt idx="0">
                  <c:v>1.7607651484024768E-3</c:v>
                </c:pt>
              </c:numCache>
            </c:numRef>
          </c:val>
          <c:extLst>
            <c:ext xmlns:c16="http://schemas.microsoft.com/office/drawing/2014/chart" uri="{C3380CC4-5D6E-409C-BE32-E72D297353CC}">
              <c16:uniqueId val="{00000007-0EA1-4827-B954-1CC61897E01A}"/>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LCIA'!$M$6:$M$41</c15:sqref>
                  </c15:fullRef>
                </c:ext>
              </c:extLst>
              <c:f>'Results. LCIA'!$M$36:$M$37</c:f>
              <c:numCache>
                <c:formatCode>General</c:formatCode>
                <c:ptCount val="2"/>
                <c:pt idx="0">
                  <c:v>2.6586714124553691E-2</c:v>
                </c:pt>
              </c:numCache>
            </c:numRef>
          </c:val>
          <c:extLst>
            <c:ext xmlns:c16="http://schemas.microsoft.com/office/drawing/2014/chart" uri="{C3380CC4-5D6E-409C-BE32-E72D297353CC}">
              <c16:uniqueId val="{00000008-0EA1-4827-B954-1CC61897E01A}"/>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LCIA'!$N$6:$N$41</c15:sqref>
                  </c15:fullRef>
                </c:ext>
              </c:extLst>
              <c:f>'Results. LCIA'!$N$36:$N$37</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0EA1-4827-B954-1CC61897E01A}"/>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LCIA'!$O$6:$O$41</c15:sqref>
                  </c15:fullRef>
                </c:ext>
              </c:extLst>
              <c:f>'Results. LCIA'!$O$36:$O$37</c:f>
              <c:numCache>
                <c:formatCode>General</c:formatCode>
                <c:ptCount val="2"/>
                <c:pt idx="0">
                  <c:v>0</c:v>
                </c:pt>
              </c:numCache>
            </c:numRef>
          </c:val>
          <c:extLst>
            <c:ext xmlns:c16="http://schemas.microsoft.com/office/drawing/2014/chart" uri="{C3380CC4-5D6E-409C-BE32-E72D297353CC}">
              <c16:uniqueId val="{0000000A-0EA1-4827-B954-1CC61897E01A}"/>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LCIA'!$P$6:$P$41</c15:sqref>
                  </c15:fullRef>
                </c:ext>
              </c:extLst>
              <c:f>'Results. LCIA'!$P$36:$P$37</c:f>
              <c:numCache>
                <c:formatCode>General</c:formatCode>
                <c:ptCount val="2"/>
                <c:pt idx="0">
                  <c:v>-8.2657707370531353E-2</c:v>
                </c:pt>
              </c:numCache>
            </c:numRef>
          </c:val>
          <c:extLst>
            <c:ext xmlns:c16="http://schemas.microsoft.com/office/drawing/2014/chart" uri="{C3380CC4-5D6E-409C-BE32-E72D297353CC}">
              <c16:uniqueId val="{0000000B-0EA1-4827-B954-1CC61897E01A}"/>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LCIA'!$Q$6:$Q$41</c15:sqref>
                  </c15:fullRef>
                </c:ext>
              </c:extLst>
              <c:f>'Results. LCIA'!$Q$36:$Q$37</c:f>
              <c:numCache>
                <c:formatCode>General</c:formatCode>
                <c:ptCount val="2"/>
                <c:pt idx="0">
                  <c:v>-0.15013662918313933</c:v>
                </c:pt>
              </c:numCache>
            </c:numRef>
          </c:val>
          <c:extLst xmlns:c15="http://schemas.microsoft.com/office/drawing/2012/chart">
            <c:ext xmlns:c16="http://schemas.microsoft.com/office/drawing/2014/chart" uri="{C3380CC4-5D6E-409C-BE32-E72D297353CC}">
              <c16:uniqueId val="{0000000C-0EA1-4827-B954-1CC61897E01A}"/>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LCIA'!$R$6:$R$41</c15:sqref>
                  </c15:fullRef>
                </c:ext>
              </c:extLst>
              <c:f>'Results. LCIA'!$R$36:$R$37</c:f>
              <c:numCache>
                <c:formatCode>General</c:formatCode>
                <c:ptCount val="2"/>
                <c:pt idx="1" formatCode="0.00">
                  <c:v>0</c:v>
                </c:pt>
              </c:numCache>
            </c:numRef>
          </c:val>
          <c:extLst>
            <c:ext xmlns:c16="http://schemas.microsoft.com/office/drawing/2014/chart" uri="{C3380CC4-5D6E-409C-BE32-E72D297353CC}">
              <c16:uniqueId val="{0000000D-0EA1-4827-B954-1CC61897E01A}"/>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LCIA'!$E$6:$E$41</c15:sqref>
                  </c15:fullRef>
                </c:ext>
              </c:extLst>
              <c:f>'Results. LCIA'!$E$38:$E$39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0-554E-4EC6-A459-71F3B2F53BB7}"/>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LCIA'!$F$6:$F$41</c15:sqref>
                  </c15:fullRef>
                </c:ext>
              </c:extLst>
              <c:f>'Results. LCIA'!$F$38:$F$39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1-554E-4EC6-A459-71F3B2F53BB7}"/>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LCIA'!$G$6:$G$41</c15:sqref>
                  </c15:fullRef>
                </c:ext>
              </c:extLst>
              <c:f>'Results. LCIA'!$G$38:$G$39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2-554E-4EC6-A459-71F3B2F53BB7}"/>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LCIA'!$H$6:$H$41</c15:sqref>
                  </c15:fullRef>
                </c:ext>
              </c:extLst>
              <c:f>'Results. LCIA'!$H$38:$H$39</c:f>
              <c:numCache>
                <c:formatCode>General</c:formatCode>
                <c:ptCount val="2"/>
                <c:pt idx="0">
                  <c:v>0.11757591069225656</c:v>
                </c:pt>
              </c:numCache>
            </c:numRef>
          </c:val>
          <c:extLst>
            <c:ext xmlns:c16="http://schemas.microsoft.com/office/drawing/2014/chart" uri="{C3380CC4-5D6E-409C-BE32-E72D297353CC}">
              <c16:uniqueId val="{00000003-554E-4EC6-A459-71F3B2F53BB7}"/>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LCIA'!$I$6:$I$41</c15:sqref>
                  </c15:fullRef>
                </c:ext>
              </c:extLst>
              <c:f>'Results. LCIA'!$I$38:$I$39</c:f>
              <c:numCache>
                <c:formatCode>General</c:formatCode>
                <c:ptCount val="2"/>
                <c:pt idx="0">
                  <c:v>4.0599464294899272E-3</c:v>
                </c:pt>
              </c:numCache>
            </c:numRef>
          </c:val>
          <c:extLst>
            <c:ext xmlns:c16="http://schemas.microsoft.com/office/drawing/2014/chart" uri="{C3380CC4-5D6E-409C-BE32-E72D297353CC}">
              <c16:uniqueId val="{00000004-554E-4EC6-A459-71F3B2F53BB7}"/>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LCIA'!$J$6:$J$41</c15:sqref>
                  </c15:fullRef>
                </c:ext>
              </c:extLst>
              <c:f>'Results. LCIA'!$J$38:$J$39</c:f>
              <c:numCache>
                <c:formatCode>General</c:formatCode>
                <c:ptCount val="2"/>
                <c:pt idx="0">
                  <c:v>7.1125554065703629E-3</c:v>
                </c:pt>
              </c:numCache>
            </c:numRef>
          </c:val>
          <c:extLst>
            <c:ext xmlns:c16="http://schemas.microsoft.com/office/drawing/2014/chart" uri="{C3380CC4-5D6E-409C-BE32-E72D297353CC}">
              <c16:uniqueId val="{00000005-554E-4EC6-A459-71F3B2F53BB7}"/>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LCIA'!$K$6:$K$41</c15:sqref>
                  </c15:fullRef>
                </c:ext>
              </c:extLst>
              <c:f>'Results. LCIA'!$K$38:$K$39</c:f>
              <c:numCache>
                <c:formatCode>General</c:formatCode>
                <c:ptCount val="2"/>
                <c:pt idx="0">
                  <c:v>4.843458650483224E-2</c:v>
                </c:pt>
              </c:numCache>
            </c:numRef>
          </c:val>
          <c:extLst>
            <c:ext xmlns:c16="http://schemas.microsoft.com/office/drawing/2014/chart" uri="{C3380CC4-5D6E-409C-BE32-E72D297353CC}">
              <c16:uniqueId val="{00000006-554E-4EC6-A459-71F3B2F53BB7}"/>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LCIA'!$L$6:$L$41</c15:sqref>
                  </c15:fullRef>
                </c:ext>
              </c:extLst>
              <c:f>'Results. LCIA'!$L$38:$L$39</c:f>
              <c:numCache>
                <c:formatCode>General</c:formatCode>
                <c:ptCount val="2"/>
                <c:pt idx="0">
                  <c:v>1.8421628219473731E-3</c:v>
                </c:pt>
              </c:numCache>
            </c:numRef>
          </c:val>
          <c:extLst>
            <c:ext xmlns:c16="http://schemas.microsoft.com/office/drawing/2014/chart" uri="{C3380CC4-5D6E-409C-BE32-E72D297353CC}">
              <c16:uniqueId val="{00000007-554E-4EC6-A459-71F3B2F53BB7}"/>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LCIA'!$M$6:$M$41</c15:sqref>
                  </c15:fullRef>
                </c:ext>
              </c:extLst>
              <c:f>'Results. LCIA'!$M$38:$M$39</c:f>
              <c:numCache>
                <c:formatCode>General</c:formatCode>
                <c:ptCount val="2"/>
                <c:pt idx="0">
                  <c:v>2.7450116342443667E-2</c:v>
                </c:pt>
              </c:numCache>
            </c:numRef>
          </c:val>
          <c:extLst>
            <c:ext xmlns:c16="http://schemas.microsoft.com/office/drawing/2014/chart" uri="{C3380CC4-5D6E-409C-BE32-E72D297353CC}">
              <c16:uniqueId val="{00000008-554E-4EC6-A459-71F3B2F53BB7}"/>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LCIA'!$N$6:$N$41</c15:sqref>
                  </c15:fullRef>
                </c:ext>
              </c:extLst>
              <c:f>'Results. LCIA'!$N$38:$N$39</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554E-4EC6-A459-71F3B2F53BB7}"/>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LCIA'!$O$6:$O$41</c15:sqref>
                  </c15:fullRef>
                </c:ext>
              </c:extLst>
              <c:f>'Results. LCIA'!$O$38:$O$39</c:f>
              <c:numCache>
                <c:formatCode>General</c:formatCode>
                <c:ptCount val="2"/>
                <c:pt idx="0">
                  <c:v>0</c:v>
                </c:pt>
              </c:numCache>
            </c:numRef>
          </c:val>
          <c:extLst>
            <c:ext xmlns:c16="http://schemas.microsoft.com/office/drawing/2014/chart" uri="{C3380CC4-5D6E-409C-BE32-E72D297353CC}">
              <c16:uniqueId val="{0000000A-554E-4EC6-A459-71F3B2F53BB7}"/>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LCIA'!$P$6:$P$41</c15:sqref>
                  </c15:fullRef>
                </c:ext>
              </c:extLst>
              <c:f>'Results. LCIA'!$P$38:$P$39</c:f>
              <c:numCache>
                <c:formatCode>General</c:formatCode>
                <c:ptCount val="2"/>
                <c:pt idx="0">
                  <c:v>-8.844723828297299E-2</c:v>
                </c:pt>
              </c:numCache>
            </c:numRef>
          </c:val>
          <c:extLst>
            <c:ext xmlns:c16="http://schemas.microsoft.com/office/drawing/2014/chart" uri="{C3380CC4-5D6E-409C-BE32-E72D297353CC}">
              <c16:uniqueId val="{0000000B-554E-4EC6-A459-71F3B2F53BB7}"/>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LCIA'!$Q$6:$Q$41</c15:sqref>
                  </c15:fullRef>
                </c:ext>
              </c:extLst>
              <c:f>'Results. LCIA'!$Q$38:$Q$39</c:f>
              <c:numCache>
                <c:formatCode>General</c:formatCode>
                <c:ptCount val="2"/>
                <c:pt idx="0">
                  <c:v>-0.16014687717316861</c:v>
                </c:pt>
              </c:numCache>
            </c:numRef>
          </c:val>
          <c:extLst xmlns:c15="http://schemas.microsoft.com/office/drawing/2012/chart">
            <c:ext xmlns:c16="http://schemas.microsoft.com/office/drawing/2014/chart" uri="{C3380CC4-5D6E-409C-BE32-E72D297353CC}">
              <c16:uniqueId val="{0000000C-554E-4EC6-A459-71F3B2F53BB7}"/>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LCIA'!$R$6:$R$41</c15:sqref>
                  </c15:fullRef>
                </c:ext>
              </c:extLst>
              <c:f>'Results. LCIA'!$R$38:$R$39</c:f>
              <c:numCache>
                <c:formatCode>General</c:formatCode>
                <c:ptCount val="2"/>
                <c:pt idx="1" formatCode="0.00">
                  <c:v>0</c:v>
                </c:pt>
              </c:numCache>
            </c:numRef>
          </c:val>
          <c:extLst>
            <c:ext xmlns:c16="http://schemas.microsoft.com/office/drawing/2014/chart" uri="{C3380CC4-5D6E-409C-BE32-E72D297353CC}">
              <c16:uniqueId val="{0000000D-554E-4EC6-A459-71F3B2F53BB7}"/>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LCIA'!$E$6:$E$41</c15:sqref>
                  </c15:fullRef>
                </c:ext>
              </c:extLst>
              <c:f>'Results. LCIA'!$E$40:$E$41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8F91-469F-BB1C-98DC6FC99B0A}"/>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LCIA'!$F$6:$F$41</c15:sqref>
                  </c15:fullRef>
                </c:ext>
              </c:extLst>
              <c:f>'Results. LCIA'!$F$40:$F$41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8F91-469F-BB1C-98DC6FC99B0A}"/>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LCIA'!$G$6:$G$41</c15:sqref>
                  </c15:fullRef>
                </c:ext>
              </c:extLst>
              <c:f>'Results. LCIA'!$G$40:$G$41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8F91-469F-BB1C-98DC6FC99B0A}"/>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LCIA'!$H$6:$H$41</c15:sqref>
                  </c15:fullRef>
                </c:ext>
              </c:extLst>
              <c:f>'Results. LCIA'!$H$40:$H$41</c:f>
              <c:numCache>
                <c:formatCode>General</c:formatCode>
                <c:ptCount val="2"/>
                <c:pt idx="0" formatCode="0.00">
                  <c:v>0.19152658481923632</c:v>
                </c:pt>
              </c:numCache>
            </c:numRef>
          </c:val>
          <c:extLst>
            <c:ext xmlns:c16="http://schemas.microsoft.com/office/drawing/2014/chart" uri="{C3380CC4-5D6E-409C-BE32-E72D297353CC}">
              <c16:uniqueId val="{00000003-8F91-469F-BB1C-98DC6FC99B0A}"/>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LCIA'!$I$6:$I$41</c15:sqref>
                  </c15:fullRef>
                </c:ext>
              </c:extLst>
              <c:f>'Results. LCIA'!$I$40:$I$41</c:f>
              <c:numCache>
                <c:formatCode>General</c:formatCode>
                <c:ptCount val="2"/>
                <c:pt idx="0" formatCode="0.00">
                  <c:v>2.7427500800039457E-3</c:v>
                </c:pt>
              </c:numCache>
            </c:numRef>
          </c:val>
          <c:extLst>
            <c:ext xmlns:c16="http://schemas.microsoft.com/office/drawing/2014/chart" uri="{C3380CC4-5D6E-409C-BE32-E72D297353CC}">
              <c16:uniqueId val="{00000004-8F91-469F-BB1C-98DC6FC99B0A}"/>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LCIA'!$J$6:$J$41</c15:sqref>
                  </c15:fullRef>
                </c:ext>
              </c:extLst>
              <c:f>'Results. LCIA'!$J$40:$J$41</c:f>
              <c:numCache>
                <c:formatCode>General</c:formatCode>
                <c:ptCount val="2"/>
                <c:pt idx="0" formatCode="0.00">
                  <c:v>1.6858856046636977E-2</c:v>
                </c:pt>
              </c:numCache>
            </c:numRef>
          </c:val>
          <c:extLst>
            <c:ext xmlns:c16="http://schemas.microsoft.com/office/drawing/2014/chart" uri="{C3380CC4-5D6E-409C-BE32-E72D297353CC}">
              <c16:uniqueId val="{00000005-8F91-469F-BB1C-98DC6FC99B0A}"/>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LCIA'!$K$6:$K$41</c15:sqref>
                  </c15:fullRef>
                </c:ext>
              </c:extLst>
              <c:f>'Results. LCIA'!$K$40:$K$41</c:f>
              <c:numCache>
                <c:formatCode>General</c:formatCode>
                <c:ptCount val="2"/>
                <c:pt idx="0" formatCode="0.00">
                  <c:v>0.17162301959823539</c:v>
                </c:pt>
              </c:numCache>
            </c:numRef>
          </c:val>
          <c:extLst>
            <c:ext xmlns:c16="http://schemas.microsoft.com/office/drawing/2014/chart" uri="{C3380CC4-5D6E-409C-BE32-E72D297353CC}">
              <c16:uniqueId val="{00000006-8F91-469F-BB1C-98DC6FC99B0A}"/>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LCIA'!$L$6:$L$41</c15:sqref>
                  </c15:fullRef>
                </c:ext>
              </c:extLst>
              <c:f>'Results. LCIA'!$L$40:$L$41</c:f>
              <c:numCache>
                <c:formatCode>General</c:formatCode>
                <c:ptCount val="2"/>
                <c:pt idx="0" formatCode="0.00">
                  <c:v>8.1129794365216359E-3</c:v>
                </c:pt>
              </c:numCache>
            </c:numRef>
          </c:val>
          <c:extLst>
            <c:ext xmlns:c16="http://schemas.microsoft.com/office/drawing/2014/chart" uri="{C3380CC4-5D6E-409C-BE32-E72D297353CC}">
              <c16:uniqueId val="{00000007-8F91-469F-BB1C-98DC6FC99B0A}"/>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LCIA'!$M$6:$M$41</c15:sqref>
                  </c15:fullRef>
                </c:ext>
              </c:extLst>
              <c:f>'Results. LCIA'!$M$40:$M$41</c:f>
              <c:numCache>
                <c:formatCode>General</c:formatCode>
                <c:ptCount val="2"/>
                <c:pt idx="0" formatCode="0.00">
                  <c:v>2.1770752004664884E-2</c:v>
                </c:pt>
              </c:numCache>
            </c:numRef>
          </c:val>
          <c:extLst>
            <c:ext xmlns:c16="http://schemas.microsoft.com/office/drawing/2014/chart" uri="{C3380CC4-5D6E-409C-BE32-E72D297353CC}">
              <c16:uniqueId val="{00000008-8F91-469F-BB1C-98DC6FC99B0A}"/>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LCIA'!$N$6:$N$41</c15:sqref>
                  </c15:fullRef>
                </c:ext>
              </c:extLst>
              <c:f>'Results. LCIA'!$N$40:$N$41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8F91-469F-BB1C-98DC6FC99B0A}"/>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LCIA'!$O$6:$O$41</c15:sqref>
                  </c15:fullRef>
                </c:ext>
              </c:extLst>
              <c:f>'Results. LCIA'!$O$40:$O$41</c:f>
              <c:numCache>
                <c:formatCode>General</c:formatCode>
                <c:ptCount val="2"/>
                <c:pt idx="0" formatCode="0.00">
                  <c:v>0</c:v>
                </c:pt>
              </c:numCache>
            </c:numRef>
          </c:val>
          <c:extLst>
            <c:ext xmlns:c16="http://schemas.microsoft.com/office/drawing/2014/chart" uri="{C3380CC4-5D6E-409C-BE32-E72D297353CC}">
              <c16:uniqueId val="{0000000A-8F91-469F-BB1C-98DC6FC99B0A}"/>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LCIA'!$P$6:$P$41</c15:sqref>
                  </c15:fullRef>
                </c:ext>
              </c:extLst>
              <c:f>'Results. LCIA'!$P$40:$P$41</c:f>
              <c:numCache>
                <c:formatCode>General</c:formatCode>
                <c:ptCount val="2"/>
                <c:pt idx="0" formatCode="0.00">
                  <c:v>-0.57643398237386534</c:v>
                </c:pt>
              </c:numCache>
            </c:numRef>
          </c:val>
          <c:extLst>
            <c:ext xmlns:c16="http://schemas.microsoft.com/office/drawing/2014/chart" uri="{C3380CC4-5D6E-409C-BE32-E72D297353CC}">
              <c16:uniqueId val="{0000000B-8F91-469F-BB1C-98DC6FC99B0A}"/>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LCIA'!$Q$6:$Q$41</c15:sqref>
                  </c15:fullRef>
                </c:ext>
              </c:extLst>
              <c:f>'Results. LCIA'!$Q$40:$Q$41</c:f>
              <c:numCache>
                <c:formatCode>General</c:formatCode>
                <c:ptCount val="2"/>
                <c:pt idx="0" formatCode="0.00">
                  <c:v>-0.86259039387252423</c:v>
                </c:pt>
              </c:numCache>
            </c:numRef>
          </c:val>
          <c:extLst xmlns:c15="http://schemas.microsoft.com/office/drawing/2012/chart">
            <c:ext xmlns:c16="http://schemas.microsoft.com/office/drawing/2014/chart" uri="{C3380CC4-5D6E-409C-BE32-E72D297353CC}">
              <c16:uniqueId val="{0000000C-8F91-469F-BB1C-98DC6FC99B0A}"/>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LCIA'!$R$6:$R$41</c15:sqref>
                  </c15:fullRef>
                </c:ext>
              </c:extLst>
              <c:f>'Results. LCIA'!$R$40:$R$41</c:f>
              <c:numCache>
                <c:formatCode>General</c:formatCode>
                <c:ptCount val="2"/>
                <c:pt idx="1" formatCode="0.00">
                  <c:v>-1.0263894342610904</c:v>
                </c:pt>
              </c:numCache>
            </c:numRef>
          </c:val>
          <c:extLst>
            <c:ext xmlns:c16="http://schemas.microsoft.com/office/drawing/2014/chart" uri="{C3380CC4-5D6E-409C-BE32-E72D297353CC}">
              <c16:uniqueId val="{0000000D-8F91-469F-BB1C-98DC6FC99B0A}"/>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'Results. LCIA'!$U$6</c:f>
              <c:strCache>
                <c:ptCount val="1"/>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'Results. LCIA'!$D$6:$D$41</c15:sqref>
                  </c15:fullRef>
                </c:ext>
              </c:extLst>
              <c:f>('Results. LCIA'!$D$7,'Results. LCIA'!$D$9,'Results. LCIA'!$D$11,'Results. LCIA'!$D$13,'Results. LCIA'!$D$15,'Results. LCIA'!$D$17,'Results. LCIA'!$D$19,'Results. LCIA'!$D$21,'Results. LCIA'!$D$23,'Results. LCIA'!$D$25,'Results. LCIA'!$D$27,'Results. LCIA'!$D$29,'Results. LCIA'!$D$31,'Results. LCIA'!$D$33:$D$35,'Results. LCIA'!$D$37,'Results. LCIA'!$D$39,'Results. LCIA'!$D$41)</c:f>
              <c:strCache>
                <c:ptCount val="19"/>
                <c:pt idx="0">
                  <c:v>Net TA</c:v>
                </c:pt>
                <c:pt idx="1">
                  <c:v>Net GWP </c:v>
                </c:pt>
                <c:pt idx="2">
                  <c:v>Net FETP</c:v>
                </c:pt>
                <c:pt idx="3">
                  <c:v>Net METP</c:v>
                </c:pt>
                <c:pt idx="4">
                  <c:v>Net  TETP</c:v>
                </c:pt>
                <c:pt idx="5">
                  <c:v>Net FFP</c:v>
                </c:pt>
                <c:pt idx="6">
                  <c:v>Net FEU</c:v>
                </c:pt>
                <c:pt idx="7">
                  <c:v>Net MEU</c:v>
                </c:pt>
                <c:pt idx="8">
                  <c:v>Net HTPc</c:v>
                </c:pt>
                <c:pt idx="9">
                  <c:v>Net HTPnc</c:v>
                </c:pt>
                <c:pt idx="10">
                  <c:v>Net IRP</c:v>
                </c:pt>
                <c:pt idx="11">
                  <c:v>Net LU</c:v>
                </c:pt>
                <c:pt idx="12">
                  <c:v>Net SOP</c:v>
                </c:pt>
                <c:pt idx="13">
                  <c:v>Net O3D</c:v>
                </c:pt>
                <c:pt idx="14">
                  <c:v>PMFP kg PM2.5-Eq</c:v>
                </c:pt>
                <c:pt idx="15">
                  <c:v>Net PMF</c:v>
                </c:pt>
                <c:pt idx="16">
                  <c:v>Net HOFP</c:v>
                </c:pt>
                <c:pt idx="17">
                  <c:v>Net EOFP</c:v>
                </c:pt>
                <c:pt idx="18">
                  <c:v>Net Water Usage </c:v>
                </c:pt>
              </c:strCache>
            </c:strRef>
          </c:cat>
          <c:val>
            <c:numRef>
              <c:extLst>
                <c:ext xmlns:c15="http://schemas.microsoft.com/office/drawing/2012/chart" uri="{02D57815-91ED-43cb-92C2-25804820EDAC}">
                  <c15:fullRef>
                    <c15:sqref>'Results. LCIA'!$U$7:$U$41</c15:sqref>
                  </c15:fullRef>
                </c:ext>
              </c:extLst>
              <c:f>('Results. LCIA'!$U$8,'Results. LCIA'!$U$10,'Results. LCIA'!$U$12,'Results. LCIA'!$U$14,'Results. LCIA'!$U$16,'Results. LCIA'!$U$18,'Results. LCIA'!$U$20,'Results. LCIA'!$U$22,'Results. LCIA'!$U$24,'Results. LCIA'!$U$26,'Results. LCIA'!$U$28,'Results. LCIA'!$U$30,'Results. LCIA'!$U$32,'Results. LCIA'!$U$34:$U$36,'Results. LCIA'!$U$38,'Results. LCIA'!$U$40)</c:f>
              <c:numCache>
                <c:formatCode>General</c:formatCode>
                <c:ptCount val="18"/>
                <c:pt idx="14" formatCode="0.000E+00">
                  <c:v>6.8119588700965182E-3</c:v>
                </c:pt>
              </c:numCache>
            </c:numRef>
          </c:val>
          <c:extLst>
            <c:ext xmlns:c16="http://schemas.microsoft.com/office/drawing/2014/chart" uri="{C3380CC4-5D6E-409C-BE32-E72D297353CC}">
              <c16:uniqueId val="{00000000-CC7B-450F-9FD8-24092D93FC91}"/>
            </c:ext>
          </c:extLst>
        </c:ser>
        <c:dLbls>
          <c:showLegendKey val="0"/>
          <c:showVal val="0"/>
          <c:showCatName val="0"/>
          <c:showSerName val="0"/>
          <c:showPercent val="0"/>
          <c:showBubbleSize val="0"/>
        </c:dLbls>
        <c:axId val="1768777727"/>
        <c:axId val="1486464399"/>
      </c:radarChart>
      <c:catAx>
        <c:axId val="1768777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464399"/>
        <c:crosses val="autoZero"/>
        <c:auto val="1"/>
        <c:lblAlgn val="ctr"/>
        <c:lblOffset val="100"/>
        <c:noMultiLvlLbl val="0"/>
      </c:catAx>
      <c:valAx>
        <c:axId val="148646439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8777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LCIA'!$E$6:$E$41</c15:sqref>
                  </c15:fullRef>
                </c:ext>
              </c:extLst>
              <c:f>'Results. LCIA'!$E$10:$E$11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BFF7-4224-BEE2-A77977A7F0EF}"/>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LCIA'!$F$6:$F$41</c15:sqref>
                  </c15:fullRef>
                </c:ext>
              </c:extLst>
              <c:f>'Results. LCIA'!$F$10:$F$11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BFF7-4224-BEE2-A77977A7F0EF}"/>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LCIA'!$G$6:$G$41</c15:sqref>
                  </c15:fullRef>
                </c:ext>
              </c:extLst>
              <c:f>'Results. LCIA'!$G$10:$G$11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BFF7-4224-BEE2-A77977A7F0EF}"/>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LCIA'!$H$6:$H$41</c15:sqref>
                  </c15:fullRef>
                </c:ext>
              </c:extLst>
              <c:f>'Results. LCIA'!$H$10:$H$11</c:f>
              <c:numCache>
                <c:formatCode>General</c:formatCode>
                <c:ptCount val="2"/>
                <c:pt idx="0" formatCode="0.00">
                  <c:v>1.0499758168016533</c:v>
                </c:pt>
              </c:numCache>
            </c:numRef>
          </c:val>
          <c:extLst>
            <c:ext xmlns:c16="http://schemas.microsoft.com/office/drawing/2014/chart" uri="{C3380CC4-5D6E-409C-BE32-E72D297353CC}">
              <c16:uniqueId val="{00000003-BFF7-4224-BEE2-A77977A7F0EF}"/>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LCIA'!$I$6:$I$41</c15:sqref>
                  </c15:fullRef>
                </c:ext>
              </c:extLst>
              <c:f>'Results. LCIA'!$I$10:$I$11</c:f>
              <c:numCache>
                <c:formatCode>General</c:formatCode>
                <c:ptCount val="2"/>
                <c:pt idx="0" formatCode="0.00">
                  <c:v>1.2254112737883037E-2</c:v>
                </c:pt>
              </c:numCache>
            </c:numRef>
          </c:val>
          <c:extLst>
            <c:ext xmlns:c16="http://schemas.microsoft.com/office/drawing/2014/chart" uri="{C3380CC4-5D6E-409C-BE32-E72D297353CC}">
              <c16:uniqueId val="{00000004-BFF7-4224-BEE2-A77977A7F0EF}"/>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LCIA'!$J$6:$J$41</c15:sqref>
                  </c15:fullRef>
                </c:ext>
              </c:extLst>
              <c:f>'Results. LCIA'!$J$10:$J$11</c:f>
              <c:numCache>
                <c:formatCode>General</c:formatCode>
                <c:ptCount val="2"/>
                <c:pt idx="0" formatCode="0.00">
                  <c:v>0.15327127535489757</c:v>
                </c:pt>
              </c:numCache>
            </c:numRef>
          </c:val>
          <c:extLst>
            <c:ext xmlns:c16="http://schemas.microsoft.com/office/drawing/2014/chart" uri="{C3380CC4-5D6E-409C-BE32-E72D297353CC}">
              <c16:uniqueId val="{00000005-BFF7-4224-BEE2-A77977A7F0EF}"/>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LCIA'!$K$6:$K$41</c15:sqref>
                  </c15:fullRef>
                </c:ext>
              </c:extLst>
              <c:f>'Results. LCIA'!$K$10:$K$11</c:f>
              <c:numCache>
                <c:formatCode>General</c:formatCode>
                <c:ptCount val="2"/>
                <c:pt idx="0" formatCode="0.00">
                  <c:v>1.049358881399181</c:v>
                </c:pt>
              </c:numCache>
            </c:numRef>
          </c:val>
          <c:extLst>
            <c:ext xmlns:c16="http://schemas.microsoft.com/office/drawing/2014/chart" uri="{C3380CC4-5D6E-409C-BE32-E72D297353CC}">
              <c16:uniqueId val="{00000006-BFF7-4224-BEE2-A77977A7F0EF}"/>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LCIA'!$L$6:$L$41</c15:sqref>
                  </c15:fullRef>
                </c:ext>
              </c:extLst>
              <c:f>'Results. LCIA'!$L$10:$L$11</c:f>
              <c:numCache>
                <c:formatCode>General</c:formatCode>
                <c:ptCount val="2"/>
                <c:pt idx="0" formatCode="0.00">
                  <c:v>3.8407764840973795E-2</c:v>
                </c:pt>
              </c:numCache>
            </c:numRef>
          </c:val>
          <c:extLst>
            <c:ext xmlns:c16="http://schemas.microsoft.com/office/drawing/2014/chart" uri="{C3380CC4-5D6E-409C-BE32-E72D297353CC}">
              <c16:uniqueId val="{00000007-BFF7-4224-BEE2-A77977A7F0EF}"/>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LCIA'!$M$6:$M$41</c15:sqref>
                  </c15:fullRef>
                </c:ext>
              </c:extLst>
              <c:f>'Results. LCIA'!$M$10:$M$11</c:f>
              <c:numCache>
                <c:formatCode>General</c:formatCode>
                <c:ptCount val="2"/>
                <c:pt idx="0" formatCode="0.00">
                  <c:v>0.34518733897148918</c:v>
                </c:pt>
              </c:numCache>
            </c:numRef>
          </c:val>
          <c:extLst>
            <c:ext xmlns:c16="http://schemas.microsoft.com/office/drawing/2014/chart" uri="{C3380CC4-5D6E-409C-BE32-E72D297353CC}">
              <c16:uniqueId val="{00000008-BFF7-4224-BEE2-A77977A7F0EF}"/>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dPt>
            <c:idx val="0"/>
            <c:invertIfNegative val="0"/>
            <c:bubble3D val="0"/>
            <c:spPr>
              <a:pattFill prst="diagBrick">
                <a:fgClr>
                  <a:schemeClr val="tx1"/>
                </a:fgClr>
                <a:bgClr>
                  <a:schemeClr val="bg1"/>
                </a:bgClr>
              </a:pattFill>
              <a:ln>
                <a:solidFill>
                  <a:schemeClr val="tx1"/>
                </a:solidFill>
              </a:ln>
              <a:effectLst/>
            </c:spPr>
            <c:extLst>
              <c:ext xmlns:c16="http://schemas.microsoft.com/office/drawing/2014/chart" uri="{C3380CC4-5D6E-409C-BE32-E72D297353CC}">
                <c16:uniqueId val="{00000011-BFF7-4224-BEE2-A77977A7F0EF}"/>
              </c:ext>
            </c:extLst>
          </c:dPt>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LCIA'!$N$6:$N$41</c15:sqref>
                  </c15:fullRef>
                </c:ext>
              </c:extLst>
              <c:f>'Results. LCIA'!$N$10:$N$11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BFF7-4224-BEE2-A77977A7F0EF}"/>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LCIA'!$O$6:$O$41</c15:sqref>
                  </c15:fullRef>
                </c:ext>
              </c:extLst>
              <c:f>'Results. LCIA'!$O$10:$O$11</c:f>
              <c:numCache>
                <c:formatCode>General</c:formatCode>
                <c:ptCount val="2"/>
                <c:pt idx="0" formatCode="0.00">
                  <c:v>0</c:v>
                </c:pt>
              </c:numCache>
            </c:numRef>
          </c:val>
          <c:extLst>
            <c:ext xmlns:c16="http://schemas.microsoft.com/office/drawing/2014/chart" uri="{C3380CC4-5D6E-409C-BE32-E72D297353CC}">
              <c16:uniqueId val="{0000000A-BFF7-4224-BEE2-A77977A7F0EF}"/>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LCIA'!$P$6:$P$41</c15:sqref>
                  </c15:fullRef>
                </c:ext>
              </c:extLst>
              <c:f>'Results. LCIA'!$P$10:$P$11</c:f>
              <c:numCache>
                <c:formatCode>General</c:formatCode>
                <c:ptCount val="2"/>
                <c:pt idx="0" formatCode="0.00">
                  <c:v>-3.5392153780927611</c:v>
                </c:pt>
              </c:numCache>
            </c:numRef>
          </c:val>
          <c:extLst>
            <c:ext xmlns:c16="http://schemas.microsoft.com/office/drawing/2014/chart" uri="{C3380CC4-5D6E-409C-BE32-E72D297353CC}">
              <c16:uniqueId val="{0000000B-BFF7-4224-BEE2-A77977A7F0EF}"/>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LCIA'!$Q$6:$Q$41</c15:sqref>
                  </c15:fullRef>
                </c:ext>
              </c:extLst>
              <c:f>'Results. LCIA'!$Q$10:$Q$11</c:f>
              <c:numCache>
                <c:formatCode>General</c:formatCode>
                <c:ptCount val="2"/>
                <c:pt idx="0" formatCode="0.00">
                  <c:v>-2.8321677240082881</c:v>
                </c:pt>
              </c:numCache>
            </c:numRef>
          </c:val>
          <c:extLst xmlns:c15="http://schemas.microsoft.com/office/drawing/2012/chart">
            <c:ext xmlns:c16="http://schemas.microsoft.com/office/drawing/2014/chart" uri="{C3380CC4-5D6E-409C-BE32-E72D297353CC}">
              <c16:uniqueId val="{0000000C-BFF7-4224-BEE2-A77977A7F0EF}"/>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LCIA'!$R$6:$R$41</c15:sqref>
                  </c15:fullRef>
                </c:ext>
              </c:extLst>
              <c:f>'Results. LCIA'!$R$10:$R$11</c:f>
              <c:numCache>
                <c:formatCode>General</c:formatCode>
                <c:ptCount val="2"/>
                <c:pt idx="1" formatCode="0.00">
                  <c:v>-3.7229279119949714</c:v>
                </c:pt>
              </c:numCache>
            </c:numRef>
          </c:val>
          <c:extLst>
            <c:ext xmlns:c16="http://schemas.microsoft.com/office/drawing/2014/chart" uri="{C3380CC4-5D6E-409C-BE32-E72D297353CC}">
              <c16:uniqueId val="{0000000D-BFF7-4224-BEE2-A77977A7F0EF}"/>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Energy</a:t>
            </a:r>
            <a:r>
              <a:rPr lang="en-IE" baseline="0"/>
              <a:t> Circularity</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7C-4360-8A87-29888D2272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7C-4360-8A87-29888D22728F}"/>
              </c:ext>
            </c:extLst>
          </c:dPt>
          <c:cat>
            <c:strRef>
              <c:f>'Results. Circularity'!$D$10:$D$11</c:f>
              <c:strCache>
                <c:ptCount val="2"/>
                <c:pt idx="0">
                  <c:v>Share of renewable Energy Total</c:v>
                </c:pt>
                <c:pt idx="1">
                  <c:v>Share of Fossil Fuels Total</c:v>
                </c:pt>
              </c:strCache>
            </c:strRef>
          </c:cat>
          <c:val>
            <c:numRef>
              <c:f>'Results. Circularity'!$E$10:$E$11</c:f>
              <c:numCache>
                <c:formatCode>0%</c:formatCode>
                <c:ptCount val="2"/>
                <c:pt idx="0">
                  <c:v>0.66470173348399775</c:v>
                </c:pt>
                <c:pt idx="1">
                  <c:v>0.33529826651600225</c:v>
                </c:pt>
              </c:numCache>
            </c:numRef>
          </c:val>
          <c:extLst>
            <c:ext xmlns:c16="http://schemas.microsoft.com/office/drawing/2014/chart" uri="{C3380CC4-5D6E-409C-BE32-E72D297353CC}">
              <c16:uniqueId val="{00000000-01C0-4E7D-8119-EA4C3DA7CE8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'Results. Circularity'!$D$10</c:f>
              <c:strCache>
                <c:ptCount val="1"/>
                <c:pt idx="0">
                  <c:v>Share of renewable Energy Total</c:v>
                </c:pt>
              </c:strCache>
            </c:strRef>
          </c:tx>
          <c:spPr>
            <a:solidFill>
              <a:schemeClr val="accent1"/>
            </a:solidFill>
            <a:ln>
              <a:noFill/>
            </a:ln>
            <a:effectLst/>
          </c:spPr>
          <c:invertIfNegative val="0"/>
          <c:val>
            <c:numRef>
              <c:f>'Results. Circularity'!$E$10</c:f>
              <c:numCache>
                <c:formatCode>0%</c:formatCode>
                <c:ptCount val="1"/>
                <c:pt idx="0">
                  <c:v>0.66470173348399775</c:v>
                </c:pt>
              </c:numCache>
            </c:numRef>
          </c:val>
          <c:extLst>
            <c:ext xmlns:c16="http://schemas.microsoft.com/office/drawing/2014/chart" uri="{C3380CC4-5D6E-409C-BE32-E72D297353CC}">
              <c16:uniqueId val="{00000000-6C00-4197-867D-CF2115F8DC34}"/>
            </c:ext>
          </c:extLst>
        </c:ser>
        <c:ser>
          <c:idx val="1"/>
          <c:order val="1"/>
          <c:tx>
            <c:strRef>
              <c:f>'Results. Circularity'!$D$25</c:f>
              <c:strCache>
                <c:ptCount val="1"/>
                <c:pt idx="0">
                  <c:v>% Circular Inflows</c:v>
                </c:pt>
              </c:strCache>
            </c:strRef>
          </c:tx>
          <c:spPr>
            <a:solidFill>
              <a:schemeClr val="accent2"/>
            </a:solidFill>
            <a:ln>
              <a:noFill/>
            </a:ln>
            <a:effectLst/>
          </c:spPr>
          <c:invertIfNegative val="0"/>
          <c:val>
            <c:numRef>
              <c:f>'Results. Circularity'!$E$25</c:f>
              <c:numCache>
                <c:formatCode>0%</c:formatCode>
                <c:ptCount val="1"/>
                <c:pt idx="0">
                  <c:v>0.99309800348596911</c:v>
                </c:pt>
              </c:numCache>
            </c:numRef>
          </c:val>
          <c:extLst>
            <c:ext xmlns:c16="http://schemas.microsoft.com/office/drawing/2014/chart" uri="{C3380CC4-5D6E-409C-BE32-E72D297353CC}">
              <c16:uniqueId val="{00000001-6C00-4197-867D-CF2115F8DC34}"/>
            </c:ext>
          </c:extLst>
        </c:ser>
        <c:ser>
          <c:idx val="2"/>
          <c:order val="2"/>
          <c:tx>
            <c:strRef>
              <c:f>'Results. Circularity'!$D$32</c:f>
              <c:strCache>
                <c:ptCount val="1"/>
                <c:pt idx="0">
                  <c:v>% of recicrulation of  Biomass outflow in biological cycle</c:v>
                </c:pt>
              </c:strCache>
            </c:strRef>
          </c:tx>
          <c:spPr>
            <a:solidFill>
              <a:schemeClr val="accent3"/>
            </a:solidFill>
            <a:ln>
              <a:noFill/>
            </a:ln>
            <a:effectLst/>
          </c:spPr>
          <c:invertIfNegative val="0"/>
          <c:val>
            <c:numRef>
              <c:f>'Results. Circularity'!$E$32</c:f>
              <c:numCache>
                <c:formatCode>0.0%</c:formatCode>
                <c:ptCount val="1"/>
                <c:pt idx="0">
                  <c:v>0.99839005258019764</c:v>
                </c:pt>
              </c:numCache>
            </c:numRef>
          </c:val>
          <c:extLst>
            <c:ext xmlns:c16="http://schemas.microsoft.com/office/drawing/2014/chart" uri="{C3380CC4-5D6E-409C-BE32-E72D297353CC}">
              <c16:uniqueId val="{00000003-6C00-4197-867D-CF2115F8DC34}"/>
            </c:ext>
          </c:extLst>
        </c:ser>
        <c:ser>
          <c:idx val="3"/>
          <c:order val="3"/>
          <c:tx>
            <c:strRef>
              <c:f>'Results. Circularity'!$D$33</c:f>
              <c:strCache>
                <c:ptCount val="1"/>
                <c:pt idx="0">
                  <c:v>% of PHA outflow to biological cycle</c:v>
                </c:pt>
              </c:strCache>
            </c:strRef>
          </c:tx>
          <c:spPr>
            <a:solidFill>
              <a:schemeClr val="accent4"/>
            </a:solidFill>
            <a:ln>
              <a:noFill/>
            </a:ln>
            <a:effectLst/>
          </c:spPr>
          <c:invertIfNegative val="0"/>
          <c:val>
            <c:numRef>
              <c:f>'Results. Circularity'!$E$33</c:f>
              <c:numCache>
                <c:formatCode>0.0%</c:formatCode>
                <c:ptCount val="1"/>
                <c:pt idx="0">
                  <c:v>0.4286411450056532</c:v>
                </c:pt>
              </c:numCache>
            </c:numRef>
          </c:val>
          <c:extLst>
            <c:ext xmlns:c16="http://schemas.microsoft.com/office/drawing/2014/chart" uri="{C3380CC4-5D6E-409C-BE32-E72D297353CC}">
              <c16:uniqueId val="{00000004-6C00-4197-867D-CF2115F8DC34}"/>
            </c:ext>
          </c:extLst>
        </c:ser>
        <c:ser>
          <c:idx val="4"/>
          <c:order val="4"/>
          <c:tx>
            <c:strRef>
              <c:f>'Results. Circularity'!$D$36</c:f>
              <c:strCache>
                <c:ptCount val="1"/>
                <c:pt idx="0">
                  <c:v>% of Total Outflow Recirculated to Biological Cycle</c:v>
                </c:pt>
              </c:strCache>
            </c:strRef>
          </c:tx>
          <c:spPr>
            <a:solidFill>
              <a:schemeClr val="accent5"/>
            </a:solidFill>
            <a:ln>
              <a:noFill/>
            </a:ln>
            <a:effectLst/>
          </c:spPr>
          <c:invertIfNegative val="0"/>
          <c:val>
            <c:numRef>
              <c:f>'Results. Circularity'!$E$36</c:f>
              <c:numCache>
                <c:formatCode>0%</c:formatCode>
                <c:ptCount val="1"/>
                <c:pt idx="0">
                  <c:v>0.23248782223205144</c:v>
                </c:pt>
              </c:numCache>
            </c:numRef>
          </c:val>
          <c:extLst>
            <c:ext xmlns:c16="http://schemas.microsoft.com/office/drawing/2014/chart" uri="{C3380CC4-5D6E-409C-BE32-E72D297353CC}">
              <c16:uniqueId val="{00000005-6C00-4197-867D-CF2115F8DC34}"/>
            </c:ext>
          </c:extLst>
        </c:ser>
        <c:ser>
          <c:idx val="5"/>
          <c:order val="5"/>
          <c:tx>
            <c:strRef>
              <c:f>'Results. Circularity'!$D$40</c:f>
              <c:strCache>
                <c:ptCount val="1"/>
                <c:pt idx="0">
                  <c:v>% of water discharged in accordance with Quality requrements </c:v>
                </c:pt>
              </c:strCache>
            </c:strRef>
          </c:tx>
          <c:spPr>
            <a:solidFill>
              <a:schemeClr val="accent6"/>
            </a:solidFill>
            <a:ln>
              <a:noFill/>
            </a:ln>
            <a:effectLst/>
          </c:spPr>
          <c:invertIfNegative val="0"/>
          <c:val>
            <c:numRef>
              <c:f>'Results. Circularity'!$E$40</c:f>
              <c:numCache>
                <c:formatCode>0%</c:formatCode>
                <c:ptCount val="1"/>
                <c:pt idx="0">
                  <c:v>0.30445937478256779</c:v>
                </c:pt>
              </c:numCache>
            </c:numRef>
          </c:val>
          <c:extLst>
            <c:ext xmlns:c16="http://schemas.microsoft.com/office/drawing/2014/chart" uri="{C3380CC4-5D6E-409C-BE32-E72D297353CC}">
              <c16:uniqueId val="{00000006-6C00-4197-867D-CF2115F8DC34}"/>
            </c:ext>
          </c:extLst>
        </c:ser>
        <c:ser>
          <c:idx val="6"/>
          <c:order val="6"/>
          <c:tx>
            <c:strRef>
              <c:f>'Results. Circularity'!$D$47</c:f>
              <c:strCache>
                <c:ptCount val="1"/>
                <c:pt idx="0">
                  <c:v>Revenue share form circular resources (%)</c:v>
                </c:pt>
              </c:strCache>
            </c:strRef>
          </c:tx>
          <c:spPr>
            <a:solidFill>
              <a:schemeClr val="accent1">
                <a:lumMod val="60000"/>
              </a:schemeClr>
            </a:solidFill>
            <a:ln>
              <a:noFill/>
            </a:ln>
            <a:effectLst/>
          </c:spPr>
          <c:invertIfNegative val="0"/>
          <c:val>
            <c:numRef>
              <c:f>'Results. Circularity'!$E$47</c:f>
              <c:numCache>
                <c:formatCode>0%</c:formatCode>
                <c:ptCount val="1"/>
                <c:pt idx="0">
                  <c:v>0.99309800348596922</c:v>
                </c:pt>
              </c:numCache>
            </c:numRef>
          </c:val>
          <c:extLst>
            <c:ext xmlns:c16="http://schemas.microsoft.com/office/drawing/2014/chart" uri="{C3380CC4-5D6E-409C-BE32-E72D297353CC}">
              <c16:uniqueId val="{00000007-6C00-4197-867D-CF2115F8DC34}"/>
            </c:ext>
          </c:extLst>
        </c:ser>
        <c:dLbls>
          <c:showLegendKey val="0"/>
          <c:showVal val="0"/>
          <c:showCatName val="0"/>
          <c:showSerName val="0"/>
          <c:showPercent val="0"/>
          <c:showBubbleSize val="0"/>
        </c:dLbls>
        <c:gapWidth val="219"/>
        <c:overlap val="-27"/>
        <c:axId val="1768780511"/>
        <c:axId val="805673215"/>
      </c:barChart>
      <c:catAx>
        <c:axId val="1768780511"/>
        <c:scaling>
          <c:orientation val="minMax"/>
        </c:scaling>
        <c:delete val="1"/>
        <c:axPos val="b"/>
        <c:majorTickMark val="none"/>
        <c:minorTickMark val="none"/>
        <c:tickLblPos val="nextTo"/>
        <c:crossAx val="805673215"/>
        <c:crosses val="autoZero"/>
        <c:auto val="1"/>
        <c:lblAlgn val="ctr"/>
        <c:lblOffset val="100"/>
        <c:noMultiLvlLbl val="0"/>
      </c:catAx>
      <c:valAx>
        <c:axId val="80567321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687805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PHA Outflow Circularity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332-4925-BC41-B2DCECD59E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332-4925-BC41-B2DCECD59EB3}"/>
              </c:ext>
            </c:extLst>
          </c:dPt>
          <c:cat>
            <c:strRef>
              <c:f>'Results. Circularity'!$D$34:$D$35</c:f>
              <c:strCache>
                <c:ptCount val="2"/>
                <c:pt idx="0">
                  <c:v>% of PHA Recycled to biological cycle</c:v>
                </c:pt>
                <c:pt idx="1">
                  <c:v>% of PHA not recycled (incineration/landfill)</c:v>
                </c:pt>
              </c:strCache>
            </c:strRef>
          </c:cat>
          <c:val>
            <c:numRef>
              <c:f>'Results. Circularity'!$E$34:$E$35</c:f>
              <c:numCache>
                <c:formatCode>0.0%</c:formatCode>
                <c:ptCount val="2"/>
                <c:pt idx="0">
                  <c:v>0.4286411450056532</c:v>
                </c:pt>
                <c:pt idx="1">
                  <c:v>0.5713588549943468</c:v>
                </c:pt>
              </c:numCache>
            </c:numRef>
          </c:val>
          <c:extLst>
            <c:ext xmlns:c16="http://schemas.microsoft.com/office/drawing/2014/chart" uri="{C3380CC4-5D6E-409C-BE32-E72D297353CC}">
              <c16:uniqueId val="{00000000-BFC8-4133-9333-15E0869B76A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chart" Target="../charts/chart22.xml"/><Relationship Id="rId18" Type="http://schemas.openxmlformats.org/officeDocument/2006/relationships/chart" Target="../charts/chart2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chart" Target="../charts/chart26.xml"/><Relationship Id="rId2" Type="http://schemas.openxmlformats.org/officeDocument/2006/relationships/chart" Target="../charts/chart11.xml"/><Relationship Id="rId16" Type="http://schemas.openxmlformats.org/officeDocument/2006/relationships/chart" Target="../charts/chart25.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5" Type="http://schemas.openxmlformats.org/officeDocument/2006/relationships/chart" Target="../charts/chart24.xml"/><Relationship Id="rId10" Type="http://schemas.openxmlformats.org/officeDocument/2006/relationships/chart" Target="../charts/chart19.xml"/><Relationship Id="rId19" Type="http://schemas.openxmlformats.org/officeDocument/2006/relationships/chart" Target="../charts/chart28.xml"/><Relationship Id="rId4" Type="http://schemas.openxmlformats.org/officeDocument/2006/relationships/chart" Target="../charts/chart13.xml"/><Relationship Id="rId9" Type="http://schemas.openxmlformats.org/officeDocument/2006/relationships/chart" Target="../charts/chart18.xml"/><Relationship Id="rId14" Type="http://schemas.openxmlformats.org/officeDocument/2006/relationships/chart" Target="../charts/chart2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27</xdr:col>
      <xdr:colOff>730250</xdr:colOff>
      <xdr:row>1081</xdr:row>
      <xdr:rowOff>136071</xdr:rowOff>
    </xdr:from>
    <xdr:to>
      <xdr:col>27</xdr:col>
      <xdr:colOff>1104900</xdr:colOff>
      <xdr:row>1084</xdr:row>
      <xdr:rowOff>177800</xdr:rowOff>
    </xdr:to>
    <xdr:sp macro="" textlink="">
      <xdr:nvSpPr>
        <xdr:cNvPr id="2" name="Arrow: Down 1">
          <a:extLst>
            <a:ext uri="{FF2B5EF4-FFF2-40B4-BE49-F238E27FC236}">
              <a16:creationId xmlns:a16="http://schemas.microsoft.com/office/drawing/2014/main" id="{3FAF8A1F-E9A3-467B-8585-0EB67D398886}"/>
            </a:ext>
          </a:extLst>
        </xdr:cNvPr>
        <xdr:cNvSpPr/>
      </xdr:nvSpPr>
      <xdr:spPr>
        <a:xfrm>
          <a:off x="48520350" y="155438475"/>
          <a:ext cx="371475"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twoCellAnchor>
    <xdr:from>
      <xdr:col>29</xdr:col>
      <xdr:colOff>323851</xdr:colOff>
      <xdr:row>1543</xdr:row>
      <xdr:rowOff>176212</xdr:rowOff>
    </xdr:from>
    <xdr:to>
      <xdr:col>34</xdr:col>
      <xdr:colOff>528494</xdr:colOff>
      <xdr:row>1577</xdr:row>
      <xdr:rowOff>108712</xdr:rowOff>
    </xdr:to>
    <xdr:graphicFrame macro="">
      <xdr:nvGraphicFramePr>
        <xdr:cNvPr id="3" name="Chart 2">
          <a:extLst>
            <a:ext uri="{FF2B5EF4-FFF2-40B4-BE49-F238E27FC236}">
              <a16:creationId xmlns:a16="http://schemas.microsoft.com/office/drawing/2014/main" id="{6B56B203-412C-4BF5-9933-F5DCEF22B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40</xdr:col>
      <xdr:colOff>333375</xdr:colOff>
      <xdr:row>839</xdr:row>
      <xdr:rowOff>95250</xdr:rowOff>
    </xdr:from>
    <xdr:to>
      <xdr:col>46</xdr:col>
      <xdr:colOff>145875</xdr:colOff>
      <xdr:row>858</xdr:row>
      <xdr:rowOff>106136</xdr:rowOff>
    </xdr:to>
    <xdr:graphicFrame macro="">
      <xdr:nvGraphicFramePr>
        <xdr:cNvPr id="4" name="Chart 3">
          <a:extLst>
            <a:ext uri="{FF2B5EF4-FFF2-40B4-BE49-F238E27FC236}">
              <a16:creationId xmlns:a16="http://schemas.microsoft.com/office/drawing/2014/main" id="{6D6C6771-649B-4FC8-AF3B-EBE4B1833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730250</xdr:colOff>
      <xdr:row>1070</xdr:row>
      <xdr:rowOff>136071</xdr:rowOff>
    </xdr:from>
    <xdr:to>
      <xdr:col>27</xdr:col>
      <xdr:colOff>1104900</xdr:colOff>
      <xdr:row>1073</xdr:row>
      <xdr:rowOff>177800</xdr:rowOff>
    </xdr:to>
    <xdr:sp macro="" textlink="">
      <xdr:nvSpPr>
        <xdr:cNvPr id="5" name="Arrow: Down 4">
          <a:extLst>
            <a:ext uri="{FF2B5EF4-FFF2-40B4-BE49-F238E27FC236}">
              <a16:creationId xmlns:a16="http://schemas.microsoft.com/office/drawing/2014/main" id="{BA3E32E5-5F4E-46EA-83A2-61AFCA790190}"/>
            </a:ext>
          </a:extLst>
        </xdr:cNvPr>
        <xdr:cNvSpPr/>
      </xdr:nvSpPr>
      <xdr:spPr>
        <a:xfrm>
          <a:off x="49301400" y="220618050"/>
          <a:ext cx="371475"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twoCellAnchor>
    <xdr:from>
      <xdr:col>29</xdr:col>
      <xdr:colOff>323851</xdr:colOff>
      <xdr:row>1532</xdr:row>
      <xdr:rowOff>176212</xdr:rowOff>
    </xdr:from>
    <xdr:to>
      <xdr:col>34</xdr:col>
      <xdr:colOff>528494</xdr:colOff>
      <xdr:row>1566</xdr:row>
      <xdr:rowOff>108712</xdr:rowOff>
    </xdr:to>
    <xdr:graphicFrame macro="">
      <xdr:nvGraphicFramePr>
        <xdr:cNvPr id="6" name="Chart 5">
          <a:extLst>
            <a:ext uri="{FF2B5EF4-FFF2-40B4-BE49-F238E27FC236}">
              <a16:creationId xmlns:a16="http://schemas.microsoft.com/office/drawing/2014/main" id="{12683122-2526-4259-9675-E4E6DEFA8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333375</xdr:colOff>
      <xdr:row>828</xdr:row>
      <xdr:rowOff>95250</xdr:rowOff>
    </xdr:from>
    <xdr:to>
      <xdr:col>46</xdr:col>
      <xdr:colOff>145875</xdr:colOff>
      <xdr:row>847</xdr:row>
      <xdr:rowOff>106136</xdr:rowOff>
    </xdr:to>
    <xdr:graphicFrame macro="">
      <xdr:nvGraphicFramePr>
        <xdr:cNvPr id="7" name="Chart 6">
          <a:extLst>
            <a:ext uri="{FF2B5EF4-FFF2-40B4-BE49-F238E27FC236}">
              <a16:creationId xmlns:a16="http://schemas.microsoft.com/office/drawing/2014/main" id="{E07BEB80-3A4D-48DA-9E93-E2BDAF187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207434</xdr:colOff>
      <xdr:row>30</xdr:row>
      <xdr:rowOff>92075</xdr:rowOff>
    </xdr:from>
    <xdr:to>
      <xdr:col>8</xdr:col>
      <xdr:colOff>1089027</xdr:colOff>
      <xdr:row>59</xdr:row>
      <xdr:rowOff>101600</xdr:rowOff>
    </xdr:to>
    <xdr:graphicFrame macro="">
      <xdr:nvGraphicFramePr>
        <xdr:cNvPr id="3" name="Chart 2">
          <a:extLst>
            <a:ext uri="{FF2B5EF4-FFF2-40B4-BE49-F238E27FC236}">
              <a16:creationId xmlns:a16="http://schemas.microsoft.com/office/drawing/2014/main" id="{BC897239-DC15-847A-674A-A467C48D4A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1987550</xdr:colOff>
      <xdr:row>30</xdr:row>
      <xdr:rowOff>142875</xdr:rowOff>
    </xdr:from>
    <xdr:to>
      <xdr:col>13</xdr:col>
      <xdr:colOff>555626</xdr:colOff>
      <xdr:row>59</xdr:row>
      <xdr:rowOff>42333</xdr:rowOff>
    </xdr:to>
    <xdr:graphicFrame macro="">
      <xdr:nvGraphicFramePr>
        <xdr:cNvPr id="4" name="Chart 3">
          <a:extLst>
            <a:ext uri="{FF2B5EF4-FFF2-40B4-BE49-F238E27FC236}">
              <a16:creationId xmlns:a16="http://schemas.microsoft.com/office/drawing/2014/main" id="{65E6D51C-15E0-1EEA-4D7B-6E6EE19B8F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569382</xdr:colOff>
      <xdr:row>69</xdr:row>
      <xdr:rowOff>21167</xdr:rowOff>
    </xdr:from>
    <xdr:to>
      <xdr:col>4</xdr:col>
      <xdr:colOff>872065</xdr:colOff>
      <xdr:row>85</xdr:row>
      <xdr:rowOff>21167</xdr:rowOff>
    </xdr:to>
    <xdr:graphicFrame macro="">
      <xdr:nvGraphicFramePr>
        <xdr:cNvPr id="7" name="Chart 6">
          <a:extLst>
            <a:ext uri="{FF2B5EF4-FFF2-40B4-BE49-F238E27FC236}">
              <a16:creationId xmlns:a16="http://schemas.microsoft.com/office/drawing/2014/main" id="{65CC1BDC-2B10-4967-A95A-173D7B349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1012826</xdr:colOff>
      <xdr:row>69</xdr:row>
      <xdr:rowOff>109009</xdr:rowOff>
    </xdr:from>
    <xdr:to>
      <xdr:col>6</xdr:col>
      <xdr:colOff>515409</xdr:colOff>
      <xdr:row>88</xdr:row>
      <xdr:rowOff>73555</xdr:rowOff>
    </xdr:to>
    <xdr:graphicFrame macro="">
      <xdr:nvGraphicFramePr>
        <xdr:cNvPr id="10" name="Chart 9">
          <a:extLst>
            <a:ext uri="{FF2B5EF4-FFF2-40B4-BE49-F238E27FC236}">
              <a16:creationId xmlns:a16="http://schemas.microsoft.com/office/drawing/2014/main" id="{FA303A3B-9584-46F2-B2FF-75CC9DE6EA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13758</xdr:colOff>
      <xdr:row>85</xdr:row>
      <xdr:rowOff>149754</xdr:rowOff>
    </xdr:from>
    <xdr:to>
      <xdr:col>4</xdr:col>
      <xdr:colOff>281516</xdr:colOff>
      <xdr:row>100</xdr:row>
      <xdr:rowOff>179387</xdr:rowOff>
    </xdr:to>
    <xdr:graphicFrame macro="">
      <xdr:nvGraphicFramePr>
        <xdr:cNvPr id="11" name="Chart 10">
          <a:extLst>
            <a:ext uri="{FF2B5EF4-FFF2-40B4-BE49-F238E27FC236}">
              <a16:creationId xmlns:a16="http://schemas.microsoft.com/office/drawing/2014/main" id="{D7291379-3151-97EA-5FBE-1259DCEA4B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47624</xdr:colOff>
      <xdr:row>80</xdr:row>
      <xdr:rowOff>123824</xdr:rowOff>
    </xdr:from>
    <xdr:to>
      <xdr:col>4</xdr:col>
      <xdr:colOff>1588049</xdr:colOff>
      <xdr:row>92</xdr:row>
      <xdr:rowOff>121649</xdr:rowOff>
    </xdr:to>
    <xdr:graphicFrame macro="">
      <xdr:nvGraphicFramePr>
        <xdr:cNvPr id="2" name="Chart 1">
          <a:extLst>
            <a:ext uri="{FF2B5EF4-FFF2-40B4-BE49-F238E27FC236}">
              <a16:creationId xmlns:a16="http://schemas.microsoft.com/office/drawing/2014/main" id="{056A7287-ADA2-451C-A494-F1C700CDB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191559</xdr:colOff>
      <xdr:row>66</xdr:row>
      <xdr:rowOff>144990</xdr:rowOff>
    </xdr:from>
    <xdr:to>
      <xdr:col>8</xdr:col>
      <xdr:colOff>170882</xdr:colOff>
      <xdr:row>78</xdr:row>
      <xdr:rowOff>123765</xdr:rowOff>
    </xdr:to>
    <xdr:graphicFrame macro="">
      <xdr:nvGraphicFramePr>
        <xdr:cNvPr id="4" name="Chart 3">
          <a:extLst>
            <a:ext uri="{FF2B5EF4-FFF2-40B4-BE49-F238E27FC236}">
              <a16:creationId xmlns:a16="http://schemas.microsoft.com/office/drawing/2014/main" id="{B927591E-F6A1-4761-BA21-BBA7D4569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180975</xdr:colOff>
      <xdr:row>80</xdr:row>
      <xdr:rowOff>175682</xdr:rowOff>
    </xdr:from>
    <xdr:to>
      <xdr:col>8</xdr:col>
      <xdr:colOff>157123</xdr:colOff>
      <xdr:row>92</xdr:row>
      <xdr:rowOff>170332</xdr:rowOff>
    </xdr:to>
    <xdr:graphicFrame macro="">
      <xdr:nvGraphicFramePr>
        <xdr:cNvPr id="5" name="Chart 4">
          <a:extLst>
            <a:ext uri="{FF2B5EF4-FFF2-40B4-BE49-F238E27FC236}">
              <a16:creationId xmlns:a16="http://schemas.microsoft.com/office/drawing/2014/main" id="{5277360F-16EF-485B-9FAF-1662F86D54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28576</xdr:colOff>
      <xdr:row>109</xdr:row>
      <xdr:rowOff>26459</xdr:rowOff>
    </xdr:from>
    <xdr:to>
      <xdr:col>4</xdr:col>
      <xdr:colOff>1565826</xdr:colOff>
      <xdr:row>121</xdr:row>
      <xdr:rowOff>27459</xdr:rowOff>
    </xdr:to>
    <xdr:graphicFrame macro="">
      <xdr:nvGraphicFramePr>
        <xdr:cNvPr id="8" name="Chart 7">
          <a:extLst>
            <a:ext uri="{FF2B5EF4-FFF2-40B4-BE49-F238E27FC236}">
              <a16:creationId xmlns:a16="http://schemas.microsoft.com/office/drawing/2014/main" id="{E505766A-7E38-4CF6-A096-713748CA16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14815</xdr:colOff>
      <xdr:row>121</xdr:row>
      <xdr:rowOff>122765</xdr:rowOff>
    </xdr:from>
    <xdr:to>
      <xdr:col>4</xdr:col>
      <xdr:colOff>1552065</xdr:colOff>
      <xdr:row>133</xdr:row>
      <xdr:rowOff>117415</xdr:rowOff>
    </xdr:to>
    <xdr:graphicFrame macro="">
      <xdr:nvGraphicFramePr>
        <xdr:cNvPr id="10" name="Chart 9">
          <a:extLst>
            <a:ext uri="{FF2B5EF4-FFF2-40B4-BE49-F238E27FC236}">
              <a16:creationId xmlns:a16="http://schemas.microsoft.com/office/drawing/2014/main" id="{255B21C5-037E-42BC-BF95-C7B9C12230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63500</xdr:colOff>
      <xdr:row>189</xdr:row>
      <xdr:rowOff>169333</xdr:rowOff>
    </xdr:from>
    <xdr:to>
      <xdr:col>4</xdr:col>
      <xdr:colOff>1912898</xdr:colOff>
      <xdr:row>201</xdr:row>
      <xdr:rowOff>154458</xdr:rowOff>
    </xdr:to>
    <xdr:graphicFrame macro="">
      <xdr:nvGraphicFramePr>
        <xdr:cNvPr id="12" name="Chart 11">
          <a:extLst>
            <a:ext uri="{FF2B5EF4-FFF2-40B4-BE49-F238E27FC236}">
              <a16:creationId xmlns:a16="http://schemas.microsoft.com/office/drawing/2014/main" id="{B878ABFE-259C-491C-836F-DC65806963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47625</xdr:colOff>
      <xdr:row>66</xdr:row>
      <xdr:rowOff>127000</xdr:rowOff>
    </xdr:from>
    <xdr:to>
      <xdr:col>4</xdr:col>
      <xdr:colOff>1581700</xdr:colOff>
      <xdr:row>78</xdr:row>
      <xdr:rowOff>124825</xdr:rowOff>
    </xdr:to>
    <xdr:graphicFrame macro="">
      <xdr:nvGraphicFramePr>
        <xdr:cNvPr id="14" name="Chart 13">
          <a:extLst>
            <a:ext uri="{FF2B5EF4-FFF2-40B4-BE49-F238E27FC236}">
              <a16:creationId xmlns:a16="http://schemas.microsoft.com/office/drawing/2014/main" id="{C319A8DD-A4E7-4CDC-8083-8F79133148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232834</xdr:colOff>
      <xdr:row>95</xdr:row>
      <xdr:rowOff>10584</xdr:rowOff>
    </xdr:from>
    <xdr:to>
      <xdr:col>8</xdr:col>
      <xdr:colOff>212157</xdr:colOff>
      <xdr:row>106</xdr:row>
      <xdr:rowOff>175625</xdr:rowOff>
    </xdr:to>
    <xdr:graphicFrame macro="">
      <xdr:nvGraphicFramePr>
        <xdr:cNvPr id="15" name="Chart 14">
          <a:extLst>
            <a:ext uri="{FF2B5EF4-FFF2-40B4-BE49-F238E27FC236}">
              <a16:creationId xmlns:a16="http://schemas.microsoft.com/office/drawing/2014/main" id="{1EAF8D4C-73F8-4DF7-9A69-8AA4437AE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109</xdr:row>
      <xdr:rowOff>0</xdr:rowOff>
    </xdr:from>
    <xdr:to>
      <xdr:col>7</xdr:col>
      <xdr:colOff>2014498</xdr:colOff>
      <xdr:row>120</xdr:row>
      <xdr:rowOff>168217</xdr:rowOff>
    </xdr:to>
    <xdr:graphicFrame macro="">
      <xdr:nvGraphicFramePr>
        <xdr:cNvPr id="16" name="Chart 15">
          <a:extLst>
            <a:ext uri="{FF2B5EF4-FFF2-40B4-BE49-F238E27FC236}">
              <a16:creationId xmlns:a16="http://schemas.microsoft.com/office/drawing/2014/main" id="{58149A8F-AA1F-4A2D-8BE9-ADF2189B4F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122</xdr:row>
      <xdr:rowOff>0</xdr:rowOff>
    </xdr:from>
    <xdr:to>
      <xdr:col>7</xdr:col>
      <xdr:colOff>2014498</xdr:colOff>
      <xdr:row>133</xdr:row>
      <xdr:rowOff>168216</xdr:rowOff>
    </xdr:to>
    <xdr:graphicFrame macro="">
      <xdr:nvGraphicFramePr>
        <xdr:cNvPr id="17" name="Chart 16">
          <a:extLst>
            <a:ext uri="{FF2B5EF4-FFF2-40B4-BE49-F238E27FC236}">
              <a16:creationId xmlns:a16="http://schemas.microsoft.com/office/drawing/2014/main" id="{D5212EBC-D86D-4E5E-AD1A-08A64DE8D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709084</xdr:colOff>
      <xdr:row>66</xdr:row>
      <xdr:rowOff>169334</xdr:rowOff>
    </xdr:from>
    <xdr:to>
      <xdr:col>11</xdr:col>
      <xdr:colOff>688407</xdr:colOff>
      <xdr:row>78</xdr:row>
      <xdr:rowOff>154459</xdr:rowOff>
    </xdr:to>
    <xdr:graphicFrame macro="">
      <xdr:nvGraphicFramePr>
        <xdr:cNvPr id="18" name="Chart 17">
          <a:extLst>
            <a:ext uri="{FF2B5EF4-FFF2-40B4-BE49-F238E27FC236}">
              <a16:creationId xmlns:a16="http://schemas.microsoft.com/office/drawing/2014/main" id="{A16D11BB-E7B4-4595-968A-D569014CA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666750</xdr:colOff>
      <xdr:row>81</xdr:row>
      <xdr:rowOff>52917</xdr:rowOff>
    </xdr:from>
    <xdr:to>
      <xdr:col>11</xdr:col>
      <xdr:colOff>642898</xdr:colOff>
      <xdr:row>93</xdr:row>
      <xdr:rowOff>34867</xdr:rowOff>
    </xdr:to>
    <xdr:graphicFrame macro="">
      <xdr:nvGraphicFramePr>
        <xdr:cNvPr id="19" name="Chart 18">
          <a:extLst>
            <a:ext uri="{FF2B5EF4-FFF2-40B4-BE49-F238E27FC236}">
              <a16:creationId xmlns:a16="http://schemas.microsoft.com/office/drawing/2014/main" id="{D62CBB6B-3E9C-4386-90F7-A2D936607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635000</xdr:colOff>
      <xdr:row>95</xdr:row>
      <xdr:rowOff>84667</xdr:rowOff>
    </xdr:from>
    <xdr:to>
      <xdr:col>11</xdr:col>
      <xdr:colOff>604798</xdr:colOff>
      <xdr:row>107</xdr:row>
      <xdr:rowOff>69792</xdr:rowOff>
    </xdr:to>
    <xdr:graphicFrame macro="">
      <xdr:nvGraphicFramePr>
        <xdr:cNvPr id="20" name="Chart 19">
          <a:extLst>
            <a:ext uri="{FF2B5EF4-FFF2-40B4-BE49-F238E27FC236}">
              <a16:creationId xmlns:a16="http://schemas.microsoft.com/office/drawing/2014/main" id="{4F4E5068-41F5-46E4-8221-4E3C030C7E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624417</xdr:colOff>
      <xdr:row>109</xdr:row>
      <xdr:rowOff>42334</xdr:rowOff>
    </xdr:from>
    <xdr:to>
      <xdr:col>11</xdr:col>
      <xdr:colOff>584690</xdr:colOff>
      <xdr:row>121</xdr:row>
      <xdr:rowOff>24284</xdr:rowOff>
    </xdr:to>
    <xdr:graphicFrame macro="">
      <xdr:nvGraphicFramePr>
        <xdr:cNvPr id="21" name="Chart 20">
          <a:extLst>
            <a:ext uri="{FF2B5EF4-FFF2-40B4-BE49-F238E27FC236}">
              <a16:creationId xmlns:a16="http://schemas.microsoft.com/office/drawing/2014/main" id="{B7E2E27D-7563-470F-BB25-3CC0D02EC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617009</xdr:colOff>
      <xdr:row>122</xdr:row>
      <xdr:rowOff>130176</xdr:rowOff>
    </xdr:from>
    <xdr:to>
      <xdr:col>11</xdr:col>
      <xdr:colOff>574107</xdr:colOff>
      <xdr:row>134</xdr:row>
      <xdr:rowOff>112126</xdr:rowOff>
    </xdr:to>
    <xdr:graphicFrame macro="">
      <xdr:nvGraphicFramePr>
        <xdr:cNvPr id="22" name="Chart 21">
          <a:extLst>
            <a:ext uri="{FF2B5EF4-FFF2-40B4-BE49-F238E27FC236}">
              <a16:creationId xmlns:a16="http://schemas.microsoft.com/office/drawing/2014/main" id="{41A634BB-1A44-4036-B7BE-693DBF2AF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1185334</xdr:colOff>
      <xdr:row>66</xdr:row>
      <xdr:rowOff>127001</xdr:rowOff>
    </xdr:from>
    <xdr:to>
      <xdr:col>14</xdr:col>
      <xdr:colOff>1145607</xdr:colOff>
      <xdr:row>78</xdr:row>
      <xdr:rowOff>108951</xdr:rowOff>
    </xdr:to>
    <xdr:graphicFrame macro="">
      <xdr:nvGraphicFramePr>
        <xdr:cNvPr id="23" name="Chart 22">
          <a:extLst>
            <a:ext uri="{FF2B5EF4-FFF2-40B4-BE49-F238E27FC236}">
              <a16:creationId xmlns:a16="http://schemas.microsoft.com/office/drawing/2014/main" id="{DE91EC34-B0A7-4B74-9E6E-6DA5EA3D7B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1174750</xdr:colOff>
      <xdr:row>81</xdr:row>
      <xdr:rowOff>127001</xdr:rowOff>
    </xdr:from>
    <xdr:to>
      <xdr:col>14</xdr:col>
      <xdr:colOff>1135023</xdr:colOff>
      <xdr:row>93</xdr:row>
      <xdr:rowOff>108951</xdr:rowOff>
    </xdr:to>
    <xdr:graphicFrame macro="">
      <xdr:nvGraphicFramePr>
        <xdr:cNvPr id="24" name="Chart 23">
          <a:extLst>
            <a:ext uri="{FF2B5EF4-FFF2-40B4-BE49-F238E27FC236}">
              <a16:creationId xmlns:a16="http://schemas.microsoft.com/office/drawing/2014/main" id="{BAA512B6-F029-4524-9669-4F8AE0A7D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430741</xdr:colOff>
      <xdr:row>66</xdr:row>
      <xdr:rowOff>11643</xdr:rowOff>
    </xdr:from>
    <xdr:to>
      <xdr:col>17</xdr:col>
      <xdr:colOff>945091</xdr:colOff>
      <xdr:row>81</xdr:row>
      <xdr:rowOff>52918</xdr:rowOff>
    </xdr:to>
    <xdr:graphicFrame macro="">
      <xdr:nvGraphicFramePr>
        <xdr:cNvPr id="25" name="Chart 24">
          <a:extLst>
            <a:ext uri="{FF2B5EF4-FFF2-40B4-BE49-F238E27FC236}">
              <a16:creationId xmlns:a16="http://schemas.microsoft.com/office/drawing/2014/main" id="{EDC5D9E7-D6C6-9662-63EB-7D8D17063E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63500</xdr:colOff>
      <xdr:row>93</xdr:row>
      <xdr:rowOff>148167</xdr:rowOff>
    </xdr:from>
    <xdr:to>
      <xdr:col>4</xdr:col>
      <xdr:colOff>1909723</xdr:colOff>
      <xdr:row>105</xdr:row>
      <xdr:rowOff>130117</xdr:rowOff>
    </xdr:to>
    <xdr:graphicFrame macro="">
      <xdr:nvGraphicFramePr>
        <xdr:cNvPr id="3" name="Chart 2">
          <a:extLst>
            <a:ext uri="{FF2B5EF4-FFF2-40B4-BE49-F238E27FC236}">
              <a16:creationId xmlns:a16="http://schemas.microsoft.com/office/drawing/2014/main" id="{0D29A16F-A1F1-4B83-A22C-B0607D07A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149225</xdr:colOff>
      <xdr:row>50</xdr:row>
      <xdr:rowOff>66675</xdr:rowOff>
    </xdr:from>
    <xdr:to>
      <xdr:col>3</xdr:col>
      <xdr:colOff>2779625</xdr:colOff>
      <xdr:row>66</xdr:row>
      <xdr:rowOff>275</xdr:rowOff>
    </xdr:to>
    <xdr:graphicFrame macro="">
      <xdr:nvGraphicFramePr>
        <xdr:cNvPr id="2" name="Chart 1">
          <a:extLst>
            <a:ext uri="{FF2B5EF4-FFF2-40B4-BE49-F238E27FC236}">
              <a16:creationId xmlns:a16="http://schemas.microsoft.com/office/drawing/2014/main" id="{06707F17-34B1-7740-55DB-8F2A66BF04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231774</xdr:colOff>
      <xdr:row>67</xdr:row>
      <xdr:rowOff>168274</xdr:rowOff>
    </xdr:from>
    <xdr:to>
      <xdr:col>5</xdr:col>
      <xdr:colOff>444499</xdr:colOff>
      <xdr:row>84</xdr:row>
      <xdr:rowOff>171449</xdr:rowOff>
    </xdr:to>
    <xdr:graphicFrame macro="">
      <xdr:nvGraphicFramePr>
        <xdr:cNvPr id="3" name="Chart 2">
          <a:extLst>
            <a:ext uri="{FF2B5EF4-FFF2-40B4-BE49-F238E27FC236}">
              <a16:creationId xmlns:a16="http://schemas.microsoft.com/office/drawing/2014/main" id="{6B193FC7-BA47-91A4-1383-40077D2BE8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3117849</xdr:colOff>
      <xdr:row>50</xdr:row>
      <xdr:rowOff>28575</xdr:rowOff>
    </xdr:from>
    <xdr:to>
      <xdr:col>5</xdr:col>
      <xdr:colOff>103099</xdr:colOff>
      <xdr:row>65</xdr:row>
      <xdr:rowOff>146325</xdr:rowOff>
    </xdr:to>
    <xdr:graphicFrame macro="">
      <xdr:nvGraphicFramePr>
        <xdr:cNvPr id="4" name="Chart 3">
          <a:extLst>
            <a:ext uri="{FF2B5EF4-FFF2-40B4-BE49-F238E27FC236}">
              <a16:creationId xmlns:a16="http://schemas.microsoft.com/office/drawing/2014/main" id="{DE7F9878-25C6-49B9-48F0-DE4531F70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ormac Ó Maoldúin" id="{8DA105B7-CDB5-4498-A806-46308E8B251A}" userId="S::MAOLDINC@tcd.ie::809a03a1-c7ed-43c3-9ae6-a81e2415b13b"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4" dT="2023-06-06T13:40:32.90" personId="{8DA105B7-CDB5-4498-A806-46308E8B251A}" id="{D3EFAD76-D4B8-4016-AA11-507483DF7278}">
    <text>Required for storing the VFA rich stream prior to feeding the accumulation reactor. The vessel should have sufficient volume to store and mix the entire VFA steam along with the added nutrients</text>
  </threadedComment>
  <threadedComment ref="D392" dT="2023-06-23T09:13:46.97" personId="{8DA105B7-CDB5-4498-A806-46308E8B251A}" id="{EEFA78B0-164C-44A7-A2E8-1BF8BAF87C68}">
    <text>Metcalf and eddy page 1455</text>
  </threadedComment>
  <threadedComment ref="D394" dT="2023-06-23T09:14:01.75" personId="{8DA105B7-CDB5-4498-A806-46308E8B251A}" id="{958D71EF-9442-4566-8589-5685508A07ED}">
    <text xml:space="preserve">Metcalf and eddy page 1455
</text>
  </threadedComment>
  <threadedComment ref="D405" dT="2023-05-24T13:39:11.48" personId="{8DA105B7-CDB5-4498-A806-46308E8B251A}" id="{04895E11-1510-4BBB-873A-12D57D1D517D}">
    <text>Calculated by CODsol - CODsol initial/COD initial. Can be used to determine the fixed COD in the biomass</text>
  </threadedComment>
  <threadedComment ref="F405" dT="2023-05-24T13:37:33.10" personId="{8DA105B7-CDB5-4498-A806-46308E8B251A}" id="{7A2C85FF-E021-4979-B68E-0924E2E2BE7D}">
    <text>At 35 degrees</text>
  </threadedComment>
  <threadedComment ref="D423" dT="2023-06-15T11:03:25.63" personId="{8DA105B7-CDB5-4498-A806-46308E8B251A}" id="{5DE70B10-D033-4FA9-AACA-64EB8755807B}">
    <text xml:space="preserve">Average value taken from the values tested in the referenced study. </text>
  </threadedComment>
  <threadedComment ref="D425" dT="2023-06-15T11:03:25.63" personId="{8DA105B7-CDB5-4498-A806-46308E8B251A}" id="{D706BE06-BE53-431A-85D0-07178C3722D3}">
    <text xml:space="preserve">Average value taken from the values tested in the referenced study. </text>
  </threadedComment>
  <threadedComment ref="D427" dT="2023-06-15T11:03:25.63" personId="{8DA105B7-CDB5-4498-A806-46308E8B251A}" id="{D6617B87-8BE5-4F75-B9A2-97D108D97EF3}">
    <text xml:space="preserve">Average value taken from the values tested in the referenced study. </text>
  </threadedComment>
  <threadedComment ref="D435" dT="2023-06-18T15:28:09.95" personId="{8DA105B7-CDB5-4498-A806-46308E8B251A}" id="{CA9D8381-C605-4FFE-B33B-78874877E04A}">
    <text>Energy Requirement of 0.006kW/m3 converted to kWh for a 24 hour period for 5 batches running simultaniously</text>
  </threadedComment>
  <threadedComment ref="D439" dT="2023-05-16T15:37:05.53" personId="{8DA105B7-CDB5-4498-A806-46308E8B251A}" id="{ECF53432-6352-4A5D-AC92-16162E6ECA0D}">
    <text>Need to find typical heat exchanger capacity</text>
  </threadedComment>
  <threadedComment ref="D542" dT="2023-05-12T15:35:20.99" personId="{8DA105B7-CDB5-4498-A806-46308E8B251A}" id="{936433FD-7B40-4B08-80E5-42336A72B49A}">
    <text>Need to determine is this on a dry weight basis</text>
  </threadedComment>
  <threadedComment ref="D716" dT="2023-06-02T14:39:59.90" personId="{8DA105B7-CDB5-4498-A806-46308E8B251A}" id="{29D0D9E2-DD1B-44DC-BC43-536E8AB50C1A}">
    <text>electrical efficiency 0.37 and LHV 22.73 MJ</text>
  </threadedComment>
  <threadedComment ref="D789" dT="2023-06-06T13:40:32.90" personId="{8DA105B7-CDB5-4498-A806-46308E8B251A}" id="{5C1736AA-6186-4E21-A86D-8993B0163327}">
    <text>Required for storing the VFA rich stream prior to feeding the accumulation reactor. The vessel should have sufficient volume to store and mix the entire VFA steam along with the added nutrients</text>
  </threadedComment>
  <threadedComment ref="D792" dT="2023-06-20T13:12:23.25" personId="{8DA105B7-CDB5-4498-A806-46308E8B251A}" id="{578A6661-E230-4415-8E34-A30DDBC4408A}">
    <text>This is just used to deduct the Thermal Energy Demand of AD in the PHA only scenario. This is not included in the infrastructure</text>
  </threadedComment>
  <threadedComment ref="AM811" dT="2023-06-20T14:23:34.99" personId="{8DA105B7-CDB5-4498-A806-46308E8B251A}" id="{1C52D4EB-B38E-4099-A4EC-B6AB4049EFEB}">
    <text>Used to calculate the evaporation rate of DMC based on the ethanol evaporation rate given in the evaporator specs</text>
  </threadedComment>
  <threadedComment ref="E816" dT="2023-06-13T11:49:38.49" personId="{8DA105B7-CDB5-4498-A806-46308E8B251A}" id="{372F7329-3182-41F4-8E35-BBFF28DED2AF}">
    <text>Required capacity of the pump is the capacity of the centrifuge</text>
  </threadedComment>
  <threadedComment ref="E818" dT="2023-06-14T17:08:31.01" personId="{8DA105B7-CDB5-4498-A806-46308E8B251A}" id="{56700E19-5C32-4CA4-8D29-94778B2DBCE0}">
    <text>Pumping rate based on a fill time that is 5% of the overall cycle of 12 hours as per https://www.sciencedirect.com/science/article/pii/S0960852415000668</text>
    <extLst>
      <x:ext xmlns:xltc2="http://schemas.microsoft.com/office/spreadsheetml/2020/threadedcomments2" uri="{F7C98A9C-CBB3-438F-8F68-D28B6AF4A901}">
        <xltc2:checksum>276901668</xltc2:checksum>
        <xltc2:hyperlink startIndex="85" length="67" url="https://www.sciencedirect.com/science/article/pii/S0960852415000668"/>
      </x:ext>
    </extLst>
  </threadedComment>
  <threadedComment ref="K830" dT="2023-06-16T14:15:54.91" personId="{8DA105B7-CDB5-4498-A806-46308E8B251A}" id="{56636447-C6FD-4C3F-BF59-12ABAB639518}">
    <text>https://kdusling.github.io/teaching/Applied-Fluids/SteelPipeTable.html?sch=40&amp;mat=comSteel</text>
    <extLst>
      <x:ext xmlns:xltc2="http://schemas.microsoft.com/office/spreadsheetml/2020/threadedcomments2" uri="{F7C98A9C-CBB3-438F-8F68-D28B6AF4A901}">
        <xltc2:checksum>681650066</xltc2:checksum>
        <xltc2:hyperlink startIndex="0" length="90" url="https://kdusling.github.io/teaching/Applied-Fluids/SteelPipeTable.html?sch=40&amp;mat=comSteel"/>
      </x:ext>
    </extLst>
  </threadedComment>
  <threadedComment ref="S830" dT="2023-06-20T14:31:46.45" personId="{8DA105B7-CDB5-4498-A806-46308E8B251A}" id="{7D1591E7-0C33-4174-9DBF-E4CC5FB6FE84}">
    <text>GWP of the pipes, not the energy requirement for pumping</text>
  </threadedComment>
  <threadedComment ref="P831" dT="2023-06-16T14:26:55.96" personId="{8DA105B7-CDB5-4498-A806-46308E8B251A}" id="{48B6D9D8-87A3-44CC-ADC2-46A846102CFE}">
    <text xml:space="preserve">Pumping operational hours are actualy 24 hours when pump is on however to account for the 5 AF vessels the operational is divided by the number of tanks i.e 5
</text>
  </threadedComment>
  <threadedComment ref="E867" dT="2023-07-19T10:26:03.30" personId="{8DA105B7-CDB5-4498-A806-46308E8B251A}" id="{2DE18D4C-B597-46DE-9CC4-9C75DEAFB1C3}">
    <text>Going for 3000 kN/m2 as the dominant rock type is limestone/shale. According to the following link, very marly limestones and shale range form 2000-4000 for moderately strong. Also the engineering toolbox says 2000-4000 for rock</text>
  </threadedComment>
  <threadedComment ref="E869" dT="2023-07-19T10:27:34.78" personId="{8DA105B7-CDB5-4498-A806-46308E8B251A}" id="{221BF779-19FB-4587-A651-503B3EB5AD43}">
    <text>Going for 45 as limestone is given as 45 and shale 30-45 in the engineering tool box</text>
  </threadedComment>
  <threadedComment ref="E871" dT="2023-07-19T10:29:58.44" personId="{8DA105B7-CDB5-4498-A806-46308E8B251A}" id="{B264689A-64E1-4BC9-8AF5-8648A38B1DE2}">
    <text>Going for mid range value for density of limestone</text>
  </threadedComment>
  <threadedComment ref="H1010" dT="2023-06-02T10:44:27.67" personId="{8DA105B7-CDB5-4498-A806-46308E8B251A}" id="{D7941BE8-2BC2-47C1-AE91-126F47615AE7}">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K1012" dT="2023-06-02T10:44:27.67" personId="{8DA105B7-CDB5-4498-A806-46308E8B251A}" id="{B1AB7A32-491C-48B7-B1FA-618CB3FE4220}">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G1094" dT="2023-05-10T16:02:12.28" personId="{8DA105B7-CDB5-4498-A806-46308E8B251A}" id="{80453384-8243-444C-B604-A06F76E4529D}">
    <text>Need to figure this out. Could find the COD solubilisation rate and assume the remaining COD is contained in the sold mass</text>
  </threadedComment>
  <threadedComment ref="M1110" dT="2023-05-25T15:04:38.72" personId="{8DA105B7-CDB5-4498-A806-46308E8B251A}" id="{86CAB53A-9CED-4742-A1C5-C2A6BDADB9AF}">
    <text>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ext>
  </threadedComment>
  <threadedComment ref="M1111" dT="2023-05-25T08:30:16.33" personId="{8DA105B7-CDB5-4498-A806-46308E8B251A}" id="{924A680A-7C94-455B-9D47-079AD89CF5BA}">
    <text>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ext>
  </threadedComment>
  <threadedComment ref="M1112" dT="2023-05-12T14:46:26.14" personId="{8DA105B7-CDB5-4498-A806-46308E8B251A}" id="{E42BDED8-78ED-46DF-A748-F2E0CBFE5E4D}">
    <text>Assuming a PHA composition of HB:HV = 0.7:0.3</text>
  </threadedComment>
  <threadedComment ref="D1114" dT="2023-05-25T09:56:09.84" personId="{8DA105B7-CDB5-4498-A806-46308E8B251A}" id="{B0112861-BF19-4751-A628-24ED024FB577}">
    <text xml:space="preserve">This is the remaining concentration in the reactor after excess biomass has been harvested from the previous cycle. </text>
  </threadedComment>
  <threadedComment ref="D1116" dT="2023-05-25T09:59:17.86" personId="{8DA105B7-CDB5-4498-A806-46308E8B251A}" id="{5ABA0EED-777B-4831-A9E2-341C4B05F342}">
    <text>This active biomass concentration. It is calculated by taking the PHA content away from the VSS content. The PHA content is the content at the end of the famine phase when the excess biomass is harvested to maintain a VSS conc of 3 g/L once the SBR is filled with the VFA stream.</text>
  </threadedComment>
  <threadedComment ref="N1129" dT="2023-05-12T13:10:44.34" personId="{8DA105B7-CDB5-4498-A806-46308E8B251A}" id="{D6C81E09-1375-4BBF-BAF6-5483ED37B853}">
    <text>Assuming that separation is not perfect, therefore some of the VSS is lost. Assuming VSS is the PHA rich biomass</text>
  </threadedComment>
  <threadedComment ref="N1135" dT="2023-05-12T13:09:01.71" personId="{8DA105B7-CDB5-4498-A806-46308E8B251A}" id="{5006CE38-9023-4965-A409-952CBC486F71}">
    <text xml:space="preserve">Assuming 90% of VFA consumed in Accumulation. Also assuming that 100% of COD is VFA. These assumptions may change </text>
  </threadedComment>
  <threadedComment ref="D1191" dT="2023-05-31T11:13:51.92" personId="{8DA105B7-CDB5-4498-A806-46308E8B251A}" id="{82E9964C-1194-4DF7-84EB-CB1608F799E8}">
    <text>Gong to assume for anaerobic digestion only</text>
  </threadedComment>
  <threadedComment ref="R1305" dT="2023-05-16T15:35:00.34" personId="{8DA105B7-CDB5-4498-A806-46308E8B251A}" id="{22BD2295-B2AB-4545-A287-3627A45244BF}">
    <text>Found by multiplying the daily heat loss by the retention time.</text>
  </threadedComment>
  <threadedComment ref="S1305" dT="2023-05-16T14:03:47.55" personId="{8DA105B7-CDB5-4498-A806-46308E8B251A}" id="{56672307-2A54-46BA-BC56-F1681ECDC291}">
    <text>Working Volume times the density of sludge, which is assumed to be the density of water</text>
  </threadedComment>
  <threadedComment ref="U1305" dT="2023-05-16T13:59:50.02" personId="{8DA105B7-CDB5-4498-A806-46308E8B251A}" id="{9C29323E-201E-4C73-A669-F20F765CBEF5}">
    <text>Need to find average monthly sludge temp</text>
  </threadedComment>
  <threadedComment ref="W1305" dT="2023-05-16T15:29:01.53" personId="{8DA105B7-CDB5-4498-A806-46308E8B251A}" id="{55E61E12-901A-4872-A98B-23D4CBFB194F}">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T1306" dT="2023-05-16T13:40:24.80" personId="{8DA105B7-CDB5-4498-A806-46308E8B251A}" id="{15E3EF5B-9080-4130-B3FF-EBDC97E8DFD5}">
    <text>Assuming CP of water here as per Metcalf and Eddy</text>
  </threadedComment>
  <threadedComment ref="U1306" dT="2023-06-13T16:44:01.55" personId="{8DA105B7-CDB5-4498-A806-46308E8B251A}" id="{203A73FF-8F03-48E2-9EB2-11BBA8F43BC6}">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B1306" dT="2023-05-16T15:40:38.31" personId="{8DA105B7-CDB5-4498-A806-46308E8B251A}" id="{F380BC23-1842-498A-89DE-86D019AB040D}">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22" dT="2023-05-16T15:33:48.92" personId="{8DA105B7-CDB5-4498-A806-46308E8B251A}" id="{CD36E619-8485-4028-9994-87B94BD50843}">
    <text>This is the total heat loss from one reactor on a daily basis. Need to multiply by the number of days per batch to get the total</text>
  </threadedComment>
  <threadedComment ref="R1322" dT="2023-05-16T15:35:00.34" personId="{8DA105B7-CDB5-4498-A806-46308E8B251A}" id="{DFCD5440-2943-4A75-A75D-19EAF99C872A}">
    <text>Found by multiplying the daily heat loss by the retention time.</text>
  </threadedComment>
  <threadedComment ref="T1322" dT="2023-05-16T14:03:47.55" personId="{8DA105B7-CDB5-4498-A806-46308E8B251A}" id="{59B430FF-6559-441B-8A92-C6FFCF1301D3}">
    <text>Working Volume times the density of sludge, which is assumed to be the density of water</text>
  </threadedComment>
  <threadedComment ref="V1322" dT="2023-05-16T13:59:50.02" personId="{8DA105B7-CDB5-4498-A806-46308E8B251A}" id="{BC49F8E2-FE71-4128-97F2-BC47C0430712}">
    <text>Need to find average monthly sludge temp</text>
  </threadedComment>
  <threadedComment ref="X1322" dT="2023-05-16T15:29:01.53" personId="{8DA105B7-CDB5-4498-A806-46308E8B251A}" id="{1C2C4A67-DE3A-4226-9590-D7E908195425}">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323" dT="2023-05-16T13:40:24.80" personId="{8DA105B7-CDB5-4498-A806-46308E8B251A}" id="{EF7DF994-C56C-4F93-A2B0-9C79CD72E861}">
    <text>Assuming CP of water here as per Metcalf and Eddy</text>
  </threadedComment>
  <threadedComment ref="V1323" dT="2023-06-13T16:44:01.55" personId="{8DA105B7-CDB5-4498-A806-46308E8B251A}" id="{EBE1C32A-5DCD-4725-A801-0A32289B9C1F}">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323" dT="2023-05-16T15:40:38.31" personId="{8DA105B7-CDB5-4498-A806-46308E8B251A}" id="{ED0C60E7-7710-4CDE-9578-EF564FDF21BF}">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39" dT="2023-05-16T15:33:48.92" personId="{8DA105B7-CDB5-4498-A806-46308E8B251A}" id="{55E34852-CA4D-408D-AF06-459455434E47}">
    <text>This is the total heat loss from one reactor on a daily basis. Need to multiply by the number of days per batch to get the total</text>
  </threadedComment>
  <threadedComment ref="R1339" dT="2023-05-16T15:35:00.34" personId="{8DA105B7-CDB5-4498-A806-46308E8B251A}" id="{A210B40C-4D3A-4A29-A05C-29DF6A356090}">
    <text>Found by multiplying the daily heat loss by the retention time.</text>
  </threadedComment>
  <threadedComment ref="N1356" dT="2023-05-16T15:33:48.92" personId="{8DA105B7-CDB5-4498-A806-46308E8B251A}" id="{6549B7A6-FEDC-443E-873D-943F8629A08C}">
    <text>This is the total heat loss from one reactor on a daily basis. Need to multiply by the number of days per batch to get the total</text>
  </threadedComment>
  <threadedComment ref="R1356" dT="2023-05-16T15:35:00.34" personId="{8DA105B7-CDB5-4498-A806-46308E8B251A}" id="{F0C10BAA-EA93-4C7B-ADD6-2645CDA83606}">
    <text>Found by multiplying the daily heat loss by the retention time.</text>
  </threadedComment>
  <threadedComment ref="Q1372" dT="2023-05-16T14:03:47.55" personId="{8DA105B7-CDB5-4498-A806-46308E8B251A}" id="{59CC0641-85FF-4644-A04C-E27203300986}">
    <text>Working Volume times the density of sludge, which is assumed to be the density of water</text>
  </threadedComment>
  <threadedComment ref="R1372" dT="2023-06-20T20:08:59.29" personId="{8DA105B7-CDB5-4498-A806-46308E8B251A}" id="{D4EE80EF-43F0-4C23-9568-C6E61AE99C61}">
    <text>Cp value from here https://pubs.acs.org/doi/pdf/10.1021/je900307z</text>
    <extLst>
      <x:ext xmlns:xltc2="http://schemas.microsoft.com/office/spreadsheetml/2020/threadedcomments2" uri="{F7C98A9C-CBB3-438F-8F68-D28B6AF4A901}">
        <xltc2:checksum>694941874</xltc2:checksum>
        <xltc2:hyperlink startIndex="19" length="46" url="https://pubs.acs.org/doi/pdf/10.1021/je900307z"/>
      </x:ext>
    </extLst>
  </threadedComment>
  <threadedComment ref="S1372" dT="2023-05-16T13:59:50.02" personId="{8DA105B7-CDB5-4498-A806-46308E8B251A}" id="{04D2615F-1863-47AD-8EE7-0B677A274879}">
    <text>Need to find average monthly sludge temp</text>
  </threadedComment>
  <threadedComment ref="U1372" dT="2023-05-16T15:29:01.53" personId="{8DA105B7-CDB5-4498-A806-46308E8B251A}" id="{B1E523FF-8D9C-4D30-BE50-DCD1958A367C}">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R1373" dT="2023-05-16T13:40:24.80" personId="{8DA105B7-CDB5-4498-A806-46308E8B251A}" id="{A6865B53-35F5-4C76-A09A-C61D3C05B455}">
    <text>Assuming CP of water here as per Metcalf and Eddy</text>
  </threadedComment>
  <threadedComment ref="S1373" dT="2023-06-13T16:44:01.55" personId="{8DA105B7-CDB5-4498-A806-46308E8B251A}" id="{04ED4C81-FFED-412D-976F-5A425D53BE12}">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N1412" dT="2023-05-16T15:33:48.92" personId="{8DA105B7-CDB5-4498-A806-46308E8B251A}" id="{3F8AD2E9-20D6-4A5D-8D19-34D2C78C35F6}">
    <text>This is the total heat loss from one reactor on a daily basis. Need to multiply by the number of days per batch to get the total</text>
  </threadedComment>
  <threadedComment ref="R1412" dT="2023-05-16T15:35:00.34" personId="{8DA105B7-CDB5-4498-A806-46308E8B251A}" id="{BC5ACA60-4DE9-43A2-AD22-A65FEB8D8EB7}">
    <text>Found by multiplying the daily heat loss by the retention time.</text>
  </threadedComment>
  <threadedComment ref="T1412" dT="2023-05-16T14:03:47.55" personId="{8DA105B7-CDB5-4498-A806-46308E8B251A}" id="{18E14A23-0278-4F3B-ABCE-6D600EB9A8F4}">
    <text>Working Volume times the density of sludge, which is assumed to be the density of water</text>
  </threadedComment>
  <threadedComment ref="V1412" dT="2023-05-16T13:59:50.02" personId="{8DA105B7-CDB5-4498-A806-46308E8B251A}" id="{E49CA6E6-B61A-46A3-AA76-F09F45B67887}">
    <text>Need to find average monthly sludge temp</text>
  </threadedComment>
  <threadedComment ref="X1412" dT="2023-05-16T15:29:01.53" personId="{8DA105B7-CDB5-4498-A806-46308E8B251A}" id="{4FBD68C6-4D14-45F7-97A3-A621A9CBFB2E}">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413" dT="2023-05-16T13:40:24.80" personId="{8DA105B7-CDB5-4498-A806-46308E8B251A}" id="{B0C29DE3-E633-4D1D-89BB-E79AFED309A6}">
    <text>Assuming CP of water here as per Metcalf and Eddy</text>
  </threadedComment>
  <threadedComment ref="V1413" dT="2023-06-13T16:44:01.55" personId="{8DA105B7-CDB5-4498-A806-46308E8B251A}" id="{1FC9B093-70B6-403B-BD37-02A841C5A60A}">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413" dT="2023-05-16T15:40:38.31" personId="{8DA105B7-CDB5-4498-A806-46308E8B251A}" id="{C78D69DC-548C-4BE7-B03C-CD1CBCEC93A1}">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E1432" dT="2023-06-13T16:44:01.55" personId="{8DA105B7-CDB5-4498-A806-46308E8B251A}" id="{43ADE8B0-52FA-429A-97E6-3D93AA70548F}">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J1530" dT="2023-06-13T11:46:32.18" personId="{8DA105B7-CDB5-4498-A806-46308E8B251A}" id="{F0C7D4FC-5F6B-4696-AB33-0DE82250C788}">
    <text>Divided by 24 as half of the batch is required for the first 12 hour SBR cycle and the second half is required for the second cycle</text>
  </threadedComment>
  <threadedComment ref="O1582" dT="2023-06-06T13:18:29.78" personId="{8DA105B7-CDB5-4498-A806-46308E8B251A}" id="{51C93D87-B85D-4263-A842-C8894CBC9DBC}">
    <text xml:space="preserve">Non-renewable waste incineration may be considered here. </text>
  </threadedComment>
  <threadedComment ref="O1593" dT="2023-06-30T16:04:07.88" personId="{8DA105B7-CDB5-4498-A806-46308E8B251A}" id="{A03A6A81-2CC3-4EBE-9D32-AFAD86D23910}">
    <text>Interesting dilemma here.. Is the reused DMC considered a circular inflow. Do I consider the amount of DMC recovered as an inflow each day or is it a single inflow into the system that is reused within the system</text>
  </threadedComment>
  <threadedComment ref="O1604" dT="2023-06-02T17:10:31.77" personId="{8DA105B7-CDB5-4498-A806-46308E8B251A}" id="{1E86B5AD-C4A4-4899-BA7D-F97CE2552636}">
    <text>Need to consider the waste biomass from extraction, this may not be considered circular due to the presence of DMC</text>
  </threadedComment>
  <threadedComment ref="O1612" dT="2023-06-02T17:14:03.68" personId="{8DA105B7-CDB5-4498-A806-46308E8B251A}" id="{5F83E44A-E5FF-45B8-9716-07912C22F6A6}">
    <text>Need to determine if water sent back to the WWTP is considered circular as it requires further treatment after the PHA production process</text>
  </threadedComment>
</ThreadedComments>
</file>

<file path=xl/threadedComments/threadedComment2.xml><?xml version="1.0" encoding="utf-8"?>
<ThreadedComments xmlns="http://schemas.microsoft.com/office/spreadsheetml/2018/threadedcomments" xmlns:x="http://schemas.openxmlformats.org/spreadsheetml/2006/main">
  <threadedComment ref="D184" dT="2023-06-06T13:40:32.90" personId="{8DA105B7-CDB5-4498-A806-46308E8B251A}" id="{5FFE4FD3-70C9-435A-B547-AACF45E293ED}">
    <text>Required for storing the VFA rich stream prior to feeding the accumulation reactor. The vessel should have sufficient volume to store and mix the entire VFA steam along with the added nutrients</text>
  </threadedComment>
  <threadedComment ref="D392" dT="2023-06-23T09:13:46.97" personId="{8DA105B7-CDB5-4498-A806-46308E8B251A}" id="{F9CDD873-DC4A-4DF5-A322-77618178A962}">
    <text>Metcalf and eddy page 1455</text>
  </threadedComment>
  <threadedComment ref="D394" dT="2023-06-23T09:14:01.75" personId="{8DA105B7-CDB5-4498-A806-46308E8B251A}" id="{FB3B27E4-F4E4-47D9-9B8C-4EC58A909553}">
    <text xml:space="preserve">Metcalf and eddy page 1455
</text>
  </threadedComment>
  <threadedComment ref="D405" dT="2023-05-24T13:39:11.48" personId="{8DA105B7-CDB5-4498-A806-46308E8B251A}" id="{42E30A80-61E0-425F-BB5B-1C3F6349B8D5}">
    <text>Calculated by CODsol - CODsol initial/COD initial. Can be used to determine the fixed COD in the biomass</text>
  </threadedComment>
  <threadedComment ref="F405" dT="2023-05-24T13:37:33.10" personId="{8DA105B7-CDB5-4498-A806-46308E8B251A}" id="{6F3AFA58-9DAD-4FD6-8F59-4F7A0297DCD8}">
    <text>At 35 degrees</text>
  </threadedComment>
  <threadedComment ref="D423" dT="2023-06-15T11:03:25.63" personId="{8DA105B7-CDB5-4498-A806-46308E8B251A}" id="{2D5DB517-6D40-47D6-8CAA-A5788A691625}">
    <text xml:space="preserve">Average value taken from the values tested in the referenced study. </text>
  </threadedComment>
  <threadedComment ref="D425" dT="2023-06-15T11:03:25.63" personId="{8DA105B7-CDB5-4498-A806-46308E8B251A}" id="{9DD7B2A7-007C-4622-AAEF-B52C661AE9AB}">
    <text xml:space="preserve">Average value taken from the values tested in the referenced study. </text>
  </threadedComment>
  <threadedComment ref="D427" dT="2023-06-15T11:03:25.63" personId="{8DA105B7-CDB5-4498-A806-46308E8B251A}" id="{328CB849-76B3-42B2-B787-7311DC724394}">
    <text xml:space="preserve">Average value taken from the values tested in the referenced study. </text>
  </threadedComment>
  <threadedComment ref="D435" dT="2023-06-18T15:28:09.95" personId="{8DA105B7-CDB5-4498-A806-46308E8B251A}" id="{1E55549D-86AC-4DB3-A35B-9FC385DF22B9}">
    <text>Energy Requirement of 0.006kW/m3 converted to kWh for a 24 hour period for 5 batches running simultaniously</text>
  </threadedComment>
  <threadedComment ref="D439" dT="2023-05-16T15:37:05.53" personId="{8DA105B7-CDB5-4498-A806-46308E8B251A}" id="{DADF315C-AD47-4191-9663-5A2D1076F50B}">
    <text>Need to find typical heat exchanger capacity</text>
  </threadedComment>
  <threadedComment ref="D542" dT="2023-05-12T15:35:20.99" personId="{8DA105B7-CDB5-4498-A806-46308E8B251A}" id="{A5BA7A60-A7AD-4704-AB04-262854F24993}">
    <text>Need to determine is this on a dry weight basis</text>
  </threadedComment>
  <threadedComment ref="D716" dT="2023-06-02T14:39:59.90" personId="{8DA105B7-CDB5-4498-A806-46308E8B251A}" id="{47963628-A0ED-44FE-8805-46A31EEA934F}">
    <text>electrical efficiency 0.37 and LHV 22.73 MJ</text>
  </threadedComment>
  <threadedComment ref="D789" dT="2023-06-06T13:40:32.90" personId="{8DA105B7-CDB5-4498-A806-46308E8B251A}" id="{6AE7E893-9EAD-43FC-80FB-860C267F93E4}">
    <text>Required for storing the VFA rich stream prior to feeding the accumulation reactor. The vessel should have sufficient volume to store and mix the entire VFA steam along with the added nutrients</text>
  </threadedComment>
  <threadedComment ref="D792" dT="2023-06-20T13:12:23.25" personId="{8DA105B7-CDB5-4498-A806-46308E8B251A}" id="{3CAEAF2B-9FE4-4969-89C3-C84F98D28739}">
    <text>This is just used to deduct the Thermal Energy Demand of AD in the PHA only scenario. This is not included in the infrastructure</text>
  </threadedComment>
  <threadedComment ref="AM811" dT="2023-06-20T14:23:34.99" personId="{8DA105B7-CDB5-4498-A806-46308E8B251A}" id="{5D41D5E2-8D0C-4DE2-BA60-B454AF272BBC}">
    <text>Used to calculate the evaporation rate of DMC based on the ethanol evaporation rate given in the evaporator specs</text>
  </threadedComment>
  <threadedComment ref="E816" dT="2023-06-13T11:49:38.49" personId="{8DA105B7-CDB5-4498-A806-46308E8B251A}" id="{ED1F4B38-53E6-4089-BBC5-9731E3AEC6EF}">
    <text>Required capacity of the pump is the capacity of the centrifuge</text>
  </threadedComment>
  <threadedComment ref="E818" dT="2023-06-14T17:08:31.01" personId="{8DA105B7-CDB5-4498-A806-46308E8B251A}" id="{DAA2AFA6-83DA-49AF-87B3-8C9BA8302D87}">
    <text>Pumping rate based on a fill time that is 5% of the overall cycle of 12 hours as per https://www.sciencedirect.com/science/article/pii/S0960852415000668</text>
    <extLst>
      <x:ext xmlns:xltc2="http://schemas.microsoft.com/office/spreadsheetml/2020/threadedcomments2" uri="{F7C98A9C-CBB3-438F-8F68-D28B6AF4A901}">
        <xltc2:checksum>276901668</xltc2:checksum>
        <xltc2:hyperlink startIndex="85" length="67" url="https://www.sciencedirect.com/science/article/pii/S0960852415000668"/>
      </x:ext>
    </extLst>
  </threadedComment>
  <threadedComment ref="K830" dT="2023-06-16T14:15:54.91" personId="{8DA105B7-CDB5-4498-A806-46308E8B251A}" id="{0C511534-B561-4760-ACE9-FD825D7AC084}">
    <text>https://kdusling.github.io/teaching/Applied-Fluids/SteelPipeTable.html?sch=40&amp;mat=comSteel</text>
    <extLst>
      <x:ext xmlns:xltc2="http://schemas.microsoft.com/office/spreadsheetml/2020/threadedcomments2" uri="{F7C98A9C-CBB3-438F-8F68-D28B6AF4A901}">
        <xltc2:checksum>681650066</xltc2:checksum>
        <xltc2:hyperlink startIndex="0" length="90" url="https://kdusling.github.io/teaching/Applied-Fluids/SteelPipeTable.html?sch=40&amp;mat=comSteel"/>
      </x:ext>
    </extLst>
  </threadedComment>
  <threadedComment ref="S830" dT="2023-06-20T14:31:46.45" personId="{8DA105B7-CDB5-4498-A806-46308E8B251A}" id="{9B0E9710-0900-4449-96E3-0083F080CE11}">
    <text>GWP of the pipes, not the energy requirement for pumping</text>
  </threadedComment>
  <threadedComment ref="P831" dT="2023-06-16T14:26:55.96" personId="{8DA105B7-CDB5-4498-A806-46308E8B251A}" id="{C34B8553-B282-4A49-916C-403584B103BE}">
    <text xml:space="preserve">Pumping operational hours are actualy 24 hours when pump is on however to account for the 5 AF vessels the operational is divided by the number of tanks i.e 5
</text>
  </threadedComment>
  <threadedComment ref="E867" dT="2023-07-19T10:26:03.30" personId="{8DA105B7-CDB5-4498-A806-46308E8B251A}" id="{F98683B2-732E-447C-9287-F21795F6B501}">
    <text>Going for 3000 kN/m2 as the dominant rock type is limestone/shale. According to the following link, very marly limestones and shale range form 2000-4000 for moderately strong. Also the engineering toolbox says 2000-4000 for rock</text>
  </threadedComment>
  <threadedComment ref="E869" dT="2023-07-19T10:27:34.78" personId="{8DA105B7-CDB5-4498-A806-46308E8B251A}" id="{CDA10C58-B548-4680-BFFA-9B4B5565D788}">
    <text>Going for 45 as limestone is given as 45 and shale 30-45 in the engineering tool box</text>
  </threadedComment>
  <threadedComment ref="E871" dT="2023-07-19T10:29:58.44" personId="{8DA105B7-CDB5-4498-A806-46308E8B251A}" id="{FECBB2A2-F748-4F66-850C-6089656E33BF}">
    <text>Going for mid range value for density of limestone</text>
  </threadedComment>
  <threadedComment ref="H1010" dT="2023-06-02T10:44:27.67" personId="{8DA105B7-CDB5-4498-A806-46308E8B251A}" id="{68731846-430F-4BEB-A134-6255607F7147}">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K1012" dT="2023-06-02T10:44:27.67" personId="{8DA105B7-CDB5-4498-A806-46308E8B251A}" id="{F22D6616-26AD-4F3A-B65C-853AB07D8AC7}">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G1094" dT="2023-05-10T16:02:12.28" personId="{8DA105B7-CDB5-4498-A806-46308E8B251A}" id="{690DAEF7-FEF0-4BB6-A904-146B2F21CB4A}">
    <text>Need to figure this out. Could find the COD solubilisation rate and assume the remaining COD is contained in the sold mass</text>
  </threadedComment>
  <threadedComment ref="M1110" dT="2023-05-25T15:04:38.72" personId="{8DA105B7-CDB5-4498-A806-46308E8B251A}" id="{10CD0C62-7D13-4876-A055-971B0B9C84E0}">
    <text>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ext>
  </threadedComment>
  <threadedComment ref="M1111" dT="2023-05-25T08:30:16.33" personId="{8DA105B7-CDB5-4498-A806-46308E8B251A}" id="{8576E103-F247-4A1E-9D32-F17B73FA5AFA}">
    <text>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ext>
  </threadedComment>
  <threadedComment ref="M1112" dT="2023-05-12T14:46:26.14" personId="{8DA105B7-CDB5-4498-A806-46308E8B251A}" id="{5EAF6172-DC4D-4D72-A41D-D002B803A1D7}">
    <text>Assuming a PHA composition of HB:HV = 0.7:0.3</text>
  </threadedComment>
  <threadedComment ref="D1114" dT="2023-05-25T09:56:09.84" personId="{8DA105B7-CDB5-4498-A806-46308E8B251A}" id="{EC69F60C-E112-4AC3-9A91-AC0FA6E727EC}">
    <text xml:space="preserve">This is the remaining concentration in the reactor after excess biomass has been harvested from the previous cycle. </text>
  </threadedComment>
  <threadedComment ref="D1116" dT="2023-05-25T09:59:17.86" personId="{8DA105B7-CDB5-4498-A806-46308E8B251A}" id="{5599E742-523C-418F-8285-FCD93810218E}">
    <text>This active biomass concentration. It is calculated by taking the PHA content away from the VSS content. The PHA content is the content at the end of the famine phase when the excess biomass is harvested to maintain a VSS conc of 3 g/L once the SBR is filled with the VFA stream.</text>
  </threadedComment>
  <threadedComment ref="N1129" dT="2023-05-12T13:10:44.34" personId="{8DA105B7-CDB5-4498-A806-46308E8B251A}" id="{670E560F-AD26-40B2-B01E-0DE94C73B90F}">
    <text>Assuming that separation is not perfect, therefore some of the VSS is lost. Assuming VSS is the PHA rich biomass</text>
  </threadedComment>
  <threadedComment ref="N1135" dT="2023-05-12T13:09:01.71" personId="{8DA105B7-CDB5-4498-A806-46308E8B251A}" id="{FFB60EC0-ED96-4D53-8084-C68C9E8F4D89}">
    <text xml:space="preserve">Assuming 90% of VFA consumed in Accumulation. Also assuming that 100% of COD is VFA. These assumptions may change </text>
  </threadedComment>
  <threadedComment ref="D1191" dT="2023-05-31T11:13:51.92" personId="{8DA105B7-CDB5-4498-A806-46308E8B251A}" id="{3D4AB1EE-2784-412D-B7A7-22AFD6D572AB}">
    <text>Gong to assume for anaerobic digestion only</text>
  </threadedComment>
  <threadedComment ref="R1305" dT="2023-05-16T15:35:00.34" personId="{8DA105B7-CDB5-4498-A806-46308E8B251A}" id="{FCCB4865-87E0-4017-9256-C907AAF59661}">
    <text>Found by multiplying the daily heat loss by the retention time.</text>
  </threadedComment>
  <threadedComment ref="S1305" dT="2023-05-16T14:03:47.55" personId="{8DA105B7-CDB5-4498-A806-46308E8B251A}" id="{BCF8EDA4-AF30-41CA-9FD4-45B00A1FB7FF}">
    <text>Working Volume times the density of sludge, which is assumed to be the density of water</text>
  </threadedComment>
  <threadedComment ref="U1305" dT="2023-05-16T13:59:50.02" personId="{8DA105B7-CDB5-4498-A806-46308E8B251A}" id="{16D66B1A-72B4-44FC-A3BA-1FFF25E57948}">
    <text>Need to find average monthly sludge temp</text>
  </threadedComment>
  <threadedComment ref="W1305" dT="2023-05-16T15:29:01.53" personId="{8DA105B7-CDB5-4498-A806-46308E8B251A}" id="{34859D5F-255A-41DB-BF62-813CBEE44332}">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T1306" dT="2023-05-16T13:40:24.80" personId="{8DA105B7-CDB5-4498-A806-46308E8B251A}" id="{F770DF69-5AAB-4296-A3AD-27114DDF6D28}">
    <text>Assuming CP of water here as per Metcalf and Eddy</text>
  </threadedComment>
  <threadedComment ref="U1306" dT="2023-06-13T16:44:01.55" personId="{8DA105B7-CDB5-4498-A806-46308E8B251A}" id="{23069FE7-57A6-4164-AE75-98734F00793A}">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B1306" dT="2023-05-16T15:40:38.31" personId="{8DA105B7-CDB5-4498-A806-46308E8B251A}" id="{96133B97-0F6E-455D-9D0B-03715E497017}">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22" dT="2023-05-16T15:33:48.92" personId="{8DA105B7-CDB5-4498-A806-46308E8B251A}" id="{6A8C54E3-EB8F-4B3C-AC4D-EAB6F1FB3DA1}">
    <text>This is the total heat loss from one reactor on a daily basis. Need to multiply by the number of days per batch to get the total</text>
  </threadedComment>
  <threadedComment ref="R1322" dT="2023-05-16T15:35:00.34" personId="{8DA105B7-CDB5-4498-A806-46308E8B251A}" id="{4397C605-FBF8-47EC-8EF8-AB913D012CBC}">
    <text>Found by multiplying the daily heat loss by the retention time.</text>
  </threadedComment>
  <threadedComment ref="T1322" dT="2023-05-16T14:03:47.55" personId="{8DA105B7-CDB5-4498-A806-46308E8B251A}" id="{A4D21E84-AEDB-4F1D-B006-B0CCC650D38D}">
    <text>Working Volume times the density of sludge, which is assumed to be the density of water</text>
  </threadedComment>
  <threadedComment ref="V1322" dT="2023-05-16T13:59:50.02" personId="{8DA105B7-CDB5-4498-A806-46308E8B251A}" id="{ABCD8098-A660-4AC8-B21E-4D155605FD68}">
    <text>Need to find average monthly sludge temp</text>
  </threadedComment>
  <threadedComment ref="X1322" dT="2023-05-16T15:29:01.53" personId="{8DA105B7-CDB5-4498-A806-46308E8B251A}" id="{C8A6F94A-7FEB-4306-8355-B507D8261C96}">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323" dT="2023-05-16T13:40:24.80" personId="{8DA105B7-CDB5-4498-A806-46308E8B251A}" id="{5F51A568-28BA-4658-A017-650A03C2E739}">
    <text>Assuming CP of water here as per Metcalf and Eddy</text>
  </threadedComment>
  <threadedComment ref="V1323" dT="2023-06-13T16:44:01.55" personId="{8DA105B7-CDB5-4498-A806-46308E8B251A}" id="{28D66025-46ED-49C1-808F-945F84CFCDE7}">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323" dT="2023-05-16T15:40:38.31" personId="{8DA105B7-CDB5-4498-A806-46308E8B251A}" id="{43044775-B374-4BC2-9F21-3C9F7D3D8AD0}">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39" dT="2023-05-16T15:33:48.92" personId="{8DA105B7-CDB5-4498-A806-46308E8B251A}" id="{F2B88B99-2641-429D-966A-89B1AD8EA25F}">
    <text>This is the total heat loss from one reactor on a daily basis. Need to multiply by the number of days per batch to get the total</text>
  </threadedComment>
  <threadedComment ref="R1339" dT="2023-05-16T15:35:00.34" personId="{8DA105B7-CDB5-4498-A806-46308E8B251A}" id="{F66E27CF-8D1D-49D7-AE77-091D0C14504F}">
    <text>Found by multiplying the daily heat loss by the retention time.</text>
  </threadedComment>
  <threadedComment ref="N1356" dT="2023-05-16T15:33:48.92" personId="{8DA105B7-CDB5-4498-A806-46308E8B251A}" id="{35CDC41F-FB46-40D6-B7AF-4341508A2E8F}">
    <text>This is the total heat loss from one reactor on a daily basis. Need to multiply by the number of days per batch to get the total</text>
  </threadedComment>
  <threadedComment ref="R1356" dT="2023-05-16T15:35:00.34" personId="{8DA105B7-CDB5-4498-A806-46308E8B251A}" id="{6374E98B-198F-4229-8426-4B9A51595E95}">
    <text>Found by multiplying the daily heat loss by the retention time.</text>
  </threadedComment>
  <threadedComment ref="Q1372" dT="2023-05-16T14:03:47.55" personId="{8DA105B7-CDB5-4498-A806-46308E8B251A}" id="{E2FA2EE8-5F51-4D27-ACCF-157B227AFE74}">
    <text>Working Volume times the density of sludge, which is assumed to be the density of water</text>
  </threadedComment>
  <threadedComment ref="R1372" dT="2023-06-20T20:08:59.29" personId="{8DA105B7-CDB5-4498-A806-46308E8B251A}" id="{F3301768-4A7A-4F28-8904-8F9B6C5696B3}">
    <text>Cp value from here https://pubs.acs.org/doi/pdf/10.1021/je900307z</text>
    <extLst>
      <x:ext xmlns:xltc2="http://schemas.microsoft.com/office/spreadsheetml/2020/threadedcomments2" uri="{F7C98A9C-CBB3-438F-8F68-D28B6AF4A901}">
        <xltc2:checksum>694941874</xltc2:checksum>
        <xltc2:hyperlink startIndex="19" length="46" url="https://pubs.acs.org/doi/pdf/10.1021/je900307z"/>
      </x:ext>
    </extLst>
  </threadedComment>
  <threadedComment ref="S1372" dT="2023-05-16T13:59:50.02" personId="{8DA105B7-CDB5-4498-A806-46308E8B251A}" id="{2DC92397-D060-41C2-AE7D-F798F68D05E1}">
    <text>Need to find average monthly sludge temp</text>
  </threadedComment>
  <threadedComment ref="U1372" dT="2023-05-16T15:29:01.53" personId="{8DA105B7-CDB5-4498-A806-46308E8B251A}" id="{5C672E56-B1EA-4F82-8BF5-91B583B3C25B}">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R1373" dT="2023-05-16T13:40:24.80" personId="{8DA105B7-CDB5-4498-A806-46308E8B251A}" id="{1FCE7224-E45B-40C8-8C61-5A94261D162D}">
    <text>Assuming CP of water here as per Metcalf and Eddy</text>
  </threadedComment>
  <threadedComment ref="S1373" dT="2023-06-13T16:44:01.55" personId="{8DA105B7-CDB5-4498-A806-46308E8B251A}" id="{8F198AB5-567C-45EE-8756-6F263CC3D3FB}">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N1412" dT="2023-05-16T15:33:48.92" personId="{8DA105B7-CDB5-4498-A806-46308E8B251A}" id="{8B633EFE-A09A-4486-8308-201F6570CEE2}">
    <text>This is the total heat loss from one reactor on a daily basis. Need to multiply by the number of days per batch to get the total</text>
  </threadedComment>
  <threadedComment ref="R1412" dT="2023-05-16T15:35:00.34" personId="{8DA105B7-CDB5-4498-A806-46308E8B251A}" id="{3C8B7518-C4DB-4602-9797-CBC214A0A40C}">
    <text>Found by multiplying the daily heat loss by the retention time.</text>
  </threadedComment>
  <threadedComment ref="T1412" dT="2023-05-16T14:03:47.55" personId="{8DA105B7-CDB5-4498-A806-46308E8B251A}" id="{00CFFD32-2627-4276-8925-1B8802CD2F6C}">
    <text>Working Volume times the density of sludge, which is assumed to be the density of water</text>
  </threadedComment>
  <threadedComment ref="V1412" dT="2023-05-16T13:59:50.02" personId="{8DA105B7-CDB5-4498-A806-46308E8B251A}" id="{EC18544F-C8F5-4FCF-B16B-B8CB36F61ABA}">
    <text>Need to find average monthly sludge temp</text>
  </threadedComment>
  <threadedComment ref="X1412" dT="2023-05-16T15:29:01.53" personId="{8DA105B7-CDB5-4498-A806-46308E8B251A}" id="{111974CA-F05F-48C4-B224-7C8EDF85A191}">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413" dT="2023-05-16T13:40:24.80" personId="{8DA105B7-CDB5-4498-A806-46308E8B251A}" id="{8BEACE39-C2AC-4DE9-A9DB-19FAFE5EFF23}">
    <text>Assuming CP of water here as per Metcalf and Eddy</text>
  </threadedComment>
  <threadedComment ref="V1413" dT="2023-06-13T16:44:01.55" personId="{8DA105B7-CDB5-4498-A806-46308E8B251A}" id="{BE977665-D045-4C0A-8C14-E74EC07361CD}">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413" dT="2023-05-16T15:40:38.31" personId="{8DA105B7-CDB5-4498-A806-46308E8B251A}" id="{3CC9B4A0-28C9-4C82-B825-EAC2C4508631}">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E1432" dT="2023-06-13T16:44:01.55" personId="{8DA105B7-CDB5-4498-A806-46308E8B251A}" id="{4F37BF79-7987-41AD-A84C-8113CF162E22}">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J1530" dT="2023-06-13T11:46:32.18" personId="{8DA105B7-CDB5-4498-A806-46308E8B251A}" id="{D7AF67F0-9E9A-44B3-9AA8-E2AEE44BB0DD}">
    <text>Divided by 24 as half of the batch is required for the first 12 hour SBR cycle and the second half is required for the second cycle</text>
  </threadedComment>
  <threadedComment ref="O1582" dT="2023-06-06T13:18:29.78" personId="{8DA105B7-CDB5-4498-A806-46308E8B251A}" id="{ABDBE3B5-3A46-4DC1-AB6F-0AF2303B3FF9}">
    <text xml:space="preserve">Non-renewable waste incineration may be considered here. </text>
  </threadedComment>
  <threadedComment ref="O1593" dT="2023-06-30T16:04:07.88" personId="{8DA105B7-CDB5-4498-A806-46308E8B251A}" id="{CDEAA716-1BA8-4CC8-BE69-7AA1EF8F306C}">
    <text>Interesting dilemma here.. Is the reused DMC considered a circular inflow. Do I consider the amount of DMC recovered as an inflow each day or is it a single inflow into the system that is reused within the system</text>
  </threadedComment>
  <threadedComment ref="O1604" dT="2023-06-02T17:10:31.77" personId="{8DA105B7-CDB5-4498-A806-46308E8B251A}" id="{63877256-A0EA-4E9D-AFC8-4786C7936A3A}">
    <text>Need to consider the waste biomass from extraction, this may not be considered circular due to the presence of DMC</text>
  </threadedComment>
  <threadedComment ref="O1612" dT="2023-06-02T17:14:03.68" personId="{8DA105B7-CDB5-4498-A806-46308E8B251A}" id="{CEE00D0F-CCE2-40B1-BCFE-9D5C871D965A}">
    <text>Need to determine if water sent back to the WWTP is considered circular as it requires further treatment after the PHA production process</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sciencedirect.com/science/article/pii/S0960852415000668" TargetMode="External"/><Relationship Id="rId18" Type="http://schemas.openxmlformats.org/officeDocument/2006/relationships/hyperlink" Target="https://www.sciencedirect.com/science/article/pii/S0043135408002571?casa_token=EQHAODb5ypgAAAAA:3VX4kcsKW6KaZZYe4-R7bXrR0MsKdYq_J1dBghnzSsi9CHi31yM2eFeAMIVbfn1Zs1qmowLDdQ" TargetMode="External"/><Relationship Id="rId26" Type="http://schemas.openxmlformats.org/officeDocument/2006/relationships/hyperlink" Target="https://www.zkcentrifuge.com/application/sludge-treatment.html?gclid=CjwKCAjwp6CkBhB_EiwAlQVyxR9rMwfgbIp7_E3FqjmzNrq-hBCCiAwswfM57syooSGUAvnWuzPWPBoCI4cQAvD_BwE" TargetMode="External"/><Relationship Id="rId39" Type="http://schemas.openxmlformats.org/officeDocument/2006/relationships/hyperlink" Target="https://www.seai.ie/data-and-insights/seai-statistics/key-statistics/prices/" TargetMode="External"/><Relationship Id="rId21" Type="http://schemas.openxmlformats.org/officeDocument/2006/relationships/hyperlink" Target="https://www.sciencedirect.com/science/article/pii/S0043135408002571?casa_token=EQHAODb5ypgAAAAA:3VX4kcsKW6KaZZYe4-R7bXrR0MsKdYq_J1dBghnzSsi9CHi31yM2eFeAMIVbfn1Zs1qmowLDdQ" TargetMode="External"/><Relationship Id="rId34" Type="http://schemas.openxmlformats.org/officeDocument/2006/relationships/hyperlink" Target="https://pumpexpress.co.uk/shop/f-range-din-standard-flanged-high-flow-pumps-50-125/" TargetMode="External"/><Relationship Id="rId42" Type="http://schemas.openxmlformats.org/officeDocument/2006/relationships/hyperlink" Target="https://v391.ecoquery.ecoinvent.org/Details/LCIA/737554fd-39a8-40d2-8192-12740dc28384/290c1f85-4cc4-4fa1-b0c8-2cb7f4276dce" TargetMode="External"/><Relationship Id="rId47" Type="http://schemas.openxmlformats.org/officeDocument/2006/relationships/drawing" Target="../drawings/drawing1.xml"/><Relationship Id="rId50" Type="http://schemas.microsoft.com/office/2017/10/relationships/threadedComment" Target="../threadedComments/threadedComment1.xml"/><Relationship Id="rId7" Type="http://schemas.openxmlformats.org/officeDocument/2006/relationships/hyperlink" Target="https://pubs.acs.org/doi/10.1021/acs.iecr.9b01831" TargetMode="External"/><Relationship Id="rId2" Type="http://schemas.openxmlformats.org/officeDocument/2006/relationships/hyperlink" Target="https://www.ncbi.nlm.nih.gov/pmc/articles/PMC91240/" TargetMode="External"/><Relationship Id="rId16" Type="http://schemas.openxmlformats.org/officeDocument/2006/relationships/hyperlink" Target="https://www.sciencedirect.com/science/article/pii/S0360319920314312" TargetMode="External"/><Relationship Id="rId29" Type="http://schemas.openxmlformats.org/officeDocument/2006/relationships/hyperlink" Target="https://pumpexpress.co.uk/shop/cp160-centrifugal-pumps-medium-flow/" TargetMode="External"/><Relationship Id="rId11" Type="http://schemas.openxmlformats.org/officeDocument/2006/relationships/hyperlink" Target="https://www.sciencedirect.com/science/article/pii/S0960852415000668" TargetMode="External"/><Relationship Id="rId24" Type="http://schemas.openxmlformats.org/officeDocument/2006/relationships/hyperlink" Target="https://www.bedu.eu/products/Centrifugal+Pumps/CSK+pump+series" TargetMode="External"/><Relationship Id="rId32" Type="http://schemas.openxmlformats.org/officeDocument/2006/relationships/hyperlink" Target="https://pumpexpress.co.uk/shop/hf-centrifugal-pump-high-flow/" TargetMode="External"/><Relationship Id="rId37" Type="http://schemas.openxmlformats.org/officeDocument/2006/relationships/hyperlink" Target="https://globalsolaratlas.info/map?c=52.183346,-7.119141,6&amp;s=52.364301,-6.789551&amp;m=site" TargetMode="External"/><Relationship Id="rId40" Type="http://schemas.openxmlformats.org/officeDocument/2006/relationships/hyperlink" Target="https://www.sciencedirect.com/science/article/pii/S0956053X21003780" TargetMode="External"/><Relationship Id="rId45" Type="http://schemas.openxmlformats.org/officeDocument/2006/relationships/hyperlink" Target="https://www.sciencedirect.com/science/article/abs/pii/S0956053X21003780" TargetMode="External"/><Relationship Id="rId5" Type="http://schemas.openxmlformats.org/officeDocument/2006/relationships/hyperlink" Target="https://www.sciencedirect.com/science/article/pii/S0043135408002571?casa_token=EQHAODb5ypgAAAAA:3VX4kcsKW6KaZZYe4-R7bXrR0MsKdYq_J1dBghnzSsi9CHi31yM2eFeAMIVbfn1Zs1qmowLDdQ" TargetMode="External"/><Relationship Id="rId15" Type="http://schemas.openxmlformats.org/officeDocument/2006/relationships/hyperlink" Target="https://pubs.acs.org/doi/pdf/10.1021/acs.iecr.9b01831?src=getftr" TargetMode="External"/><Relationship Id="rId23" Type="http://schemas.openxmlformats.org/officeDocument/2006/relationships/hyperlink" Target="https://pumpexpress.co.uk/shop/cp160-centrifugal-pumps-medium-flow/" TargetMode="External"/><Relationship Id="rId28" Type="http://schemas.openxmlformats.org/officeDocument/2006/relationships/hyperlink" Target="https://pumpexpress.co.uk/product-category/pump-types/high-flow-pumps/" TargetMode="External"/><Relationship Id="rId36" Type="http://schemas.openxmlformats.org/officeDocument/2006/relationships/hyperlink" Target="https://photovoltaic-software.com/principle-ressources/how-calculate-solar-energy-power-pv-systems" TargetMode="External"/><Relationship Id="rId49" Type="http://schemas.openxmlformats.org/officeDocument/2006/relationships/comments" Target="../comments1.xml"/><Relationship Id="rId10" Type="http://schemas.openxmlformats.org/officeDocument/2006/relationships/hyperlink" Target="https://www.sciencedirect.com/science/article/pii/S0959652616311337?via%3Dihub" TargetMode="External"/><Relationship Id="rId19" Type="http://schemas.openxmlformats.org/officeDocument/2006/relationships/hyperlink" Target="https://www.sciencedirect.com/science/article/pii/S0043135408002571?casa_token=EQHAODb5ypgAAAAA:3VX4kcsKW6KaZZYe4-R7bXrR0MsKdYq_J1dBghnzSsi9CHi31yM2eFeAMIVbfn1Zs1qmowLDdQ" TargetMode="External"/><Relationship Id="rId31" Type="http://schemas.openxmlformats.org/officeDocument/2006/relationships/hyperlink" Target="https://pumpexpress.co.uk/shop/hf-centrifugal-pump-high-flow/" TargetMode="External"/><Relationship Id="rId44" Type="http://schemas.openxmlformats.org/officeDocument/2006/relationships/hyperlink" Target="https://v391.ecoquery.ecoinvent.org/Details/LCIA/a7c301fe-ed77-4e34-95d9-b2ab6aa8fba5/290c1f85-4cc4-4fa1-b0c8-2cb7f4276dce" TargetMode="External"/><Relationship Id="rId4" Type="http://schemas.openxmlformats.org/officeDocument/2006/relationships/hyperlink" Target="https://www.wrc.org.za/wp-content/uploads/mdocs/WaterSA_1998_04_oct98_p337.pdf" TargetMode="External"/><Relationship Id="rId9" Type="http://schemas.openxmlformats.org/officeDocument/2006/relationships/hyperlink" Target="https://papers.ssrn.com/sol3/papers.cfm?abstract_id=3513334" TargetMode="External"/><Relationship Id="rId14" Type="http://schemas.openxmlformats.org/officeDocument/2006/relationships/hyperlink" Target="https://www.sciencedirect.com/science/article/pii/S0043135408002571?casa_token=EQHAODb5ypgAAAAA:3VX4kcsKW6KaZZYe4-R7bXrR0MsKdYq_J1dBghnzSsi9CHi31yM2eFeAMIVbfn1Zs1qmowLDdQ" TargetMode="External"/><Relationship Id="rId22" Type="http://schemas.openxmlformats.org/officeDocument/2006/relationships/hyperlink" Target="https://www.zkcentrifuge.com/application/sludge-treatment.html?gclid=CjwKCAjwp6CkBhB_EiwAlQVyxR9rMwfgbIp7_E3FqjmzNrq-hBCCiAwswfM57syooSGUAvnWuzPWPBoCI4cQAvD_BwE" TargetMode="External"/><Relationship Id="rId27" Type="http://schemas.openxmlformats.org/officeDocument/2006/relationships/hyperlink" Target="https://pumpexpress.co.uk/shop/cp160-centrifugal-pumps-medium-flow/" TargetMode="External"/><Relationship Id="rId30" Type="http://schemas.openxmlformats.org/officeDocument/2006/relationships/hyperlink" Target="https://pumpexpress.co.uk/shop/hf-centrifugal-pump-high-flow/" TargetMode="External"/><Relationship Id="rId35" Type="http://schemas.openxmlformats.org/officeDocument/2006/relationships/hyperlink" Target="https://www.alibaba.com/product-detail/Industrial-Evaporator-Vacuum-with-solvent-recycling_1600868433542.html?spm=a2700.galleryofferlist.normal_offer.d_title.111f2d616X3JzO" TargetMode="External"/><Relationship Id="rId43" Type="http://schemas.openxmlformats.org/officeDocument/2006/relationships/hyperlink" Target="https://v391.ecoquery.ecoinvent.org/Details/LCIA/18b90db8-6229-4f54-abc9-62417f3b0746/290c1f85-4cc4-4fa1-b0c8-2cb7f4276dce" TargetMode="External"/><Relationship Id="rId48" Type="http://schemas.openxmlformats.org/officeDocument/2006/relationships/vmlDrawing" Target="../drawings/vmlDrawing1.vml"/><Relationship Id="rId8" Type="http://schemas.openxmlformats.org/officeDocument/2006/relationships/hyperlink" Target="https://www.sciencedirect.com/science/article/pii/S1871678421000844" TargetMode="External"/><Relationship Id="rId3" Type="http://schemas.openxmlformats.org/officeDocument/2006/relationships/hyperlink" Target="https://www.sciencedirect.com/science/article/pii/S0960852416305612" TargetMode="External"/><Relationship Id="rId12" Type="http://schemas.openxmlformats.org/officeDocument/2006/relationships/hyperlink" Target="https://pubs.acs.org/doi/10.1021/acs.iecr.9b01831" TargetMode="External"/><Relationship Id="rId17" Type="http://schemas.openxmlformats.org/officeDocument/2006/relationships/hyperlink" Target="https://www.sciencedirect.com/science/article/pii/S0016236121005305" TargetMode="External"/><Relationship Id="rId25" Type="http://schemas.openxmlformats.org/officeDocument/2006/relationships/hyperlink" Target="https://www.zkcentrifuge.com/application/sludge-treatment.html?gclid=CjwKCAjwp6CkBhB_EiwAlQVyxR9rMwfgbIp7_E3FqjmzNrq-hBCCiAwswfM57syooSGUAvnWuzPWPBoCI4cQAvD_BwE" TargetMode="External"/><Relationship Id="rId33" Type="http://schemas.openxmlformats.org/officeDocument/2006/relationships/hyperlink" Target="https://pumpexpress.co.uk/shop/hf-centrifugal-pump-high-flow/" TargetMode="External"/><Relationship Id="rId38" Type="http://schemas.openxmlformats.org/officeDocument/2006/relationships/hyperlink" Target="https://www.alibaba.com/product-detail/Cstr-Reactor-Biogas-Anaerobic-Digester-Fermenter_1600263010759.html?spm=a2700.galleryofferlist.normal_offer.d_title.22301a8dSdMKRv" TargetMode="External"/><Relationship Id="rId46" Type="http://schemas.openxmlformats.org/officeDocument/2006/relationships/hyperlink" Target="https://ec.europa.eu/research/participants/documents/downloadPublic?documentIds=080166e5a25bfb10&amp;appId=PPGMS" TargetMode="External"/><Relationship Id="rId20" Type="http://schemas.openxmlformats.org/officeDocument/2006/relationships/hyperlink" Target="https://www.sciencedirect.com/science/article/pii/S0043135408002571?casa_token=EQHAODb5ypgAAAAA:3VX4kcsKW6KaZZYe4-R7bXrR0MsKdYq_J1dBghnzSsi9CHi31yM2eFeAMIVbfn1Zs1qmowLDdQ" TargetMode="External"/><Relationship Id="rId41" Type="http://schemas.openxmlformats.org/officeDocument/2006/relationships/hyperlink" Target="https://v391.ecoquery.ecoinvent.org/Details/LCIA/4e12ceca-50d2-4eb3-bfff-be2ce671b0eb/290c1f85-4cc4-4fa1-b0c8-2cb7f4276dce" TargetMode="External"/><Relationship Id="rId1" Type="http://schemas.openxmlformats.org/officeDocument/2006/relationships/hyperlink" Target="https://www.sciencedirect.com/science/article/pii/S0960852415000668" TargetMode="External"/><Relationship Id="rId6" Type="http://schemas.openxmlformats.org/officeDocument/2006/relationships/hyperlink" Target="https://pubs.acs.org/doi/10.1021/acs.iecr.9b01831"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www.sciencedirect.com/science/article/pii/S0960852415000668" TargetMode="External"/><Relationship Id="rId18" Type="http://schemas.openxmlformats.org/officeDocument/2006/relationships/hyperlink" Target="https://www.sciencedirect.com/science/article/pii/S0043135408002571?casa_token=EQHAODb5ypgAAAAA:3VX4kcsKW6KaZZYe4-R7bXrR0MsKdYq_J1dBghnzSsi9CHi31yM2eFeAMIVbfn1Zs1qmowLDdQ" TargetMode="External"/><Relationship Id="rId26" Type="http://schemas.openxmlformats.org/officeDocument/2006/relationships/hyperlink" Target="https://www.zkcentrifuge.com/application/sludge-treatment.html?gclid=CjwKCAjwp6CkBhB_EiwAlQVyxR9rMwfgbIp7_E3FqjmzNrq-hBCCiAwswfM57syooSGUAvnWuzPWPBoCI4cQAvD_BwE" TargetMode="External"/><Relationship Id="rId39" Type="http://schemas.openxmlformats.org/officeDocument/2006/relationships/hyperlink" Target="https://www.seai.ie/data-and-insights/seai-statistics/key-statistics/prices/" TargetMode="External"/><Relationship Id="rId21" Type="http://schemas.openxmlformats.org/officeDocument/2006/relationships/hyperlink" Target="https://www.sciencedirect.com/science/article/pii/S0043135408002571?casa_token=EQHAODb5ypgAAAAA:3VX4kcsKW6KaZZYe4-R7bXrR0MsKdYq_J1dBghnzSsi9CHi31yM2eFeAMIVbfn1Zs1qmowLDdQ" TargetMode="External"/><Relationship Id="rId34" Type="http://schemas.openxmlformats.org/officeDocument/2006/relationships/hyperlink" Target="https://pumpexpress.co.uk/shop/f-range-din-standard-flanged-high-flow-pumps-50-125/" TargetMode="External"/><Relationship Id="rId42" Type="http://schemas.openxmlformats.org/officeDocument/2006/relationships/hyperlink" Target="https://v391.ecoquery.ecoinvent.org/Details/LCIA/737554fd-39a8-40d2-8192-12740dc28384/290c1f85-4cc4-4fa1-b0c8-2cb7f4276dce" TargetMode="External"/><Relationship Id="rId47" Type="http://schemas.openxmlformats.org/officeDocument/2006/relationships/printerSettings" Target="../printerSettings/printerSettings1.bin"/><Relationship Id="rId50" Type="http://schemas.microsoft.com/office/2017/10/relationships/threadedComment" Target="../threadedComments/threadedComment2.xml"/><Relationship Id="rId7" Type="http://schemas.openxmlformats.org/officeDocument/2006/relationships/hyperlink" Target="https://pubs.acs.org/doi/10.1021/acs.iecr.9b01831" TargetMode="External"/><Relationship Id="rId2" Type="http://schemas.openxmlformats.org/officeDocument/2006/relationships/hyperlink" Target="https://www.ncbi.nlm.nih.gov/pmc/articles/PMC91240/" TargetMode="External"/><Relationship Id="rId16" Type="http://schemas.openxmlformats.org/officeDocument/2006/relationships/hyperlink" Target="https://www.sciencedirect.com/science/article/pii/S0360319920314312" TargetMode="External"/><Relationship Id="rId29" Type="http://schemas.openxmlformats.org/officeDocument/2006/relationships/hyperlink" Target="https://pumpexpress.co.uk/shop/cp160-centrifugal-pumps-medium-flow/" TargetMode="External"/><Relationship Id="rId11" Type="http://schemas.openxmlformats.org/officeDocument/2006/relationships/hyperlink" Target="https://www.sciencedirect.com/science/article/pii/S0960852415000668" TargetMode="External"/><Relationship Id="rId24" Type="http://schemas.openxmlformats.org/officeDocument/2006/relationships/hyperlink" Target="https://www.bedu.eu/products/Centrifugal+Pumps/CSK+pump+series" TargetMode="External"/><Relationship Id="rId32" Type="http://schemas.openxmlformats.org/officeDocument/2006/relationships/hyperlink" Target="https://pumpexpress.co.uk/shop/hf-centrifugal-pump-high-flow/" TargetMode="External"/><Relationship Id="rId37" Type="http://schemas.openxmlformats.org/officeDocument/2006/relationships/hyperlink" Target="https://globalsolaratlas.info/map?c=52.183346,-7.119141,6&amp;s=52.364301,-6.789551&amp;m=site" TargetMode="External"/><Relationship Id="rId40" Type="http://schemas.openxmlformats.org/officeDocument/2006/relationships/hyperlink" Target="https://www.sciencedirect.com/science/article/pii/S0956053X21003780" TargetMode="External"/><Relationship Id="rId45" Type="http://schemas.openxmlformats.org/officeDocument/2006/relationships/hyperlink" Target="https://www.sciencedirect.com/science/article/abs/pii/S0956053X21003780" TargetMode="External"/><Relationship Id="rId5" Type="http://schemas.openxmlformats.org/officeDocument/2006/relationships/hyperlink" Target="https://www.sciencedirect.com/science/article/pii/S0043135408002571?casa_token=EQHAODb5ypgAAAAA:3VX4kcsKW6KaZZYe4-R7bXrR0MsKdYq_J1dBghnzSsi9CHi31yM2eFeAMIVbfn1Zs1qmowLDdQ" TargetMode="External"/><Relationship Id="rId15" Type="http://schemas.openxmlformats.org/officeDocument/2006/relationships/hyperlink" Target="https://pubs.acs.org/doi/pdf/10.1021/acs.iecr.9b01831?src=getftr" TargetMode="External"/><Relationship Id="rId23" Type="http://schemas.openxmlformats.org/officeDocument/2006/relationships/hyperlink" Target="https://pumpexpress.co.uk/shop/cp160-centrifugal-pumps-medium-flow/" TargetMode="External"/><Relationship Id="rId28" Type="http://schemas.openxmlformats.org/officeDocument/2006/relationships/hyperlink" Target="https://pumpexpress.co.uk/product-category/pump-types/high-flow-pumps/" TargetMode="External"/><Relationship Id="rId36" Type="http://schemas.openxmlformats.org/officeDocument/2006/relationships/hyperlink" Target="https://photovoltaic-software.com/principle-ressources/how-calculate-solar-energy-power-pv-systems" TargetMode="External"/><Relationship Id="rId49" Type="http://schemas.openxmlformats.org/officeDocument/2006/relationships/comments" Target="../comments2.xml"/><Relationship Id="rId10" Type="http://schemas.openxmlformats.org/officeDocument/2006/relationships/hyperlink" Target="https://www.sciencedirect.com/science/article/pii/S0959652616311337?via%3Dihub" TargetMode="External"/><Relationship Id="rId19" Type="http://schemas.openxmlformats.org/officeDocument/2006/relationships/hyperlink" Target="https://www.sciencedirect.com/science/article/pii/S0043135408002571?casa_token=EQHAODb5ypgAAAAA:3VX4kcsKW6KaZZYe4-R7bXrR0MsKdYq_J1dBghnzSsi9CHi31yM2eFeAMIVbfn1Zs1qmowLDdQ" TargetMode="External"/><Relationship Id="rId31" Type="http://schemas.openxmlformats.org/officeDocument/2006/relationships/hyperlink" Target="https://pumpexpress.co.uk/shop/hf-centrifugal-pump-high-flow/" TargetMode="External"/><Relationship Id="rId44" Type="http://schemas.openxmlformats.org/officeDocument/2006/relationships/hyperlink" Target="https://v391.ecoquery.ecoinvent.org/Details/LCIA/a7c301fe-ed77-4e34-95d9-b2ab6aa8fba5/290c1f85-4cc4-4fa1-b0c8-2cb7f4276dce" TargetMode="External"/><Relationship Id="rId4" Type="http://schemas.openxmlformats.org/officeDocument/2006/relationships/hyperlink" Target="https://www.wrc.org.za/wp-content/uploads/mdocs/WaterSA_1998_04_oct98_p337.pdf" TargetMode="External"/><Relationship Id="rId9" Type="http://schemas.openxmlformats.org/officeDocument/2006/relationships/hyperlink" Target="https://papers.ssrn.com/sol3/papers.cfm?abstract_id=3513334" TargetMode="External"/><Relationship Id="rId14" Type="http://schemas.openxmlformats.org/officeDocument/2006/relationships/hyperlink" Target="https://www.sciencedirect.com/science/article/pii/S0043135408002571?casa_token=EQHAODb5ypgAAAAA:3VX4kcsKW6KaZZYe4-R7bXrR0MsKdYq_J1dBghnzSsi9CHi31yM2eFeAMIVbfn1Zs1qmowLDdQ" TargetMode="External"/><Relationship Id="rId22" Type="http://schemas.openxmlformats.org/officeDocument/2006/relationships/hyperlink" Target="https://www.zkcentrifuge.com/application/sludge-treatment.html?gclid=CjwKCAjwp6CkBhB_EiwAlQVyxR9rMwfgbIp7_E3FqjmzNrq-hBCCiAwswfM57syooSGUAvnWuzPWPBoCI4cQAvD_BwE" TargetMode="External"/><Relationship Id="rId27" Type="http://schemas.openxmlformats.org/officeDocument/2006/relationships/hyperlink" Target="https://pumpexpress.co.uk/shop/cp160-centrifugal-pumps-medium-flow/" TargetMode="External"/><Relationship Id="rId30" Type="http://schemas.openxmlformats.org/officeDocument/2006/relationships/hyperlink" Target="https://pumpexpress.co.uk/shop/hf-centrifugal-pump-high-flow/" TargetMode="External"/><Relationship Id="rId35" Type="http://schemas.openxmlformats.org/officeDocument/2006/relationships/hyperlink" Target="https://www.alibaba.com/product-detail/Industrial-Evaporator-Vacuum-with-solvent-recycling_1600868433542.html?spm=a2700.galleryofferlist.normal_offer.d_title.111f2d616X3JzO" TargetMode="External"/><Relationship Id="rId43" Type="http://schemas.openxmlformats.org/officeDocument/2006/relationships/hyperlink" Target="https://v391.ecoquery.ecoinvent.org/Details/LCIA/18b90db8-6229-4f54-abc9-62417f3b0746/290c1f85-4cc4-4fa1-b0c8-2cb7f4276dce" TargetMode="External"/><Relationship Id="rId48" Type="http://schemas.openxmlformats.org/officeDocument/2006/relationships/vmlDrawing" Target="../drawings/vmlDrawing2.vml"/><Relationship Id="rId8" Type="http://schemas.openxmlformats.org/officeDocument/2006/relationships/hyperlink" Target="https://www.sciencedirect.com/science/article/pii/S1871678421000844" TargetMode="External"/><Relationship Id="rId3" Type="http://schemas.openxmlformats.org/officeDocument/2006/relationships/hyperlink" Target="https://www.sciencedirect.com/science/article/pii/S0960852416305612" TargetMode="External"/><Relationship Id="rId12" Type="http://schemas.openxmlformats.org/officeDocument/2006/relationships/hyperlink" Target="https://pubs.acs.org/doi/10.1021/acs.iecr.9b01831" TargetMode="External"/><Relationship Id="rId17" Type="http://schemas.openxmlformats.org/officeDocument/2006/relationships/hyperlink" Target="https://www.sciencedirect.com/science/article/pii/S0016236121005305" TargetMode="External"/><Relationship Id="rId25" Type="http://schemas.openxmlformats.org/officeDocument/2006/relationships/hyperlink" Target="https://www.zkcentrifuge.com/application/sludge-treatment.html?gclid=CjwKCAjwp6CkBhB_EiwAlQVyxR9rMwfgbIp7_E3FqjmzNrq-hBCCiAwswfM57syooSGUAvnWuzPWPBoCI4cQAvD_BwE" TargetMode="External"/><Relationship Id="rId33" Type="http://schemas.openxmlformats.org/officeDocument/2006/relationships/hyperlink" Target="https://pumpexpress.co.uk/shop/hf-centrifugal-pump-high-flow/" TargetMode="External"/><Relationship Id="rId38" Type="http://schemas.openxmlformats.org/officeDocument/2006/relationships/hyperlink" Target="https://www.alibaba.com/product-detail/Cstr-Reactor-Biogas-Anaerobic-Digester-Fermenter_1600263010759.html?spm=a2700.galleryofferlist.normal_offer.d_title.22301a8dSdMKRv" TargetMode="External"/><Relationship Id="rId46" Type="http://schemas.openxmlformats.org/officeDocument/2006/relationships/hyperlink" Target="https://ec.europa.eu/research/participants/documents/downloadPublic?documentIds=080166e5a25bfb10&amp;appId=PPGMS" TargetMode="External"/><Relationship Id="rId20" Type="http://schemas.openxmlformats.org/officeDocument/2006/relationships/hyperlink" Target="https://www.sciencedirect.com/science/article/pii/S0043135408002571?casa_token=EQHAODb5ypgAAAAA:3VX4kcsKW6KaZZYe4-R7bXrR0MsKdYq_J1dBghnzSsi9CHi31yM2eFeAMIVbfn1Zs1qmowLDdQ" TargetMode="External"/><Relationship Id="rId41" Type="http://schemas.openxmlformats.org/officeDocument/2006/relationships/hyperlink" Target="https://v391.ecoquery.ecoinvent.org/Details/LCIA/4e12ceca-50d2-4eb3-bfff-be2ce671b0eb/290c1f85-4cc4-4fa1-b0c8-2cb7f4276dce" TargetMode="External"/><Relationship Id="rId1" Type="http://schemas.openxmlformats.org/officeDocument/2006/relationships/hyperlink" Target="https://www.sciencedirect.com/science/article/pii/S0960852415000668" TargetMode="External"/><Relationship Id="rId6" Type="http://schemas.openxmlformats.org/officeDocument/2006/relationships/hyperlink" Target="https://pubs.acs.org/doi/10.1021/acs.iecr.9b0183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277C-03B5-4F8F-B7A7-877828847833}">
  <sheetPr codeName="Sheet7"/>
  <dimension ref="B1:EA1958"/>
  <sheetViews>
    <sheetView workbookViewId="0">
      <selection activeCell="G9" sqref="G9"/>
    </sheetView>
  </sheetViews>
  <sheetFormatPr defaultColWidth="9.1796875" defaultRowHeight="14.5"/>
  <cols>
    <col min="1" max="1" width="9.1796875" style="5"/>
    <col min="2" max="2" width="2.6328125" style="5" customWidth="1"/>
    <col min="3" max="3" width="16" style="5" customWidth="1"/>
    <col min="4" max="4" width="60" style="5" customWidth="1"/>
    <col min="5" max="5" width="37.81640625" style="5" customWidth="1"/>
    <col min="6" max="6" width="43.453125" style="5" customWidth="1"/>
    <col min="7" max="7" width="35.26953125" style="5" customWidth="1"/>
    <col min="8" max="8" width="20.7265625" style="5" bestFit="1" customWidth="1"/>
    <col min="9" max="9" width="27.453125" style="5" customWidth="1"/>
    <col min="10" max="10" width="33.54296875" style="5" customWidth="1"/>
    <col min="11" max="11" width="16.08984375" style="5" customWidth="1"/>
    <col min="12" max="12" width="2.6328125" style="5" customWidth="1"/>
    <col min="13" max="13" width="35.7265625" style="5" customWidth="1"/>
    <col min="14" max="14" width="25.453125" style="5" bestFit="1" customWidth="1"/>
    <col min="15" max="15" width="23.453125" style="5" bestFit="1" customWidth="1"/>
    <col min="16" max="16" width="30.7265625" style="5" customWidth="1"/>
    <col min="17" max="17" width="26" style="5" customWidth="1"/>
    <col min="18" max="18" width="16.54296875" style="5" bestFit="1" customWidth="1"/>
    <col min="19" max="19" width="19.7265625" style="5" customWidth="1"/>
    <col min="20" max="20" width="19.1796875" style="5" customWidth="1"/>
    <col min="21" max="21" width="18.36328125" style="5" customWidth="1"/>
    <col min="22" max="22" width="30.54296875" style="5" customWidth="1"/>
    <col min="23" max="23" width="30.7265625" style="5" customWidth="1"/>
    <col min="24" max="24" width="2.6328125" style="5" customWidth="1"/>
    <col min="25" max="25" width="28.453125" style="5" customWidth="1"/>
    <col min="26" max="26" width="33.54296875" style="5" customWidth="1"/>
    <col min="27" max="27" width="49.54296875" style="5" customWidth="1"/>
    <col min="28" max="28" width="36.7265625" style="5" customWidth="1"/>
    <col min="29" max="29" width="32.1796875" style="5" customWidth="1"/>
    <col min="30" max="30" width="34.7265625" style="5" customWidth="1"/>
    <col min="31" max="31" width="14" style="5" bestFit="1" customWidth="1"/>
    <col min="32" max="36" width="9.26953125" style="5" bestFit="1" customWidth="1"/>
    <col min="37" max="37" width="10.26953125" style="5" bestFit="1" customWidth="1"/>
    <col min="38" max="38" width="9.26953125" style="5" bestFit="1" customWidth="1"/>
    <col min="39" max="39" width="10.26953125" style="5" bestFit="1" customWidth="1"/>
    <col min="40" max="40" width="70.26953125" style="5" bestFit="1" customWidth="1"/>
    <col min="41" max="41" width="53.1796875" style="5" bestFit="1" customWidth="1"/>
    <col min="42" max="42" width="14" style="5" customWidth="1"/>
    <col min="43" max="43" width="14.81640625" style="5" customWidth="1"/>
    <col min="44" max="44" width="9.26953125" style="5" bestFit="1" customWidth="1"/>
    <col min="45" max="45" width="12.26953125" style="5" customWidth="1"/>
    <col min="46" max="46" width="12.7265625" style="5" customWidth="1"/>
    <col min="47" max="47" width="14.1796875" style="5" customWidth="1"/>
    <col min="48" max="48" width="14.81640625" style="5" customWidth="1"/>
    <col min="49" max="49" width="13.26953125" style="5" customWidth="1"/>
    <col min="50" max="50" width="14" style="5" customWidth="1"/>
    <col min="51" max="53" width="9.1796875" style="5"/>
    <col min="54" max="54" width="15.81640625" style="5" customWidth="1"/>
    <col min="55" max="55" width="14" style="5" customWidth="1"/>
    <col min="56" max="58" width="9.1796875" style="5"/>
    <col min="59" max="59" width="53.54296875" style="5" customWidth="1"/>
    <col min="60" max="65" width="9.1796875" style="5"/>
    <col min="66" max="66" width="70.7265625" style="5" bestFit="1" customWidth="1"/>
    <col min="67" max="67" width="9.1796875" style="5"/>
    <col min="68" max="68" width="109.54296875" style="5" bestFit="1" customWidth="1"/>
    <col min="69" max="69" width="27.7265625" style="5" bestFit="1" customWidth="1"/>
    <col min="70" max="70" width="53" style="5" bestFit="1" customWidth="1"/>
    <col min="71" max="16384" width="9.1796875" style="5"/>
  </cols>
  <sheetData>
    <row r="1" spans="2:63" ht="52" customHeight="1">
      <c r="C1" s="321" t="s">
        <v>1761</v>
      </c>
      <c r="D1" s="321"/>
      <c r="E1" s="321"/>
      <c r="F1" s="321"/>
      <c r="G1" s="321"/>
      <c r="H1" s="321"/>
      <c r="I1" s="321"/>
      <c r="J1" s="321"/>
      <c r="K1" s="321"/>
      <c r="L1" s="321"/>
    </row>
    <row r="3" spans="2:63" ht="14.5" customHeight="1">
      <c r="B3" s="2"/>
      <c r="C3" s="2"/>
      <c r="D3" s="2"/>
      <c r="E3" s="2"/>
      <c r="F3" s="2"/>
      <c r="G3" s="2"/>
      <c r="H3" s="2"/>
      <c r="I3" s="2"/>
      <c r="J3" s="2"/>
      <c r="K3" s="2"/>
      <c r="L3" s="2"/>
    </row>
    <row r="4" spans="2:63" ht="21">
      <c r="B4" s="2"/>
      <c r="C4" s="314" t="s">
        <v>1655</v>
      </c>
      <c r="D4" s="314"/>
      <c r="E4" s="314"/>
      <c r="F4" s="314"/>
      <c r="G4" s="314"/>
      <c r="H4" s="314"/>
      <c r="I4" s="314"/>
      <c r="J4" s="314"/>
      <c r="K4" s="314"/>
      <c r="L4" s="2"/>
    </row>
    <row r="5" spans="2:63" ht="21" customHeight="1">
      <c r="B5" s="2"/>
      <c r="D5" s="322" t="s">
        <v>1654</v>
      </c>
      <c r="E5" s="322"/>
      <c r="F5" s="322"/>
      <c r="G5" s="322"/>
      <c r="H5" s="322"/>
      <c r="I5" s="322"/>
      <c r="J5" s="322"/>
      <c r="K5" s="322"/>
      <c r="L5" s="2"/>
    </row>
    <row r="6" spans="2:63" ht="16" thickBot="1">
      <c r="B6" s="2"/>
      <c r="D6" s="175" t="s">
        <v>1545</v>
      </c>
      <c r="E6" s="175" t="s">
        <v>1546</v>
      </c>
      <c r="F6" s="175" t="s">
        <v>5</v>
      </c>
      <c r="G6" s="175" t="s">
        <v>574</v>
      </c>
      <c r="L6" s="2"/>
      <c r="AG6" s="5" t="s">
        <v>101</v>
      </c>
      <c r="AI6" s="5" t="s">
        <v>82</v>
      </c>
      <c r="BK6" s="5" t="str">
        <f>F7</f>
        <v>Combined</v>
      </c>
    </row>
    <row r="7" spans="2:63" ht="15" thickBot="1">
      <c r="B7" s="2"/>
      <c r="D7" s="5" t="s">
        <v>587</v>
      </c>
      <c r="E7" s="176" t="s">
        <v>403</v>
      </c>
      <c r="F7" s="181" t="s">
        <v>580</v>
      </c>
      <c r="G7" s="177">
        <v>1</v>
      </c>
      <c r="L7" s="2"/>
    </row>
    <row r="8" spans="2:63" ht="15" thickBot="1">
      <c r="B8" s="2"/>
      <c r="G8" s="85"/>
      <c r="L8" s="2"/>
    </row>
    <row r="9" spans="2:63" ht="15" thickBot="1">
      <c r="B9" s="2"/>
      <c r="D9" s="5" t="s">
        <v>61</v>
      </c>
      <c r="E9" s="176" t="s">
        <v>403</v>
      </c>
      <c r="F9" s="181" t="s">
        <v>580</v>
      </c>
      <c r="G9" s="177" cm="1">
        <f t="array" ref="G9">IF(E9="Yes",(_xlfn.IFS(F9=F7,((1-G7)+1E-100),F9&lt;&gt;F7,100%)),(1E-100))</f>
        <v>1E-100</v>
      </c>
      <c r="L9" s="2"/>
      <c r="AI9" s="5" t="s">
        <v>83</v>
      </c>
      <c r="AJ9" s="5" t="s">
        <v>84</v>
      </c>
      <c r="AN9" s="5" t="s">
        <v>1513</v>
      </c>
      <c r="AO9" s="5" t="s">
        <v>77</v>
      </c>
      <c r="AP9" s="5" t="s">
        <v>1514</v>
      </c>
      <c r="AQ9" s="5" t="s">
        <v>631</v>
      </c>
      <c r="AR9" s="5" t="s">
        <v>347</v>
      </c>
      <c r="BK9" s="5" t="str">
        <f>F9</f>
        <v>Combined</v>
      </c>
    </row>
    <row r="10" spans="2:63" ht="15" thickBot="1">
      <c r="B10" s="2"/>
      <c r="G10" s="85"/>
      <c r="L10" s="2"/>
    </row>
    <row r="11" spans="2:63" ht="15" thickBot="1">
      <c r="B11" s="2"/>
      <c r="D11" s="5" t="s">
        <v>478</v>
      </c>
      <c r="E11" s="176">
        <v>365</v>
      </c>
      <c r="L11" s="2"/>
    </row>
    <row r="12" spans="2:63" ht="15" thickBot="1">
      <c r="B12" s="2"/>
      <c r="L12" s="2"/>
    </row>
    <row r="13" spans="2:63" ht="15" thickBot="1">
      <c r="B13" s="2"/>
      <c r="D13" s="5" t="s">
        <v>1482</v>
      </c>
      <c r="E13" s="176">
        <v>2023</v>
      </c>
      <c r="I13" s="106"/>
      <c r="L13" s="2"/>
      <c r="AF13" s="5" t="str">
        <f>E9</f>
        <v>Yes</v>
      </c>
      <c r="AH13" s="5" t="s">
        <v>83</v>
      </c>
      <c r="AI13" s="5">
        <v>300</v>
      </c>
      <c r="AJ13" s="5">
        <f>AI13*0.001</f>
        <v>0.3</v>
      </c>
      <c r="AN13" s="5" t="s">
        <v>1512</v>
      </c>
      <c r="AO13" s="5" t="s">
        <v>1515</v>
      </c>
      <c r="AP13" s="5">
        <v>0.93500000000000005</v>
      </c>
      <c r="AQ13" s="5">
        <v>0.75</v>
      </c>
    </row>
    <row r="14" spans="2:63">
      <c r="B14" s="2"/>
      <c r="L14" s="2"/>
      <c r="AH14" s="5" t="s">
        <v>85</v>
      </c>
      <c r="AI14" s="5">
        <f>AJ14*1000</f>
        <v>1000</v>
      </c>
      <c r="AJ14" s="5">
        <v>1</v>
      </c>
      <c r="AN14" s="5" t="s">
        <v>1522</v>
      </c>
      <c r="AO14" s="5" t="s">
        <v>1515</v>
      </c>
      <c r="AP14" s="5">
        <v>0.93500000000000005</v>
      </c>
      <c r="AQ14" s="5">
        <v>1.1200000000000001</v>
      </c>
    </row>
    <row r="15" spans="2:63" ht="21">
      <c r="B15" s="2"/>
      <c r="C15" s="314" t="s">
        <v>1656</v>
      </c>
      <c r="D15" s="314"/>
      <c r="E15" s="314"/>
      <c r="F15" s="314"/>
      <c r="G15" s="314"/>
      <c r="H15" s="314"/>
      <c r="I15" s="314"/>
      <c r="J15" s="314"/>
      <c r="K15" s="314"/>
      <c r="L15" s="2"/>
    </row>
    <row r="16" spans="2:63" ht="32" customHeight="1">
      <c r="B16" s="2"/>
      <c r="D16" s="323" t="s">
        <v>1759</v>
      </c>
      <c r="E16" s="323"/>
      <c r="F16" s="323"/>
      <c r="G16" s="323"/>
      <c r="H16" s="323"/>
      <c r="I16" s="323"/>
      <c r="J16" s="323"/>
      <c r="K16" s="323"/>
      <c r="L16" s="2"/>
      <c r="AG16" s="92">
        <v>1</v>
      </c>
      <c r="AN16" s="5" t="s">
        <v>1521</v>
      </c>
      <c r="AO16" s="5" t="s">
        <v>362</v>
      </c>
      <c r="AP16" s="96">
        <v>0.214</v>
      </c>
      <c r="AQ16" s="92">
        <v>0.25</v>
      </c>
    </row>
    <row r="17" spans="2:43" ht="15" thickBot="1">
      <c r="B17" s="2"/>
      <c r="D17" s="16" t="s">
        <v>1547</v>
      </c>
      <c r="E17" s="16"/>
      <c r="F17" s="16"/>
      <c r="L17" s="2"/>
      <c r="AG17" s="106">
        <v>9.9999999999999993E-103</v>
      </c>
      <c r="AN17" s="5" t="s">
        <v>1520</v>
      </c>
      <c r="AO17" s="5" t="s">
        <v>852</v>
      </c>
      <c r="AP17" s="5">
        <v>0.41</v>
      </c>
      <c r="AQ17" s="5">
        <v>0.45</v>
      </c>
    </row>
    <row r="18" spans="2:43" ht="15" thickBot="1">
      <c r="B18" s="2"/>
      <c r="D18" s="5" t="s">
        <v>1033</v>
      </c>
      <c r="E18" s="176" t="s">
        <v>346</v>
      </c>
      <c r="F18" s="179">
        <f>F24*F22</f>
        <v>69313.397260273967</v>
      </c>
      <c r="L18" s="2"/>
      <c r="AI18" s="5" t="s">
        <v>575</v>
      </c>
      <c r="AJ18" s="5" t="s">
        <v>1482</v>
      </c>
      <c r="AN18" s="5" t="s">
        <v>1520</v>
      </c>
      <c r="AO18" s="5" t="s">
        <v>100</v>
      </c>
      <c r="AP18" s="5">
        <v>0.45</v>
      </c>
      <c r="AQ18" s="5">
        <v>0.51</v>
      </c>
    </row>
    <row r="19" spans="2:43" ht="15" thickBot="1">
      <c r="B19" s="2"/>
      <c r="F19" s="105"/>
      <c r="L19" s="2"/>
      <c r="AI19" s="5" t="s">
        <v>110</v>
      </c>
      <c r="AJ19" s="5">
        <v>2023</v>
      </c>
      <c r="AN19" s="5" t="s">
        <v>1519</v>
      </c>
      <c r="AO19" s="5" t="s">
        <v>1320</v>
      </c>
      <c r="AP19" s="5">
        <v>0.7</v>
      </c>
      <c r="AQ19" s="5">
        <v>0.5</v>
      </c>
    </row>
    <row r="20" spans="2:43" ht="15" thickBot="1">
      <c r="B20" s="2"/>
      <c r="D20" s="5" t="s">
        <v>1032</v>
      </c>
      <c r="E20" s="176" t="s">
        <v>346</v>
      </c>
      <c r="F20" s="179">
        <f>F18*59%</f>
        <v>40894.904383561639</v>
      </c>
      <c r="L20" s="2"/>
      <c r="AI20" s="5" t="s">
        <v>61</v>
      </c>
      <c r="AJ20" s="5">
        <v>2030</v>
      </c>
      <c r="AN20" s="5" t="s">
        <v>1518</v>
      </c>
      <c r="AO20" s="5" t="s">
        <v>59</v>
      </c>
      <c r="AP20" s="92">
        <v>0.75</v>
      </c>
      <c r="AQ20" s="92">
        <v>0.9</v>
      </c>
    </row>
    <row r="21" spans="2:43" ht="15" thickBot="1">
      <c r="B21" s="2"/>
      <c r="F21" s="105"/>
      <c r="L21" s="2"/>
      <c r="AP21" s="92"/>
      <c r="AQ21" s="92"/>
    </row>
    <row r="22" spans="2:43" ht="15" thickBot="1">
      <c r="B22" s="2"/>
      <c r="D22" s="5" t="s">
        <v>96</v>
      </c>
      <c r="E22" s="176" t="s">
        <v>346</v>
      </c>
      <c r="F22" s="179">
        <v>0.03</v>
      </c>
      <c r="L22" s="2"/>
      <c r="AN22" s="5" t="s">
        <v>1517</v>
      </c>
      <c r="AO22" s="5" t="s">
        <v>59</v>
      </c>
      <c r="AP22" s="92">
        <v>0.75</v>
      </c>
      <c r="AQ22" s="92">
        <v>0.6</v>
      </c>
    </row>
    <row r="23" spans="2:43" ht="15" thickBot="1">
      <c r="B23" s="2"/>
      <c r="F23" s="1"/>
      <c r="L23" s="2"/>
      <c r="AP23" s="92"/>
      <c r="AQ23" s="92"/>
    </row>
    <row r="24" spans="2:43" ht="15" thickBot="1">
      <c r="B24" s="2"/>
      <c r="D24" s="5" t="s">
        <v>1031</v>
      </c>
      <c r="E24" s="279" t="s">
        <v>346</v>
      </c>
      <c r="F24" s="179">
        <v>2310446.5753424657</v>
      </c>
      <c r="L24" s="2"/>
      <c r="AN24" s="5" t="s">
        <v>1516</v>
      </c>
      <c r="AO24" s="5" t="s">
        <v>1523</v>
      </c>
      <c r="AP24" s="92">
        <v>0.26</v>
      </c>
      <c r="AQ24" s="92">
        <v>0.1</v>
      </c>
    </row>
    <row r="25" spans="2:43" ht="15" thickBot="1">
      <c r="B25" s="2"/>
      <c r="F25" s="1"/>
      <c r="L25" s="2"/>
      <c r="AP25" s="92"/>
      <c r="AQ25" s="92"/>
    </row>
    <row r="26" spans="2:43" ht="15" thickBot="1">
      <c r="B26" s="2"/>
      <c r="D26" s="5" t="s">
        <v>706</v>
      </c>
      <c r="E26" s="279" t="s">
        <v>346</v>
      </c>
      <c r="F26" s="179">
        <f>F24/1000</f>
        <v>2310.4465753424656</v>
      </c>
      <c r="L26" s="2"/>
    </row>
    <row r="27" spans="2:43" ht="15" thickBot="1">
      <c r="B27" s="2"/>
      <c r="F27" s="280"/>
      <c r="L27" s="2"/>
    </row>
    <row r="28" spans="2:43" ht="15" thickBot="1">
      <c r="B28" s="2"/>
      <c r="D28" s="5" t="s">
        <v>1283</v>
      </c>
      <c r="E28" s="279" t="s">
        <v>345</v>
      </c>
      <c r="F28" s="179" t="s">
        <v>1285</v>
      </c>
      <c r="L28" s="2"/>
    </row>
    <row r="29" spans="2:43" ht="15" thickBot="1">
      <c r="B29" s="2"/>
      <c r="F29" s="1"/>
      <c r="L29" s="2"/>
    </row>
    <row r="30" spans="2:43" ht="15" thickBot="1">
      <c r="B30" s="2"/>
      <c r="D30" s="5" t="s">
        <v>407</v>
      </c>
      <c r="E30" s="279" t="s">
        <v>346</v>
      </c>
      <c r="F30" s="179" cm="1">
        <f t="array" ref="F30">_xlfn.IFS(E30=BK35,"Enter Value",E30=BK36,0.935)</f>
        <v>0.93500000000000005</v>
      </c>
      <c r="L30" s="2"/>
    </row>
    <row r="31" spans="2:43" ht="15" thickBot="1">
      <c r="B31" s="2"/>
      <c r="F31" s="1"/>
      <c r="L31" s="2"/>
    </row>
    <row r="32" spans="2:43" ht="15" thickBot="1">
      <c r="B32" s="2"/>
      <c r="D32" s="5" t="s">
        <v>408</v>
      </c>
      <c r="E32" s="279" t="s">
        <v>346</v>
      </c>
      <c r="F32" s="179" cm="1">
        <f t="array" ref="F32">_xlfn.IFS(E32="Default",F311,E32="User Defined","Enter Value")</f>
        <v>0.19</v>
      </c>
      <c r="L32" s="2"/>
    </row>
    <row r="33" spans="2:73">
      <c r="B33" s="2"/>
      <c r="L33" s="2"/>
    </row>
    <row r="34" spans="2:73">
      <c r="B34" s="2"/>
      <c r="L34" s="2"/>
    </row>
    <row r="35" spans="2:73" ht="15" thickBot="1">
      <c r="B35" s="2"/>
      <c r="D35" s="16" t="s">
        <v>1605</v>
      </c>
      <c r="E35" s="16"/>
      <c r="F35" s="16"/>
      <c r="L35" s="2"/>
      <c r="BJ35" s="5" t="b">
        <v>1</v>
      </c>
      <c r="BK35" s="5" t="s">
        <v>345</v>
      </c>
      <c r="BM35" s="5" t="s">
        <v>102</v>
      </c>
      <c r="BO35" s="5" t="s">
        <v>109</v>
      </c>
      <c r="BP35" s="5" t="s">
        <v>108</v>
      </c>
      <c r="BQ35" s="5" t="s">
        <v>171</v>
      </c>
      <c r="BT35" s="5" t="s">
        <v>403</v>
      </c>
      <c r="BU35" s="5" t="s">
        <v>405</v>
      </c>
    </row>
    <row r="36" spans="2:73" ht="15" thickBot="1">
      <c r="B36" s="2"/>
      <c r="D36" s="5" t="s">
        <v>87</v>
      </c>
      <c r="E36" s="279" t="s">
        <v>345</v>
      </c>
      <c r="F36" s="179">
        <v>430893</v>
      </c>
      <c r="L36" s="2"/>
      <c r="AG36" s="5" t="s">
        <v>403</v>
      </c>
      <c r="AH36" s="5" t="s">
        <v>578</v>
      </c>
      <c r="AI36" s="5" t="s">
        <v>579</v>
      </c>
      <c r="AJ36" s="5" t="s">
        <v>580</v>
      </c>
      <c r="BJ36" s="5" t="b">
        <v>0</v>
      </c>
      <c r="BK36" s="5" t="s">
        <v>346</v>
      </c>
      <c r="BM36" s="5" t="s">
        <v>103</v>
      </c>
      <c r="BO36" s="5" t="s">
        <v>576</v>
      </c>
      <c r="BP36" s="5">
        <v>5</v>
      </c>
      <c r="BQ36" s="5" t="s">
        <v>160</v>
      </c>
      <c r="BT36" s="5" t="s">
        <v>404</v>
      </c>
      <c r="BU36" s="5" t="s">
        <v>406</v>
      </c>
    </row>
    <row r="37" spans="2:73" ht="15" thickBot="1">
      <c r="B37" s="2"/>
      <c r="F37" s="1"/>
      <c r="L37" s="2"/>
      <c r="BL37" s="5" t="s">
        <v>576</v>
      </c>
      <c r="BM37" s="5" t="s">
        <v>577</v>
      </c>
    </row>
    <row r="38" spans="2:73" ht="15" thickBot="1">
      <c r="B38" s="2"/>
      <c r="D38" s="5" t="s">
        <v>88</v>
      </c>
      <c r="E38" s="279" t="s">
        <v>345</v>
      </c>
      <c r="F38" s="179">
        <v>0.24299999999999999</v>
      </c>
      <c r="L38" s="2"/>
      <c r="BL38" s="5" t="s">
        <v>577</v>
      </c>
      <c r="BM38" s="5" t="s">
        <v>576</v>
      </c>
      <c r="BP38" s="5">
        <v>2</v>
      </c>
    </row>
    <row r="39" spans="2:73" ht="15" thickBot="1">
      <c r="B39" s="2"/>
      <c r="F39" s="1"/>
      <c r="L39" s="2"/>
      <c r="BL39" s="5" t="s">
        <v>81</v>
      </c>
      <c r="BM39" s="5" t="s">
        <v>81</v>
      </c>
    </row>
    <row r="40" spans="2:73" ht="15" thickBot="1">
      <c r="B40" s="2"/>
      <c r="D40" s="5" t="s">
        <v>280</v>
      </c>
      <c r="E40" s="279" t="s">
        <v>346</v>
      </c>
      <c r="F40" s="179">
        <f>IF(E40=BK35,"Enter Value",IF(E40=BK36,'Parameter Inputs'!F281*'Parameter Inputs'!F38))</f>
        <v>0.16281000000000001</v>
      </c>
      <c r="L40" s="2"/>
      <c r="BP40" s="5">
        <v>1</v>
      </c>
    </row>
    <row r="41" spans="2:73" ht="15" thickBot="1">
      <c r="B41" s="2"/>
      <c r="F41" s="1"/>
      <c r="L41" s="2"/>
    </row>
    <row r="42" spans="2:73" ht="15" thickBot="1">
      <c r="B42" s="2"/>
      <c r="D42" s="5" t="s">
        <v>78</v>
      </c>
      <c r="E42" s="279" t="s">
        <v>346</v>
      </c>
      <c r="F42" s="179">
        <v>0.7</v>
      </c>
      <c r="L42" s="2"/>
      <c r="BJ42" s="5" t="s">
        <v>1284</v>
      </c>
      <c r="BP42" s="5">
        <v>1</v>
      </c>
    </row>
    <row r="43" spans="2:73" ht="15" thickBot="1">
      <c r="B43" s="2"/>
      <c r="F43" s="1"/>
      <c r="L43" s="2"/>
      <c r="AH43" s="5">
        <f>698367/365</f>
        <v>1913.3342465753424</v>
      </c>
      <c r="BJ43" s="5" t="s">
        <v>1285</v>
      </c>
    </row>
    <row r="44" spans="2:73" ht="15" thickBot="1">
      <c r="B44" s="2"/>
      <c r="D44" s="5" t="s">
        <v>86</v>
      </c>
      <c r="E44" s="279" t="s">
        <v>346</v>
      </c>
      <c r="F44" s="179">
        <f>IF(E44=BK35,"Enter Value",IF(E44=BK36,'Parameter Inputs'!I936,"ERROR"))</f>
        <v>65965.409369999994</v>
      </c>
      <c r="L44" s="2"/>
      <c r="AH44" s="5">
        <f>AH43*1000</f>
        <v>1913334.2465753425</v>
      </c>
    </row>
    <row r="45" spans="2:73" ht="15" thickBot="1">
      <c r="B45" s="2"/>
      <c r="F45" s="1"/>
      <c r="L45" s="2"/>
    </row>
    <row r="46" spans="2:73" ht="15" thickBot="1">
      <c r="B46" s="2"/>
      <c r="D46" s="5" t="s">
        <v>96</v>
      </c>
      <c r="E46" s="279" t="s">
        <v>346</v>
      </c>
      <c r="F46" s="179">
        <f>IF(E46=BK35,"Enter Value",IF(E46=BK36,'Parameter Inputs'!F291,"ERROR"))</f>
        <v>0.06</v>
      </c>
      <c r="L46" s="2"/>
    </row>
    <row r="47" spans="2:73" ht="15" thickBot="1">
      <c r="B47" s="2"/>
      <c r="F47" s="1"/>
      <c r="L47" s="2"/>
    </row>
    <row r="48" spans="2:73" ht="15" thickBot="1">
      <c r="B48" s="2"/>
      <c r="D48" s="5" t="s">
        <v>94</v>
      </c>
      <c r="E48" s="279" t="s">
        <v>346</v>
      </c>
      <c r="F48" s="179">
        <f>IF(E48=BK35,"Enter Value",IF(E48=BK36,(F44/('Parameter Inputs'!F309*F46)),"ERROR"))</f>
        <v>1099.4234895</v>
      </c>
      <c r="L48" s="2"/>
    </row>
    <row r="49" spans="2:12" ht="15" thickBot="1">
      <c r="B49" s="2"/>
      <c r="F49" s="1"/>
      <c r="L49" s="2"/>
    </row>
    <row r="50" spans="2:12" ht="15" thickBot="1">
      <c r="B50" s="2"/>
      <c r="D50" s="5" t="s">
        <v>89</v>
      </c>
      <c r="E50" s="279" t="s">
        <v>346</v>
      </c>
      <c r="F50" s="179">
        <f>IF(E50=BK35,"Enter Value",IF(E50=BK36,'Parameter Inputs'!F283,"ERROR"))</f>
        <v>0.5</v>
      </c>
      <c r="L50" s="2"/>
    </row>
    <row r="51" spans="2:12" ht="15" thickBot="1">
      <c r="B51" s="2"/>
      <c r="F51" s="1"/>
      <c r="L51" s="2"/>
    </row>
    <row r="52" spans="2:12" ht="15" thickBot="1">
      <c r="B52" s="2"/>
      <c r="D52" s="5" t="s">
        <v>90</v>
      </c>
      <c r="E52" s="279" t="s">
        <v>346</v>
      </c>
      <c r="F52" s="179">
        <v>0.7</v>
      </c>
      <c r="L52" s="2"/>
    </row>
    <row r="53" spans="2:12" ht="15" thickBot="1">
      <c r="B53" s="2"/>
      <c r="F53" s="1"/>
      <c r="L53" s="2"/>
    </row>
    <row r="54" spans="2:12" ht="15" thickBot="1">
      <c r="B54" s="2"/>
      <c r="D54" s="5" t="s">
        <v>97</v>
      </c>
      <c r="E54" s="279" t="s">
        <v>346</v>
      </c>
      <c r="F54" s="179">
        <f>IF(E54=BK35,"Enter Value",IF(E54=BK36,((F50*F36*F52)/F48),"ERROR"))</f>
        <v>137.1742112482853</v>
      </c>
      <c r="L54" s="2"/>
    </row>
    <row r="55" spans="2:12" ht="15" thickBot="1">
      <c r="B55" s="2"/>
      <c r="F55" s="1"/>
      <c r="L55" s="2"/>
    </row>
    <row r="56" spans="2:12" ht="15" thickBot="1">
      <c r="B56" s="2"/>
      <c r="D56" s="5" t="s">
        <v>79</v>
      </c>
      <c r="E56" s="279" t="s">
        <v>346</v>
      </c>
      <c r="F56" s="179">
        <f>IF(E56=BK35,"Enter Value",IF(E56=BK36,(F42/F46),"ERROR"))</f>
        <v>11.666666666666666</v>
      </c>
      <c r="L56" s="2"/>
    </row>
    <row r="57" spans="2:12" ht="15" thickBot="1">
      <c r="B57" s="2"/>
      <c r="F57" s="1"/>
      <c r="L57" s="2"/>
    </row>
    <row r="58" spans="2:12" ht="15" thickBot="1">
      <c r="B58" s="2"/>
      <c r="D58" s="5" t="s">
        <v>111</v>
      </c>
      <c r="E58" s="279" t="s">
        <v>346</v>
      </c>
      <c r="F58" s="179">
        <f>IF(E58=BK35,"Enter Value",IF(E58=BK36,(F44/F48),"ERROR"))</f>
        <v>60</v>
      </c>
      <c r="L58" s="2"/>
    </row>
    <row r="59" spans="2:12" ht="15" thickBot="1">
      <c r="B59" s="2"/>
      <c r="F59" s="1"/>
      <c r="L59" s="2"/>
    </row>
    <row r="60" spans="2:12" ht="15" thickBot="1">
      <c r="B60" s="2"/>
      <c r="D60" s="5" t="s">
        <v>351</v>
      </c>
      <c r="E60" s="279" t="s">
        <v>346</v>
      </c>
      <c r="F60" s="179">
        <f>IF(E60=BK35,"Enter Value",IF(E60=BK36,'Parameter Inputs'!F305,"ERROR"))</f>
        <v>0.3</v>
      </c>
      <c r="L60" s="2"/>
    </row>
    <row r="61" spans="2:12" ht="15" thickBot="1">
      <c r="B61" s="2"/>
      <c r="F61" s="1"/>
      <c r="L61" s="2"/>
    </row>
    <row r="62" spans="2:12" ht="15" thickBot="1">
      <c r="B62" s="2"/>
      <c r="D62" s="5" t="s">
        <v>415</v>
      </c>
      <c r="E62" s="279" t="s">
        <v>346</v>
      </c>
      <c r="F62" s="179">
        <f>IF(E62=BK35,"Enter Value",IF(E62=BK36,'Parameter Inputs'!F299))</f>
        <v>0.02</v>
      </c>
      <c r="L62" s="2"/>
    </row>
    <row r="63" spans="2:12" ht="15" thickBot="1">
      <c r="B63" s="2"/>
      <c r="F63" s="1"/>
      <c r="L63" s="2"/>
    </row>
    <row r="64" spans="2:12" ht="15" thickBot="1">
      <c r="B64" s="2"/>
      <c r="D64" s="5" t="s">
        <v>1612</v>
      </c>
      <c r="E64" s="279" t="s">
        <v>346</v>
      </c>
      <c r="F64" s="179">
        <f>IF(E64=BK35,"Enter Value",IF(E64=BK36,'Parameter Inputs'!F301))</f>
        <v>0.1</v>
      </c>
      <c r="L64" s="2"/>
    </row>
    <row r="65" spans="2:12">
      <c r="B65" s="2"/>
      <c r="L65" s="2"/>
    </row>
    <row r="66" spans="2:12" ht="21">
      <c r="B66" s="2"/>
      <c r="C66" s="314" t="s">
        <v>1657</v>
      </c>
      <c r="D66" s="314"/>
      <c r="E66" s="314"/>
      <c r="F66" s="314"/>
      <c r="G66" s="314"/>
      <c r="H66" s="314"/>
      <c r="I66" s="314"/>
      <c r="J66" s="314"/>
      <c r="K66" s="314"/>
      <c r="L66" s="2"/>
    </row>
    <row r="67" spans="2:12">
      <c r="B67" s="2"/>
      <c r="D67" s="5" t="s">
        <v>1706</v>
      </c>
      <c r="L67" s="2"/>
    </row>
    <row r="68" spans="2:12">
      <c r="B68" s="2"/>
      <c r="D68" s="16"/>
      <c r="E68" s="16"/>
      <c r="F68" s="16"/>
      <c r="L68" s="2"/>
    </row>
    <row r="69" spans="2:12" ht="15" thickBot="1">
      <c r="B69" s="2"/>
      <c r="D69" s="16" t="s">
        <v>74</v>
      </c>
      <c r="E69" s="16" t="s">
        <v>1617</v>
      </c>
      <c r="F69" s="16" t="s">
        <v>1616</v>
      </c>
      <c r="L69" s="2"/>
    </row>
    <row r="70" spans="2:12" ht="15" thickBot="1">
      <c r="B70" s="2"/>
      <c r="D70" s="5" t="s">
        <v>62</v>
      </c>
      <c r="E70" s="179">
        <v>6</v>
      </c>
      <c r="F70" s="179">
        <f>E70/0.861</f>
        <v>6.9686411149825789</v>
      </c>
      <c r="L70" s="2"/>
    </row>
    <row r="71" spans="2:12" ht="15" thickBot="1">
      <c r="B71" s="2"/>
      <c r="F71" s="1"/>
      <c r="L71" s="2"/>
    </row>
    <row r="72" spans="2:12" ht="15" thickBot="1">
      <c r="B72" s="2"/>
      <c r="D72" s="5" t="s">
        <v>1676</v>
      </c>
      <c r="E72" s="281">
        <v>5</v>
      </c>
      <c r="F72" s="179">
        <f>E72/0.861</f>
        <v>5.8072009291521489</v>
      </c>
      <c r="L72" s="2"/>
    </row>
    <row r="73" spans="2:12" ht="15" thickBot="1">
      <c r="B73" s="2"/>
      <c r="F73" s="1"/>
      <c r="L73" s="2"/>
    </row>
    <row r="74" spans="2:12" ht="15" thickBot="1">
      <c r="B74" s="2"/>
      <c r="D74" s="5" t="s">
        <v>64</v>
      </c>
      <c r="E74" s="281">
        <v>7</v>
      </c>
      <c r="F74" s="179">
        <f>E74/0.886</f>
        <v>7.9006772009029342</v>
      </c>
      <c r="L74" s="2"/>
    </row>
    <row r="75" spans="2:12" ht="15" thickBot="1">
      <c r="B75" s="2"/>
      <c r="F75" s="1"/>
      <c r="L75" s="2"/>
    </row>
    <row r="76" spans="2:12" ht="15" thickBot="1">
      <c r="B76" s="2"/>
      <c r="D76" s="5" t="s">
        <v>65</v>
      </c>
      <c r="E76" s="281">
        <v>8</v>
      </c>
      <c r="F76" s="179">
        <f>E76/0.886</f>
        <v>9.0293453724604973</v>
      </c>
      <c r="L76" s="2"/>
    </row>
    <row r="77" spans="2:12" ht="15" thickBot="1">
      <c r="B77" s="2"/>
      <c r="F77" s="1"/>
      <c r="L77" s="2"/>
    </row>
    <row r="78" spans="2:12" ht="15" thickBot="1">
      <c r="B78" s="2"/>
      <c r="D78" s="5" t="s">
        <v>66</v>
      </c>
      <c r="E78" s="281">
        <v>11</v>
      </c>
      <c r="F78" s="179">
        <f>E78/0.886</f>
        <v>12.415349887133182</v>
      </c>
      <c r="L78" s="2"/>
    </row>
    <row r="79" spans="2:12" ht="15" thickBot="1">
      <c r="B79" s="2"/>
      <c r="F79" s="1"/>
      <c r="L79" s="2"/>
    </row>
    <row r="80" spans="2:12" ht="15" thickBot="1">
      <c r="B80" s="2"/>
      <c r="D80" s="5" t="s">
        <v>67</v>
      </c>
      <c r="E80" s="281">
        <v>13</v>
      </c>
      <c r="F80" s="179">
        <f>E80/0.704</f>
        <v>18.465909090909093</v>
      </c>
      <c r="H80" s="5" t="s">
        <v>542</v>
      </c>
      <c r="L80" s="2"/>
    </row>
    <row r="81" spans="2:12" ht="15" thickBot="1">
      <c r="B81" s="2"/>
      <c r="F81" s="1"/>
      <c r="L81" s="2"/>
    </row>
    <row r="82" spans="2:12" ht="15" thickBot="1">
      <c r="B82" s="2"/>
      <c r="D82" s="5" t="s">
        <v>68</v>
      </c>
      <c r="E82" s="281">
        <v>15</v>
      </c>
      <c r="F82" s="179">
        <f>E82/0.704</f>
        <v>21.306818181818183</v>
      </c>
      <c r="L82" s="2"/>
    </row>
    <row r="83" spans="2:12" ht="15" thickBot="1">
      <c r="B83" s="2"/>
      <c r="F83" s="1"/>
      <c r="L83" s="2"/>
    </row>
    <row r="84" spans="2:12" ht="15" thickBot="1">
      <c r="B84" s="2"/>
      <c r="D84" s="5" t="s">
        <v>69</v>
      </c>
      <c r="E84" s="281">
        <v>15</v>
      </c>
      <c r="F84" s="179">
        <f>E84/0.704</f>
        <v>21.306818181818183</v>
      </c>
      <c r="L84" s="2"/>
    </row>
    <row r="85" spans="2:12" ht="15" thickBot="1">
      <c r="B85" s="2"/>
      <c r="F85" s="1"/>
      <c r="L85" s="2"/>
    </row>
    <row r="86" spans="2:12" ht="15" thickBot="1">
      <c r="B86" s="2"/>
      <c r="D86" s="5" t="s">
        <v>70</v>
      </c>
      <c r="E86" s="281">
        <v>13</v>
      </c>
      <c r="F86" s="179">
        <f>E86/0.817</f>
        <v>15.911872705018361</v>
      </c>
      <c r="L86" s="2"/>
    </row>
    <row r="87" spans="2:12" ht="15" thickBot="1">
      <c r="B87" s="2"/>
      <c r="F87" s="1"/>
      <c r="L87" s="2"/>
    </row>
    <row r="88" spans="2:12" ht="15" thickBot="1">
      <c r="B88" s="2"/>
      <c r="D88" s="5" t="s">
        <v>71</v>
      </c>
      <c r="E88" s="281">
        <v>10</v>
      </c>
      <c r="F88" s="179">
        <f>E88/0.817</f>
        <v>12.239902080783354</v>
      </c>
      <c r="L88" s="2"/>
    </row>
    <row r="89" spans="2:12" ht="15" thickBot="1">
      <c r="B89" s="2"/>
      <c r="F89" s="1"/>
      <c r="L89" s="2"/>
    </row>
    <row r="90" spans="2:12" ht="15" thickBot="1">
      <c r="B90" s="2"/>
      <c r="D90" s="5" t="s">
        <v>72</v>
      </c>
      <c r="E90" s="281">
        <v>8</v>
      </c>
      <c r="F90" s="179">
        <f>E90/0.817</f>
        <v>9.7919216646266829</v>
      </c>
      <c r="L90" s="2"/>
    </row>
    <row r="91" spans="2:12" ht="15" thickBot="1">
      <c r="B91" s="2"/>
      <c r="F91" s="1"/>
      <c r="L91" s="2"/>
    </row>
    <row r="92" spans="2:12" ht="15" thickBot="1">
      <c r="B92" s="2"/>
      <c r="D92" s="5" t="s">
        <v>73</v>
      </c>
      <c r="E92" s="281">
        <v>6</v>
      </c>
      <c r="F92" s="179">
        <f>E92/0.861</f>
        <v>6.9686411149825789</v>
      </c>
      <c r="L92" s="2"/>
    </row>
    <row r="93" spans="2:12">
      <c r="B93" s="2"/>
      <c r="L93" s="2"/>
    </row>
    <row r="94" spans="2:12" ht="21">
      <c r="B94" s="2"/>
      <c r="C94" s="314" t="s">
        <v>1658</v>
      </c>
      <c r="D94" s="314"/>
      <c r="E94" s="314"/>
      <c r="F94" s="314"/>
      <c r="G94" s="314"/>
      <c r="H94" s="314"/>
      <c r="I94" s="314"/>
      <c r="J94" s="314"/>
      <c r="K94" s="314"/>
      <c r="L94" s="2"/>
    </row>
    <row r="95" spans="2:12" ht="55" customHeight="1">
      <c r="B95" s="2"/>
      <c r="D95" s="315" t="s">
        <v>1758</v>
      </c>
      <c r="E95" s="315"/>
      <c r="F95" s="315"/>
      <c r="G95" s="315"/>
      <c r="H95" s="315"/>
      <c r="L95" s="2"/>
    </row>
    <row r="96" spans="2:12">
      <c r="B96" s="2"/>
      <c r="L96" s="2"/>
    </row>
    <row r="97" spans="2:12" ht="15" thickBot="1">
      <c r="B97" s="2"/>
      <c r="D97" s="16" t="s">
        <v>1652</v>
      </c>
      <c r="L97" s="2"/>
    </row>
    <row r="98" spans="2:12" ht="15" thickBot="1">
      <c r="B98" s="2"/>
      <c r="D98" s="5" t="s">
        <v>506</v>
      </c>
      <c r="E98" s="279" t="s">
        <v>346</v>
      </c>
      <c r="F98" s="179" t="s">
        <v>1137</v>
      </c>
      <c r="L98" s="2"/>
    </row>
    <row r="99" spans="2:12" ht="15" thickBot="1">
      <c r="B99" s="2"/>
      <c r="E99" s="16"/>
      <c r="F99" s="1"/>
      <c r="L99" s="2"/>
    </row>
    <row r="100" spans="2:12" ht="15" thickBot="1">
      <c r="B100" s="2"/>
      <c r="D100" s="5" t="s">
        <v>519</v>
      </c>
      <c r="E100" s="279" t="s">
        <v>346</v>
      </c>
      <c r="F100" s="179" t="s">
        <v>81</v>
      </c>
      <c r="L100" s="2"/>
    </row>
    <row r="101" spans="2:12" ht="15" thickBot="1">
      <c r="B101" s="2"/>
      <c r="F101" s="1"/>
      <c r="L101" s="2"/>
    </row>
    <row r="102" spans="2:12" ht="15" thickBot="1">
      <c r="B102" s="2"/>
      <c r="D102" s="5" t="s">
        <v>1393</v>
      </c>
      <c r="E102" s="279" t="s">
        <v>346</v>
      </c>
      <c r="F102" s="179" cm="1">
        <f t="array" ref="F102">_xlfn.IFS(E102="Default",_xlfn.IFS(F98=D1256,E1256,F98=D1257,E1257,F98=D1258,E1258,F98=D1259,E1259),E102="User Defined","Enter Value")</f>
        <v>0.37</v>
      </c>
      <c r="L102" s="2"/>
    </row>
    <row r="103" spans="2:12" ht="15" thickBot="1">
      <c r="B103" s="2"/>
      <c r="F103" s="1"/>
      <c r="L103" s="2"/>
    </row>
    <row r="104" spans="2:12" ht="15" thickBot="1">
      <c r="B104" s="2"/>
      <c r="D104" s="5" t="s">
        <v>1394</v>
      </c>
      <c r="E104" s="279" t="s">
        <v>346</v>
      </c>
      <c r="F104" s="179" cm="1">
        <f t="array" ref="F104">_xlfn.IFS(E104="Default",G1256,E104="User Defined","Enter Value")</f>
        <v>0.53</v>
      </c>
      <c r="L104" s="2"/>
    </row>
    <row r="105" spans="2:12" ht="15" thickBot="1">
      <c r="B105" s="2"/>
      <c r="F105" s="1"/>
      <c r="L105" s="2"/>
    </row>
    <row r="106" spans="2:12" ht="15" thickBot="1">
      <c r="B106" s="2"/>
      <c r="D106" s="5" t="s">
        <v>1651</v>
      </c>
      <c r="E106" s="279" t="s">
        <v>346</v>
      </c>
      <c r="F106" s="179" cm="1">
        <f t="array" ref="F106">_xlfn.IFS(E106=D1719,22.7,E106=D1720,D1722)</f>
        <v>22.7</v>
      </c>
      <c r="L106" s="2"/>
    </row>
    <row r="107" spans="2:12" ht="15" thickBot="1">
      <c r="B107" s="2"/>
      <c r="F107" s="1"/>
      <c r="L107" s="2"/>
    </row>
    <row r="108" spans="2:12" ht="15" thickBot="1">
      <c r="B108" s="2"/>
      <c r="D108" s="5" t="s">
        <v>508</v>
      </c>
      <c r="E108" s="279" t="s">
        <v>346</v>
      </c>
      <c r="F108" s="179" t="s">
        <v>511</v>
      </c>
      <c r="L108" s="2"/>
    </row>
    <row r="109" spans="2:12" ht="15" thickBot="1">
      <c r="B109" s="2"/>
      <c r="F109" s="1"/>
      <c r="L109" s="2"/>
    </row>
    <row r="110" spans="2:12" ht="15.5" customHeight="1" thickBot="1">
      <c r="B110" s="2"/>
      <c r="D110" s="5" t="s">
        <v>560</v>
      </c>
      <c r="E110" s="279" t="s">
        <v>346</v>
      </c>
      <c r="F110" s="179" cm="1">
        <f t="array" ref="F110">_xlfn.IFS(E110=D1719,_xlfn.IFS(F108=F1256,G1256,F108=F1257,G1257),E110=D1720,D1722)</f>
        <v>0.9</v>
      </c>
      <c r="L110" s="2"/>
    </row>
    <row r="111" spans="2:12" ht="15.5" customHeight="1" thickBot="1">
      <c r="B111" s="2"/>
      <c r="F111" s="1"/>
      <c r="L111" s="2"/>
    </row>
    <row r="112" spans="2:12" ht="15" thickBot="1">
      <c r="B112" s="2"/>
      <c r="D112" s="5" t="s">
        <v>1651</v>
      </c>
      <c r="E112" s="279" t="s">
        <v>346</v>
      </c>
      <c r="F112" s="179" cm="1">
        <f t="array" ref="F112">_xlfn.IFS(E112=D1719,22.7,E112=D1720,D1722)</f>
        <v>22.7</v>
      </c>
      <c r="L112" s="2"/>
    </row>
    <row r="113" spans="2:12" ht="15" thickBot="1">
      <c r="B113" s="2"/>
      <c r="F113" s="1"/>
      <c r="L113" s="2"/>
    </row>
    <row r="114" spans="2:12" ht="15" thickBot="1">
      <c r="B114" s="2"/>
      <c r="D114" s="5" t="s">
        <v>990</v>
      </c>
      <c r="E114" s="279" t="s">
        <v>346</v>
      </c>
      <c r="F114" s="179">
        <v>35.549999999999997</v>
      </c>
      <c r="L114" s="2"/>
    </row>
    <row r="115" spans="2:12">
      <c r="B115" s="2"/>
      <c r="L115" s="2"/>
    </row>
    <row r="116" spans="2:12">
      <c r="B116" s="2"/>
      <c r="L116" s="2"/>
    </row>
    <row r="117" spans="2:12">
      <c r="B117" s="2"/>
      <c r="D117" s="16" t="s">
        <v>1659</v>
      </c>
      <c r="E117" s="16"/>
      <c r="F117" s="16"/>
      <c r="L117" s="2"/>
    </row>
    <row r="118" spans="2:12">
      <c r="B118" s="2"/>
      <c r="D118" s="16" t="s">
        <v>163</v>
      </c>
      <c r="E118" s="16" t="s">
        <v>169</v>
      </c>
      <c r="L118" s="2"/>
    </row>
    <row r="119" spans="2:12" ht="15" thickBot="1">
      <c r="B119" s="2"/>
      <c r="D119" s="16"/>
      <c r="E119" s="16"/>
      <c r="L119" s="2"/>
    </row>
    <row r="120" spans="2:12" ht="15" thickBot="1">
      <c r="B120" s="2"/>
      <c r="D120" s="5" t="s">
        <v>161</v>
      </c>
      <c r="E120" s="182">
        <v>0.13900000000000001</v>
      </c>
      <c r="L120" s="2"/>
    </row>
    <row r="121" spans="2:12" ht="15" thickBot="1">
      <c r="B121" s="2"/>
      <c r="E121" s="89"/>
      <c r="L121" s="2"/>
    </row>
    <row r="122" spans="2:12" ht="15" thickBot="1">
      <c r="B122" s="2"/>
      <c r="D122" s="5" t="s">
        <v>162</v>
      </c>
      <c r="E122" s="182">
        <v>7.4999999999999997E-2</v>
      </c>
      <c r="L122" s="2"/>
    </row>
    <row r="123" spans="2:12" ht="15" thickBot="1">
      <c r="B123" s="2"/>
      <c r="E123" s="89"/>
      <c r="L123" s="2"/>
    </row>
    <row r="124" spans="2:12" ht="15" thickBot="1">
      <c r="B124" s="2"/>
      <c r="D124" s="5" t="s">
        <v>164</v>
      </c>
      <c r="E124" s="182">
        <v>0.48599999999999999</v>
      </c>
      <c r="L124" s="2"/>
    </row>
    <row r="125" spans="2:12" ht="15" thickBot="1">
      <c r="B125" s="2"/>
      <c r="E125" s="89"/>
      <c r="L125" s="2"/>
    </row>
    <row r="126" spans="2:12" ht="15" thickBot="1">
      <c r="B126" s="2"/>
      <c r="D126" s="5" t="s">
        <v>514</v>
      </c>
      <c r="E126" s="182">
        <v>1.7999999999999999E-2</v>
      </c>
      <c r="L126" s="2"/>
    </row>
    <row r="127" spans="2:12" ht="15" thickBot="1">
      <c r="B127" s="2"/>
      <c r="E127" s="89"/>
      <c r="L127" s="2"/>
    </row>
    <row r="128" spans="2:12" ht="15" thickBot="1">
      <c r="B128" s="2"/>
      <c r="D128" s="5" t="s">
        <v>168</v>
      </c>
      <c r="E128" s="182">
        <v>1.4999999999999999E-2</v>
      </c>
      <c r="L128" s="2"/>
    </row>
    <row r="129" spans="2:12" ht="15" thickBot="1">
      <c r="B129" s="2"/>
      <c r="E129" s="89"/>
      <c r="L129" s="2"/>
    </row>
    <row r="130" spans="2:12" ht="15" thickBot="1">
      <c r="B130" s="2"/>
      <c r="D130" s="5" t="s">
        <v>1473</v>
      </c>
      <c r="E130" s="182">
        <v>0.17399999999999999</v>
      </c>
      <c r="L130" s="2"/>
    </row>
    <row r="131" spans="2:12" ht="15" thickBot="1">
      <c r="B131" s="2"/>
      <c r="E131" s="89"/>
      <c r="L131" s="2"/>
    </row>
    <row r="132" spans="2:12" ht="15" thickBot="1">
      <c r="B132" s="2"/>
      <c r="D132" s="5" t="s">
        <v>1462</v>
      </c>
      <c r="E132" s="182">
        <v>0</v>
      </c>
      <c r="L132" s="2"/>
    </row>
    <row r="133" spans="2:12" ht="15" thickBot="1">
      <c r="B133" s="2"/>
      <c r="E133" s="89"/>
      <c r="L133" s="2"/>
    </row>
    <row r="134" spans="2:12" ht="15" thickBot="1">
      <c r="B134" s="2"/>
      <c r="D134" s="5" t="s">
        <v>166</v>
      </c>
      <c r="E134" s="182">
        <v>0.01</v>
      </c>
      <c r="L134" s="2"/>
    </row>
    <row r="135" spans="2:12" ht="15" thickBot="1">
      <c r="B135" s="2"/>
      <c r="E135" s="89"/>
      <c r="L135" s="2"/>
    </row>
    <row r="136" spans="2:12" ht="15" thickBot="1">
      <c r="B136" s="2"/>
      <c r="D136" s="5" t="s">
        <v>167</v>
      </c>
      <c r="E136" s="182">
        <v>1.2999999999999999E-2</v>
      </c>
      <c r="L136" s="2"/>
    </row>
    <row r="137" spans="2:12" ht="15" thickBot="1">
      <c r="B137" s="2"/>
      <c r="E137" s="89"/>
      <c r="L137" s="2"/>
    </row>
    <row r="138" spans="2:12" ht="15" thickBot="1">
      <c r="B138" s="2"/>
      <c r="D138" s="5" t="s">
        <v>515</v>
      </c>
      <c r="E138" s="182">
        <v>0.02</v>
      </c>
      <c r="L138" s="2"/>
    </row>
    <row r="139" spans="2:12" ht="15" thickBot="1">
      <c r="B139" s="2"/>
      <c r="E139" s="89"/>
      <c r="L139" s="2"/>
    </row>
    <row r="140" spans="2:12" ht="15" thickBot="1">
      <c r="B140" s="2"/>
      <c r="D140" s="5" t="s">
        <v>170</v>
      </c>
      <c r="E140" s="182">
        <v>2.1000000000000001E-2</v>
      </c>
      <c r="L140" s="2"/>
    </row>
    <row r="141" spans="2:12" ht="15" thickBot="1">
      <c r="B141" s="2"/>
      <c r="E141" s="89"/>
      <c r="L141" s="2"/>
    </row>
    <row r="142" spans="2:12" ht="15" thickBot="1">
      <c r="B142" s="2"/>
      <c r="D142" s="5" t="s">
        <v>517</v>
      </c>
      <c r="E142" s="182">
        <f>SUMIF(I1285:I1295,D1261,E120:E140)</f>
        <v>0.20699999999999999</v>
      </c>
      <c r="L142" s="2"/>
    </row>
    <row r="143" spans="2:12">
      <c r="B143" s="2"/>
      <c r="E143" s="96"/>
      <c r="L143" s="2"/>
    </row>
    <row r="144" spans="2:12">
      <c r="B144" s="2"/>
      <c r="E144" s="96"/>
      <c r="L144" s="2"/>
    </row>
    <row r="145" spans="2:12">
      <c r="B145" s="2"/>
      <c r="D145" s="16"/>
      <c r="E145" s="16"/>
      <c r="L145" s="2"/>
    </row>
    <row r="146" spans="2:12">
      <c r="B146" s="2"/>
      <c r="D146" s="16" t="s">
        <v>1660</v>
      </c>
      <c r="E146" s="16"/>
      <c r="L146" s="2"/>
    </row>
    <row r="147" spans="2:12">
      <c r="B147" s="2"/>
      <c r="D147" s="16" t="s">
        <v>163</v>
      </c>
      <c r="E147" s="16" t="s">
        <v>169</v>
      </c>
      <c r="L147" s="2"/>
    </row>
    <row r="148" spans="2:12" ht="15" thickBot="1">
      <c r="B148" s="2"/>
      <c r="D148" s="16"/>
      <c r="E148" s="16"/>
      <c r="L148" s="2"/>
    </row>
    <row r="149" spans="2:12" ht="15" thickBot="1">
      <c r="B149" s="2"/>
      <c r="D149" s="5" t="s">
        <v>161</v>
      </c>
      <c r="E149" s="177">
        <v>0</v>
      </c>
      <c r="L149" s="2"/>
    </row>
    <row r="150" spans="2:12" ht="15" thickBot="1">
      <c r="B150" s="2"/>
      <c r="E150" s="85"/>
      <c r="L150" s="2"/>
    </row>
    <row r="151" spans="2:12" ht="15" thickBot="1">
      <c r="B151" s="2"/>
      <c r="D151" s="5" t="s">
        <v>162</v>
      </c>
      <c r="E151" s="177">
        <v>0</v>
      </c>
      <c r="L151" s="2"/>
    </row>
    <row r="152" spans="2:12" ht="15" thickBot="1">
      <c r="B152" s="2"/>
      <c r="E152" s="85"/>
      <c r="L152" s="2"/>
    </row>
    <row r="153" spans="2:12" ht="15" thickBot="1">
      <c r="B153" s="2"/>
      <c r="D153" s="5" t="s">
        <v>164</v>
      </c>
      <c r="E153" s="177">
        <f>D1270/D1281</f>
        <v>0.18272210636302041</v>
      </c>
      <c r="L153" s="2"/>
    </row>
    <row r="154" spans="2:12" ht="15" thickBot="1">
      <c r="B154" s="2"/>
      <c r="E154" s="85"/>
      <c r="L154" s="2"/>
    </row>
    <row r="155" spans="2:12" ht="15" thickBot="1">
      <c r="B155" s="2"/>
      <c r="D155" s="5" t="s">
        <v>514</v>
      </c>
      <c r="E155" s="177">
        <f>D1271/D1281</f>
        <v>1.7277893636979638E-2</v>
      </c>
      <c r="L155" s="2"/>
    </row>
    <row r="156" spans="2:12" ht="15" thickBot="1">
      <c r="B156" s="2"/>
      <c r="E156" s="85"/>
      <c r="L156" s="2"/>
    </row>
    <row r="157" spans="2:12" ht="15" thickBot="1">
      <c r="B157" s="2"/>
      <c r="D157" s="5" t="s">
        <v>168</v>
      </c>
      <c r="E157" s="177">
        <v>0</v>
      </c>
      <c r="L157" s="2"/>
    </row>
    <row r="158" spans="2:12" ht="15" thickBot="1">
      <c r="B158" s="2"/>
      <c r="E158" s="85"/>
      <c r="L158" s="2"/>
    </row>
    <row r="159" spans="2:12" ht="15" thickBot="1">
      <c r="B159" s="2"/>
      <c r="D159" s="5" t="s">
        <v>1473</v>
      </c>
      <c r="E159" s="177">
        <f>D1273/D1281</f>
        <v>0.32832519425345935</v>
      </c>
      <c r="L159" s="2"/>
    </row>
    <row r="160" spans="2:12" ht="15" thickBot="1">
      <c r="B160" s="2"/>
      <c r="E160" s="85"/>
      <c r="L160" s="2"/>
    </row>
    <row r="161" spans="2:12" ht="15" thickBot="1">
      <c r="B161" s="2"/>
      <c r="D161" s="5" t="s">
        <v>1462</v>
      </c>
      <c r="E161" s="177">
        <f>D1274/D1281</f>
        <v>0.29404603125190087</v>
      </c>
      <c r="L161" s="2"/>
    </row>
    <row r="162" spans="2:12" ht="15" thickBot="1">
      <c r="B162" s="2"/>
      <c r="E162" s="85"/>
      <c r="L162" s="2"/>
    </row>
    <row r="163" spans="2:12" ht="15" thickBot="1">
      <c r="B163" s="2"/>
      <c r="D163" s="5" t="s">
        <v>166</v>
      </c>
      <c r="E163" s="177">
        <f>D1275/D1281</f>
        <v>0.12579509358370089</v>
      </c>
      <c r="L163" s="2"/>
    </row>
    <row r="164" spans="2:12" ht="15" thickBot="1">
      <c r="B164" s="2"/>
      <c r="E164" s="85"/>
      <c r="L164" s="2"/>
    </row>
    <row r="165" spans="2:12" ht="15" thickBot="1">
      <c r="B165" s="2"/>
      <c r="D165" s="5" t="s">
        <v>167</v>
      </c>
      <c r="E165" s="177">
        <f>D1276/D1281</f>
        <v>1.2478478737818629E-2</v>
      </c>
      <c r="L165" s="2"/>
    </row>
    <row r="166" spans="2:12" ht="15" thickBot="1">
      <c r="B166" s="2"/>
      <c r="E166" s="85"/>
      <c r="L166" s="2"/>
    </row>
    <row r="167" spans="2:12" ht="15" thickBot="1">
      <c r="B167" s="2"/>
      <c r="D167" s="5" t="s">
        <v>515</v>
      </c>
      <c r="E167" s="177">
        <f>D1277/D1281</f>
        <v>1.9197659596644046E-2</v>
      </c>
      <c r="L167" s="2"/>
    </row>
    <row r="168" spans="2:12" ht="15" thickBot="1">
      <c r="B168" s="2"/>
      <c r="E168" s="85"/>
      <c r="L168" s="2"/>
    </row>
    <row r="169" spans="2:12" ht="15" thickBot="1">
      <c r="B169" s="2"/>
      <c r="D169" s="5" t="s">
        <v>170</v>
      </c>
      <c r="E169" s="177">
        <f>D1278/D1281</f>
        <v>2.0157542576476249E-2</v>
      </c>
      <c r="L169" s="2"/>
    </row>
    <row r="170" spans="2:12" ht="15" thickBot="1">
      <c r="B170" s="2"/>
      <c r="E170" s="85"/>
      <c r="L170" s="2"/>
    </row>
    <row r="171" spans="2:12" ht="15" thickBot="1">
      <c r="B171" s="2"/>
      <c r="D171" s="5" t="s">
        <v>517</v>
      </c>
      <c r="E171" s="177">
        <v>0.8</v>
      </c>
      <c r="L171" s="2"/>
    </row>
    <row r="172" spans="2:12">
      <c r="B172" s="2"/>
      <c r="E172" s="85"/>
      <c r="L172" s="2"/>
    </row>
    <row r="173" spans="2:12">
      <c r="B173" s="2"/>
      <c r="E173" s="96"/>
      <c r="L173" s="2"/>
    </row>
    <row r="174" spans="2:12" ht="21">
      <c r="B174" s="2"/>
      <c r="C174" s="314" t="s">
        <v>1680</v>
      </c>
      <c r="D174" s="314"/>
      <c r="E174" s="314"/>
      <c r="F174" s="314"/>
      <c r="G174" s="314"/>
      <c r="H174" s="314"/>
      <c r="I174" s="314"/>
      <c r="J174" s="314"/>
      <c r="K174" s="314"/>
      <c r="L174" s="2"/>
    </row>
    <row r="175" spans="2:12" ht="21">
      <c r="B175" s="2"/>
      <c r="D175" s="5" t="s">
        <v>1681</v>
      </c>
      <c r="E175" s="127"/>
      <c r="F175" s="127"/>
      <c r="G175" s="127"/>
      <c r="H175" s="127"/>
      <c r="I175" s="127"/>
      <c r="J175" s="127"/>
      <c r="L175" s="2"/>
    </row>
    <row r="176" spans="2:12">
      <c r="B176" s="2"/>
      <c r="L176" s="2"/>
    </row>
    <row r="177" spans="2:12" ht="15" thickBot="1">
      <c r="B177" s="2"/>
      <c r="D177" s="16" t="s">
        <v>1023</v>
      </c>
      <c r="E177" s="16" t="s">
        <v>124</v>
      </c>
      <c r="F177" s="16" t="s">
        <v>145</v>
      </c>
      <c r="G177" s="16" t="s">
        <v>125</v>
      </c>
      <c r="H177" s="16" t="s">
        <v>146</v>
      </c>
      <c r="I177" s="16" t="s">
        <v>126</v>
      </c>
      <c r="J177" s="16" t="s">
        <v>147</v>
      </c>
      <c r="L177" s="2"/>
    </row>
    <row r="178" spans="2:12" ht="44" thickBot="1">
      <c r="B178" s="2"/>
      <c r="D178" s="5" t="s">
        <v>711</v>
      </c>
      <c r="E178" s="184" t="s">
        <v>134</v>
      </c>
      <c r="F178" s="176" cm="1">
        <f t="array" ref="F178">_xlfn.IFS(E178=$BG$786,$BJ$786,E178=$BG$787,$BJ$787,E178=$BG$788,$BJ$788,E178=$BG$789,$BJ$789,E178=$BG$790,$BJ$790,E178=$BG$791,$BJ$791,E178=$BG$792,$BJ$792)</f>
        <v>0.7</v>
      </c>
      <c r="G178" s="184" t="s">
        <v>142</v>
      </c>
      <c r="H178" s="176" cm="1">
        <f t="array" ref="H178">_xlfn.IFS(G178=$BG$799,$BJ$799,G178=$BG$800,$BJ$800,G178=$BG$801,$BJ$801,G178=$BG$802,$BJ$802,G178=$BG$803,$BJ$803,G178=$BG$804,$BJ$804,G178=$BG$805,$BJ$805)</f>
        <v>1.4</v>
      </c>
      <c r="I178" s="184" t="s">
        <v>137</v>
      </c>
      <c r="J178" s="180" cm="1">
        <f t="array" ref="J178">_xlfn.IFS(I178=$BG$794,$BJ$794,I178=$BG$795,$BJ$795,I178=$BG$796,$BJ$796,I178=$BG$797,$BJ$797)</f>
        <v>2.85</v>
      </c>
      <c r="L178" s="2"/>
    </row>
    <row r="179" spans="2:12" ht="15" thickBot="1">
      <c r="B179" s="2"/>
      <c r="L179" s="2"/>
    </row>
    <row r="180" spans="2:12" ht="44" thickBot="1">
      <c r="B180" s="2"/>
      <c r="D180" s="5" t="s">
        <v>25</v>
      </c>
      <c r="E180" s="184" t="s">
        <v>134</v>
      </c>
      <c r="F180" s="176" cm="1">
        <f t="array" ref="F180">_xlfn.IFS(E180=$BG$786,$BJ$786,E180=$BG$787,$BJ$787,E180=$BG$788,$BJ$788,E180=$BG$789,$BJ$789,E180=$BG$790,$BJ$790,E180=$BG$791,$BJ$791,E180=$BG$792,$BJ$792)</f>
        <v>0.7</v>
      </c>
      <c r="G180" s="184" t="s">
        <v>142</v>
      </c>
      <c r="H180" s="176" cm="1">
        <f t="array" ref="H180">_xlfn.IFS(G180=$BG$799,$BJ$799,G180=$BG$800,$BJ$800,G180=$BG$801,$BJ$801,G180=$BG$802,$BJ$802,G180=$BG$803,$BJ$803,G180=$BG$804,$BJ$804,G180=$BG$805,$BJ$805)</f>
        <v>1.4</v>
      </c>
      <c r="I180" s="184" t="s">
        <v>137</v>
      </c>
      <c r="J180" s="180" cm="1">
        <f t="array" ref="J180">_xlfn.IFS(I180=$BG$794,$BJ$794,I180=$BG$795,$BJ$795,I180=$BG$796,$BJ$796,I180=$BG$797,$BJ$797)</f>
        <v>2.85</v>
      </c>
      <c r="L180" s="2"/>
    </row>
    <row r="181" spans="2:12" ht="15" thickBot="1">
      <c r="B181" s="2"/>
      <c r="L181" s="2"/>
    </row>
    <row r="182" spans="2:12" ht="44" thickBot="1">
      <c r="B182" s="2"/>
      <c r="D182" s="5" t="s">
        <v>13</v>
      </c>
      <c r="E182" s="184" t="s">
        <v>134</v>
      </c>
      <c r="F182" s="176" cm="1">
        <f t="array" ref="F182">_xlfn.IFS(E182=$BG$786,$BJ$786,E182=$BG$787,$BJ$787,E182=$BG$788,$BJ$788,E182=$BG$789,$BJ$789,E182=$BG$790,$BJ$790,E182=$BG$791,$BJ$791,E182=$BG$792,$BJ$792)</f>
        <v>0.7</v>
      </c>
      <c r="G182" s="184" t="s">
        <v>142</v>
      </c>
      <c r="H182" s="176" cm="1">
        <f t="array" ref="H182">_xlfn.IFS(G182=$BG$799,$BJ$799,G182=$BG$800,$BJ$800,G182=$BG$801,$BJ$801,G182=$BG$802,$BJ$802,G182=$BG$803,$BJ$803,G182=$BG$804,$BJ$804,G182=$BG$805,$BJ$805)</f>
        <v>1.4</v>
      </c>
      <c r="I182" s="184" t="s">
        <v>137</v>
      </c>
      <c r="J182" s="180" cm="1">
        <f t="array" ref="J182">_xlfn.IFS(I182=$BG$794,$BJ$794,I182=$BG$795,$BJ$795,I182=$BG$796,$BJ$796,I182=$BG$797,$BJ$797)</f>
        <v>2.85</v>
      </c>
      <c r="L182" s="2"/>
    </row>
    <row r="183" spans="2:12" ht="15" thickBot="1">
      <c r="B183" s="2"/>
      <c r="I183" s="97"/>
      <c r="L183" s="2"/>
    </row>
    <row r="184" spans="2:12" ht="44" thickBot="1">
      <c r="B184" s="2"/>
      <c r="D184" s="5" t="s">
        <v>935</v>
      </c>
      <c r="E184" s="184" t="s">
        <v>134</v>
      </c>
      <c r="F184" s="176" cm="1">
        <f t="array" ref="F184">_xlfn.IFS(E184=$BG$786,$BJ$786,E184=$BG$787,$BJ$787,E184=$BG$788,$BJ$788,E184=$BG$789,$BJ$789,E184=$BG$790,$BJ$790,E184=$BG$791,$BJ$791,E184=$BG$792,$BJ$792)</f>
        <v>0.7</v>
      </c>
      <c r="G184" s="184" t="s">
        <v>142</v>
      </c>
      <c r="H184" s="176" cm="1">
        <f t="array" ref="H184">_xlfn.IFS(G184=$BG$799,$BJ$799,G184=$BG$800,$BJ$800,G184=$BG$801,$BJ$801,G184=$BG$802,$BJ$802,G184=$BG$803,$BJ$803,G184=$BG$804,$BJ$804,G184=$BG$805,$BJ$805)</f>
        <v>1.4</v>
      </c>
      <c r="I184" s="184" t="s">
        <v>137</v>
      </c>
      <c r="J184" s="180" cm="1">
        <f t="array" ref="J184">_xlfn.IFS(I184=$BG$794,$BJ$794,I184=$BG$795,$BJ$795,I184=$BG$796,$BJ$796,I184=$BG$797,$BJ$797)</f>
        <v>2.85</v>
      </c>
      <c r="L184" s="2"/>
    </row>
    <row r="185" spans="2:12" ht="15" thickBot="1">
      <c r="B185" s="2"/>
      <c r="E185" s="97"/>
      <c r="G185" s="97"/>
      <c r="I185" s="97"/>
      <c r="J185" s="86"/>
      <c r="L185" s="2"/>
    </row>
    <row r="186" spans="2:12" ht="44" thickBot="1">
      <c r="B186" s="2"/>
      <c r="D186" s="5" t="s">
        <v>650</v>
      </c>
      <c r="E186" s="184" t="s">
        <v>134</v>
      </c>
      <c r="F186" s="176" cm="1">
        <f t="array" ref="F186">_xlfn.IFS(E186=$BG$786,$BJ$786,E186=$BG$787,$BJ$787,E186=$BG$788,$BJ$788,E186=$BG$789,$BJ$789,E186=$BG$790,$BJ$790,E186=$BG$791,$BJ$791,E186=$BG$792,$BJ$792)</f>
        <v>0.7</v>
      </c>
      <c r="G186" s="184" t="s">
        <v>142</v>
      </c>
      <c r="H186" s="176" cm="1">
        <f t="array" ref="H186">_xlfn.IFS(G186=$BG$799,$BJ$799,G186=$BG$800,$BJ$800,G186=$BG$801,$BJ$801,G186=$BG$802,$BJ$802,G186=$BG$803,$BJ$803,G186=$BG$804,$BJ$804,G186=$BG$805,$BJ$805)</f>
        <v>1.4</v>
      </c>
      <c r="I186" s="184" t="s">
        <v>137</v>
      </c>
      <c r="J186" s="180" cm="1">
        <f t="array" ref="J186">_xlfn.IFS(I186=$BG$794,$BJ$794,I186=$BG$795,$BJ$795,I186=$BG$796,$BJ$796,I186=$BG$797,$BJ$797)</f>
        <v>2.85</v>
      </c>
      <c r="L186" s="2"/>
    </row>
    <row r="187" spans="2:12" ht="15" thickBot="1">
      <c r="B187" s="2"/>
      <c r="L187" s="2"/>
    </row>
    <row r="188" spans="2:12" ht="44" thickBot="1">
      <c r="B188" s="2"/>
      <c r="D188" s="5" t="s">
        <v>1002</v>
      </c>
      <c r="E188" s="184" t="s">
        <v>132</v>
      </c>
      <c r="F188" s="176" cm="1">
        <f t="array" ref="F188">_xlfn.IFS(E178=$BG$786,$BJ$786,E178=$BG$787,$BJ$787,E178=$BG$788,$BJ$788,E178=$BG$789,$BJ$789,E178=$BG$790,$BJ$790,E178=$BG$791,$BJ$791,E178=$BG$792,$BJ$792)</f>
        <v>0.7</v>
      </c>
      <c r="G188" s="184" t="s">
        <v>142</v>
      </c>
      <c r="H188" s="176" cm="1">
        <f t="array" ref="H188">_xlfn.IFS(G188=$BG$799,$BJ$799,G188=$BG$800,$BJ$800,G188=$BG$801,$BJ$801,G188=$BG$802,$BJ$802,G188=$BG$803,$BJ$803,G188=$BG$804,$BJ$804,G188=$BG$805,$BJ$805)</f>
        <v>1.4</v>
      </c>
      <c r="I188" s="184" t="s">
        <v>137</v>
      </c>
      <c r="J188" s="180" cm="1">
        <f t="array" ref="J188">_xlfn.IFS(I188=$BG$794,$BJ$794,I188=$BG$795,$BJ$795,I188=$BG$796,$BJ$796,I188=$BG$797,$BJ$797)</f>
        <v>2.85</v>
      </c>
      <c r="L188" s="2"/>
    </row>
    <row r="189" spans="2:12">
      <c r="B189" s="2"/>
      <c r="E189" s="97"/>
      <c r="G189" s="97"/>
      <c r="I189" s="97"/>
      <c r="J189" s="86"/>
      <c r="L189" s="2"/>
    </row>
    <row r="190" spans="2:12" ht="21">
      <c r="B190" s="2"/>
      <c r="C190" s="314" t="s">
        <v>1682</v>
      </c>
      <c r="D190" s="314"/>
      <c r="E190" s="314"/>
      <c r="F190" s="314"/>
      <c r="G190" s="314"/>
      <c r="H190" s="314"/>
      <c r="I190" s="314"/>
      <c r="J190" s="314"/>
      <c r="K190" s="314"/>
      <c r="L190" s="2"/>
    </row>
    <row r="191" spans="2:12">
      <c r="B191" s="2"/>
      <c r="D191" s="5" t="s">
        <v>1683</v>
      </c>
      <c r="L191" s="2"/>
    </row>
    <row r="192" spans="2:12">
      <c r="B192" s="2"/>
      <c r="L192" s="2"/>
    </row>
    <row r="193" spans="2:12">
      <c r="B193" s="2"/>
      <c r="D193" s="16" t="s">
        <v>1677</v>
      </c>
      <c r="E193" s="16" t="s">
        <v>1653</v>
      </c>
      <c r="F193" s="16" t="s">
        <v>677</v>
      </c>
      <c r="G193" s="16" t="s">
        <v>1609</v>
      </c>
      <c r="L193" s="2"/>
    </row>
    <row r="194" spans="2:12" ht="15" thickBot="1">
      <c r="B194" s="2"/>
      <c r="L194" s="2"/>
    </row>
    <row r="195" spans="2:12" ht="15" thickBot="1">
      <c r="B195" s="2"/>
      <c r="D195" s="5" t="s">
        <v>651</v>
      </c>
      <c r="E195" s="176" t="s">
        <v>346</v>
      </c>
      <c r="F195" s="176" cm="1">
        <f t="array" ref="F195">_xlfn.IFS(E195=$D$1719,L1529,E195=$D$1720,$D$1722)</f>
        <v>5</v>
      </c>
      <c r="G195" s="176" t="str" cm="1">
        <f t="array" ref="G195">_xlfn.IFS(E195="Default","See Production Costs Results Sheet", E195="User Defined", "Enter Value")</f>
        <v>See Production Costs Results Sheet</v>
      </c>
      <c r="L195" s="2"/>
    </row>
    <row r="196" spans="2:12" ht="15" thickBot="1">
      <c r="B196" s="2"/>
      <c r="L196" s="2"/>
    </row>
    <row r="197" spans="2:12" ht="15" thickBot="1">
      <c r="B197" s="2"/>
      <c r="D197" s="5" t="s">
        <v>652</v>
      </c>
      <c r="E197" s="176" t="s">
        <v>346</v>
      </c>
      <c r="F197" s="279" cm="1">
        <f t="array" ref="F197">_xlfn.IFS(E197=$D$1719,L1530,E197=$D$1720,$D$1722)</f>
        <v>1</v>
      </c>
      <c r="G197" s="176" t="str" cm="1">
        <f t="array" ref="G197">_xlfn.IFS(E197="Default","See Production Costs Results Sheet", E197="User Defined", "Enter Value")</f>
        <v>See Production Costs Results Sheet</v>
      </c>
      <c r="L197" s="2"/>
    </row>
    <row r="198" spans="2:12" ht="15" thickBot="1">
      <c r="B198" s="2"/>
      <c r="G198"/>
      <c r="L198" s="2"/>
    </row>
    <row r="199" spans="2:12" ht="15" thickBot="1">
      <c r="B199" s="2"/>
      <c r="D199" s="5" t="s">
        <v>653</v>
      </c>
      <c r="E199" s="176" t="s">
        <v>346</v>
      </c>
      <c r="F199" s="279" cm="1">
        <f t="array" ref="F199">_xlfn.IFS(E199=$D$1719,L1531,E199=$D$1720,$D$1722)</f>
        <v>1</v>
      </c>
      <c r="G199" s="176" t="str" cm="1">
        <f t="array" ref="G199">_xlfn.IFS(E199="Default","See Production Costs Results Sheet", E199="User Defined", "Enter Value")</f>
        <v>See Production Costs Results Sheet</v>
      </c>
      <c r="L199" s="2"/>
    </row>
    <row r="200" spans="2:12" ht="15" thickBot="1">
      <c r="B200" s="2"/>
      <c r="G200"/>
      <c r="L200" s="2"/>
    </row>
    <row r="201" spans="2:12" ht="15" thickBot="1">
      <c r="B201" s="2"/>
      <c r="D201" s="5" t="s">
        <v>654</v>
      </c>
      <c r="E201" s="176" t="s">
        <v>346</v>
      </c>
      <c r="F201" s="279" cm="1">
        <f t="array" ref="F201">_xlfn.IFS(E201=$D$1719,L1532,E201=$D$1720,$D$1722)</f>
        <v>1</v>
      </c>
      <c r="G201" s="176" t="str" cm="1">
        <f t="array" ref="G201">_xlfn.IFS(E201="Default","See Production Costs Results Sheet", E201="User Defined", "Enter Value")</f>
        <v>See Production Costs Results Sheet</v>
      </c>
      <c r="L201" s="2"/>
    </row>
    <row r="202" spans="2:12" ht="15" thickBot="1">
      <c r="B202" s="2"/>
      <c r="G202"/>
      <c r="L202" s="2"/>
    </row>
    <row r="203" spans="2:12" ht="15" thickBot="1">
      <c r="B203" s="2"/>
      <c r="D203" s="5" t="s">
        <v>655</v>
      </c>
      <c r="E203" s="176" t="s">
        <v>346</v>
      </c>
      <c r="F203" s="279" cm="1">
        <f t="array" ref="F203">_xlfn.IFS(E203=$D$1719,L1533,E203=$D$1720,$D$1722)</f>
        <v>1</v>
      </c>
      <c r="G203" s="176" t="str" cm="1">
        <f t="array" ref="G203">_xlfn.IFS(E203="Default","See Production Costs Results Sheet", E203="User Defined", "Enter Value")</f>
        <v>See Production Costs Results Sheet</v>
      </c>
      <c r="L203" s="2"/>
    </row>
    <row r="204" spans="2:12" ht="15" thickBot="1">
      <c r="B204" s="2"/>
      <c r="G204"/>
      <c r="L204" s="2"/>
    </row>
    <row r="205" spans="2:12" ht="15" thickBot="1">
      <c r="B205" s="2"/>
      <c r="D205" s="5" t="s">
        <v>656</v>
      </c>
      <c r="E205" s="176" t="s">
        <v>346</v>
      </c>
      <c r="F205" s="279" cm="1">
        <f t="array" ref="F205">_xlfn.IFS(E205=$D$1719,L1534,E205=$D$1720,$D$1722)</f>
        <v>1</v>
      </c>
      <c r="G205" s="176" t="str" cm="1">
        <f t="array" ref="G205">_xlfn.IFS(E205="Default","See Production Costs Results Sheet", E205="User Defined", "Enter Value")</f>
        <v>See Production Costs Results Sheet</v>
      </c>
      <c r="L205" s="2"/>
    </row>
    <row r="206" spans="2:12" ht="15" thickBot="1">
      <c r="B206" s="2"/>
      <c r="G206"/>
      <c r="L206" s="2"/>
    </row>
    <row r="207" spans="2:12" ht="15" thickBot="1">
      <c r="B207" s="2"/>
      <c r="D207" s="5" t="s">
        <v>657</v>
      </c>
      <c r="E207" s="176" t="s">
        <v>346</v>
      </c>
      <c r="F207" s="279" cm="1">
        <f t="array" ref="F207">_xlfn.IFS(E207=$D$1719,L1535,E207=$D$1720,$D$1722)</f>
        <v>1</v>
      </c>
      <c r="G207" s="176" t="str" cm="1">
        <f t="array" ref="G207">_xlfn.IFS(E207="Default","See Production Costs Results Sheet", E207="User Defined", "Enter Value")</f>
        <v>See Production Costs Results Sheet</v>
      </c>
      <c r="L207" s="2"/>
    </row>
    <row r="208" spans="2:12" ht="15" thickBot="1">
      <c r="B208" s="2"/>
      <c r="G208"/>
      <c r="L208" s="2"/>
    </row>
    <row r="209" spans="2:12" ht="15" thickBot="1">
      <c r="B209" s="2"/>
      <c r="D209" s="5" t="s">
        <v>673</v>
      </c>
      <c r="E209" s="176" t="s">
        <v>346</v>
      </c>
      <c r="F209" s="279" cm="1">
        <f t="array" ref="F209">_xlfn.IFS(E209=$D$1719,L1536,E209=$D$1720,$D$1722)</f>
        <v>1</v>
      </c>
      <c r="G209" s="176" t="str" cm="1">
        <f t="array" ref="G209">_xlfn.IFS(E209="Default","See Production Costs Results Sheet", E209="User Defined", "Enter Value")</f>
        <v>See Production Costs Results Sheet</v>
      </c>
      <c r="L209" s="2"/>
    </row>
    <row r="210" spans="2:12" ht="15" thickBot="1">
      <c r="B210" s="2"/>
      <c r="G210"/>
      <c r="L210" s="2"/>
    </row>
    <row r="211" spans="2:12" ht="15" thickBot="1">
      <c r="B211" s="2"/>
      <c r="D211" s="5" t="s">
        <v>674</v>
      </c>
      <c r="E211" s="176" t="s">
        <v>346</v>
      </c>
      <c r="F211" s="279" cm="1">
        <f t="array" ref="F211">_xlfn.IFS(E211=$D$1719,L1537,E211=$D$1720,$D$1722)</f>
        <v>2</v>
      </c>
      <c r="G211" s="176" t="str" cm="1">
        <f t="array" ref="G211">_xlfn.IFS(E211="Default","See Production Costs Results Sheet", E211="User Defined", "Enter Value")</f>
        <v>See Production Costs Results Sheet</v>
      </c>
      <c r="L211" s="2"/>
    </row>
    <row r="212" spans="2:12" ht="15" thickBot="1">
      <c r="B212" s="2"/>
      <c r="G212"/>
      <c r="L212" s="2"/>
    </row>
    <row r="213" spans="2:12" ht="15" thickBot="1">
      <c r="B213" s="2"/>
      <c r="D213" s="5" t="s">
        <v>675</v>
      </c>
      <c r="E213" s="176" t="s">
        <v>346</v>
      </c>
      <c r="F213" s="279" cm="1">
        <f t="array" ref="F213">_xlfn.IFS(E213=$D$1719,L1538,E213=$D$1720,$D$1722)</f>
        <v>1</v>
      </c>
      <c r="G213" s="176" t="str" cm="1">
        <f t="array" ref="G213">_xlfn.IFS(E213="Default","See Production Costs Results Sheet", E213="User Defined", "Enter Value")</f>
        <v>See Production Costs Results Sheet</v>
      </c>
      <c r="L213" s="2"/>
    </row>
    <row r="214" spans="2:12" ht="15" thickBot="1">
      <c r="B214" s="2"/>
      <c r="G214"/>
      <c r="L214" s="2"/>
    </row>
    <row r="215" spans="2:12" ht="15" thickBot="1">
      <c r="B215" s="2"/>
      <c r="D215" s="5" t="s">
        <v>1438</v>
      </c>
      <c r="E215" s="176" t="s">
        <v>346</v>
      </c>
      <c r="F215" s="279" cm="1">
        <f t="array" ref="F215">_xlfn.IFS(E215=$D$1719,L1539,E215=$D$1720,$D$1722)</f>
        <v>1</v>
      </c>
      <c r="G215" s="176" t="str" cm="1">
        <f t="array" ref="G215">_xlfn.IFS(E215="Default","See Production Costs Results Sheet", E215="User Defined", "Enter Value")</f>
        <v>See Production Costs Results Sheet</v>
      </c>
      <c r="L215" s="2"/>
    </row>
    <row r="216" spans="2:12" ht="15" thickBot="1">
      <c r="B216" s="2"/>
      <c r="G216"/>
      <c r="L216" s="2"/>
    </row>
    <row r="217" spans="2:12" ht="15" thickBot="1">
      <c r="B217" s="2"/>
      <c r="D217" s="5" t="s">
        <v>679</v>
      </c>
      <c r="E217" s="176" t="s">
        <v>346</v>
      </c>
      <c r="F217" s="185" t="s">
        <v>81</v>
      </c>
      <c r="G217" s="176" t="str" cm="1">
        <f t="array" ref="G217">_xlfn.IFS(E217="Default","See Production Costs Results Sheet", E217="User Defined", "Enter Value")</f>
        <v>See Production Costs Results Sheet</v>
      </c>
      <c r="L217" s="2"/>
    </row>
    <row r="218" spans="2:12" ht="15" thickBot="1">
      <c r="B218" s="2"/>
      <c r="G218"/>
      <c r="L218" s="2"/>
    </row>
    <row r="219" spans="2:12" ht="15" thickBot="1">
      <c r="B219" s="2"/>
      <c r="D219" s="5" t="s">
        <v>680</v>
      </c>
      <c r="E219" s="176" t="s">
        <v>346</v>
      </c>
      <c r="F219" s="185" t="s">
        <v>81</v>
      </c>
      <c r="G219" s="176" t="str" cm="1">
        <f t="array" ref="G219">_xlfn.IFS(E219="Default","See Production Costs Results Sheet", E219="User Defined", "Enter Value")</f>
        <v>See Production Costs Results Sheet</v>
      </c>
      <c r="L219" s="2"/>
    </row>
    <row r="220" spans="2:12" ht="15" thickBot="1">
      <c r="B220" s="2"/>
      <c r="G220"/>
      <c r="L220" s="2"/>
    </row>
    <row r="221" spans="2:12" ht="15" thickBot="1">
      <c r="B221" s="2"/>
      <c r="D221" s="5" t="s">
        <v>681</v>
      </c>
      <c r="E221" s="176" t="s">
        <v>346</v>
      </c>
      <c r="F221" s="185" t="s">
        <v>81</v>
      </c>
      <c r="G221" s="176" t="str" cm="1">
        <f t="array" ref="G221">_xlfn.IFS(E221="Default","See Production Costs Results Sheet", E221="User Defined", "Enter Value")</f>
        <v>See Production Costs Results Sheet</v>
      </c>
      <c r="L221" s="2"/>
    </row>
    <row r="222" spans="2:12" ht="15" thickBot="1">
      <c r="B222" s="2"/>
      <c r="G222"/>
      <c r="L222" s="2"/>
    </row>
    <row r="223" spans="2:12" ht="15" thickBot="1">
      <c r="B223" s="2"/>
      <c r="D223" s="5" t="s">
        <v>682</v>
      </c>
      <c r="E223" s="176" t="s">
        <v>346</v>
      </c>
      <c r="F223" s="185" t="s">
        <v>81</v>
      </c>
      <c r="G223" s="176" t="str" cm="1">
        <f t="array" ref="G223">_xlfn.IFS(E223="Default","See Production Costs Results Sheet", E223="User Defined", "Enter Value")</f>
        <v>See Production Costs Results Sheet</v>
      </c>
      <c r="L223" s="2"/>
    </row>
    <row r="224" spans="2:12" ht="15" thickBot="1">
      <c r="B224" s="2"/>
      <c r="G224"/>
      <c r="L224" s="2"/>
    </row>
    <row r="225" spans="2:12" ht="15" thickBot="1">
      <c r="B225" s="2"/>
      <c r="D225" s="5" t="s">
        <v>683</v>
      </c>
      <c r="E225" s="176" t="s">
        <v>346</v>
      </c>
      <c r="F225" s="185" t="s">
        <v>81</v>
      </c>
      <c r="G225" s="176" t="str" cm="1">
        <f t="array" ref="G225">_xlfn.IFS(E225="Default","See Production Costs Results Sheet", E225="User Defined", "Enter Value")</f>
        <v>See Production Costs Results Sheet</v>
      </c>
      <c r="L225" s="2"/>
    </row>
    <row r="226" spans="2:12" ht="15" thickBot="1">
      <c r="B226" s="2"/>
      <c r="G226"/>
      <c r="L226" s="2"/>
    </row>
    <row r="227" spans="2:12" ht="15" thickBot="1">
      <c r="B227" s="2"/>
      <c r="D227" s="5" t="s">
        <v>684</v>
      </c>
      <c r="E227" s="176" t="s">
        <v>346</v>
      </c>
      <c r="F227" s="185" t="s">
        <v>81</v>
      </c>
      <c r="G227" s="176" t="str" cm="1">
        <f t="array" ref="G227">_xlfn.IFS(E227="Default","See Production Costs Results Sheet", E227="User Defined", "Enter Value")</f>
        <v>See Production Costs Results Sheet</v>
      </c>
      <c r="L227" s="2"/>
    </row>
    <row r="228" spans="2:12" ht="15" thickBot="1">
      <c r="B228" s="2"/>
      <c r="G228"/>
      <c r="L228" s="2"/>
    </row>
    <row r="229" spans="2:12" ht="15" thickBot="1">
      <c r="B229" s="2"/>
      <c r="D229" s="5" t="s">
        <v>688</v>
      </c>
      <c r="E229" s="176" t="s">
        <v>346</v>
      </c>
      <c r="F229" s="185" t="s">
        <v>81</v>
      </c>
      <c r="G229" s="176" t="str" cm="1">
        <f t="array" ref="G229">_xlfn.IFS(E229="Default","See Production Costs Results Sheet", E229="User Defined", "Enter Value")</f>
        <v>See Production Costs Results Sheet</v>
      </c>
      <c r="L229" s="2"/>
    </row>
    <row r="230" spans="2:12" ht="15" thickBot="1">
      <c r="B230" s="2"/>
      <c r="G230"/>
      <c r="L230" s="2"/>
    </row>
    <row r="231" spans="2:12" ht="15" thickBot="1">
      <c r="B231" s="2"/>
      <c r="D231" s="5" t="s">
        <v>685</v>
      </c>
      <c r="E231" s="176" t="s">
        <v>346</v>
      </c>
      <c r="F231" s="185" t="s">
        <v>81</v>
      </c>
      <c r="G231" s="176" t="str" cm="1">
        <f t="array" ref="G231">_xlfn.IFS(E231="Default","See Production Costs Results Sheet", E231="User Defined", "Enter Value")</f>
        <v>See Production Costs Results Sheet</v>
      </c>
      <c r="L231" s="2"/>
    </row>
    <row r="232" spans="2:12" ht="15" thickBot="1">
      <c r="B232" s="2"/>
      <c r="G232"/>
      <c r="L232" s="2"/>
    </row>
    <row r="233" spans="2:12" ht="15" thickBot="1">
      <c r="B233" s="2"/>
      <c r="D233" s="5" t="s">
        <v>1121</v>
      </c>
      <c r="E233" s="176" t="s">
        <v>346</v>
      </c>
      <c r="F233" s="185" t="s">
        <v>81</v>
      </c>
      <c r="G233" s="176" t="str" cm="1">
        <f t="array" ref="G233">_xlfn.IFS(E233="Default","See Production Costs Results Sheet", E233="User Defined", "Enter Value")</f>
        <v>See Production Costs Results Sheet</v>
      </c>
      <c r="L233" s="2"/>
    </row>
    <row r="234" spans="2:12" ht="15" thickBot="1">
      <c r="B234" s="2"/>
      <c r="G234"/>
      <c r="L234" s="2"/>
    </row>
    <row r="235" spans="2:12" ht="15" thickBot="1">
      <c r="B235" s="2"/>
      <c r="D235" s="5" t="s">
        <v>1372</v>
      </c>
      <c r="E235" s="176" t="s">
        <v>346</v>
      </c>
      <c r="F235" s="185" t="s">
        <v>81</v>
      </c>
      <c r="G235" s="176" t="str" cm="1">
        <f t="array" ref="G235">_xlfn.IFS(E235="Default","See Production Costs Results Sheet", E235="User Defined", "Enter Value")</f>
        <v>See Production Costs Results Sheet</v>
      </c>
      <c r="L235" s="2"/>
    </row>
    <row r="236" spans="2:12" ht="15" thickBot="1">
      <c r="B236" s="2"/>
      <c r="G236"/>
      <c r="L236" s="2"/>
    </row>
    <row r="237" spans="2:12" ht="15" thickBot="1">
      <c r="B237" s="2"/>
      <c r="D237" s="5" t="s">
        <v>1122</v>
      </c>
      <c r="E237" s="176" t="s">
        <v>346</v>
      </c>
      <c r="F237" s="185" t="s">
        <v>81</v>
      </c>
      <c r="G237" s="176" t="str" cm="1">
        <f t="array" ref="G237">_xlfn.IFS(E237="Default","See Production Costs Results Sheet", E237="User Defined", "Enter Value")</f>
        <v>See Production Costs Results Sheet</v>
      </c>
      <c r="L237" s="2"/>
    </row>
    <row r="238" spans="2:12">
      <c r="B238" s="2"/>
      <c r="L238" s="2"/>
    </row>
    <row r="239" spans="2:12">
      <c r="B239" s="2"/>
      <c r="D239" s="16" t="s">
        <v>1648</v>
      </c>
      <c r="E239" s="16"/>
      <c r="F239" s="16"/>
      <c r="L239" s="2"/>
    </row>
    <row r="240" spans="2:12">
      <c r="B240" s="2"/>
      <c r="D240" s="16" t="s">
        <v>1495</v>
      </c>
      <c r="E240" s="16" t="s">
        <v>691</v>
      </c>
      <c r="F240" s="16" t="s">
        <v>1679</v>
      </c>
      <c r="L240" s="2"/>
    </row>
    <row r="241" spans="2:12" ht="15" thickBot="1">
      <c r="B241" s="2"/>
      <c r="D241" s="16"/>
      <c r="E241" s="16"/>
      <c r="F241" s="16"/>
      <c r="L241" s="2"/>
    </row>
    <row r="242" spans="2:12" ht="15" thickBot="1">
      <c r="B242" s="2"/>
      <c r="D242" s="5" t="s">
        <v>556</v>
      </c>
      <c r="E242" s="5" t="s">
        <v>1678</v>
      </c>
      <c r="F242" s="176">
        <v>0.22020000000000001</v>
      </c>
      <c r="L242" s="2"/>
    </row>
    <row r="243" spans="2:12" ht="15" thickBot="1">
      <c r="B243" s="2"/>
      <c r="L243" s="2"/>
    </row>
    <row r="244" spans="2:12" ht="15" thickBot="1">
      <c r="B244" s="2"/>
      <c r="D244" s="5" t="s">
        <v>164</v>
      </c>
      <c r="E244" s="5" t="s">
        <v>1678</v>
      </c>
      <c r="F244" s="176">
        <v>6.4699999999999994E-2</v>
      </c>
      <c r="L244" s="2"/>
    </row>
    <row r="245" spans="2:12" ht="15" thickBot="1">
      <c r="B245" s="2"/>
      <c r="L245" s="2"/>
    </row>
    <row r="246" spans="2:12" ht="15" thickBot="1">
      <c r="B246" s="2"/>
      <c r="D246" s="5" t="s">
        <v>694</v>
      </c>
      <c r="E246" s="5" t="s">
        <v>696</v>
      </c>
      <c r="F246" s="176" cm="1">
        <f t="array" aca="1" ref="F246" ca="1">_xlfn.IFS('Parameter Inputs'!E1590&lt;1,0,'Parameter Inputs'!E1590&lt;1000,43.76,'Parameter Inputs'!E1590&lt;19999,113.31,'Parameter Inputs'!E1590&lt;249999,1872.98,'Parameter Inputs'!E1590&gt;249999,21771.46)</f>
        <v>1872.98</v>
      </c>
      <c r="L246" s="2"/>
    </row>
    <row r="247" spans="2:12" ht="15" thickBot="1">
      <c r="B247" s="2"/>
      <c r="L247" s="2"/>
    </row>
    <row r="248" spans="2:12" ht="15" thickBot="1">
      <c r="B248" s="2"/>
      <c r="D248" s="5" t="s">
        <v>695</v>
      </c>
      <c r="E248" s="5" t="s">
        <v>697</v>
      </c>
      <c r="F248" s="176">
        <v>1.05</v>
      </c>
      <c r="L248" s="2"/>
    </row>
    <row r="249" spans="2:12" ht="15" thickBot="1">
      <c r="B249" s="2"/>
      <c r="L249" s="2"/>
    </row>
    <row r="250" spans="2:12" ht="15" thickBot="1">
      <c r="B250" s="2"/>
      <c r="D250" s="5" t="s">
        <v>172</v>
      </c>
      <c r="E250" s="109" t="s">
        <v>689</v>
      </c>
      <c r="F250" s="176">
        <v>305</v>
      </c>
      <c r="L250" s="2"/>
    </row>
    <row r="251" spans="2:12" ht="15" thickBot="1">
      <c r="B251" s="2"/>
      <c r="E251" s="109"/>
      <c r="L251" s="2"/>
    </row>
    <row r="252" spans="2:12" ht="15" thickBot="1">
      <c r="B252" s="2"/>
      <c r="D252" s="5" t="s">
        <v>430</v>
      </c>
      <c r="E252" s="5" t="s">
        <v>698</v>
      </c>
      <c r="F252" s="176">
        <v>150</v>
      </c>
      <c r="L252" s="2"/>
    </row>
    <row r="253" spans="2:12" ht="15" thickBot="1">
      <c r="B253" s="2"/>
      <c r="L253" s="2"/>
    </row>
    <row r="254" spans="2:12" ht="15" thickBot="1">
      <c r="B254" s="2"/>
      <c r="D254" s="5" t="s">
        <v>435</v>
      </c>
      <c r="E254" s="5" t="s">
        <v>698</v>
      </c>
      <c r="F254" s="176">
        <v>1350</v>
      </c>
      <c r="L254" s="2"/>
    </row>
    <row r="255" spans="2:12" ht="15" thickBot="1">
      <c r="B255" s="2"/>
      <c r="L255" s="2"/>
    </row>
    <row r="256" spans="2:12" ht="15" thickBot="1">
      <c r="B256" s="2"/>
      <c r="D256" s="5" t="s">
        <v>690</v>
      </c>
      <c r="E256" s="5" t="s">
        <v>698</v>
      </c>
      <c r="F256" s="176">
        <v>850</v>
      </c>
      <c r="L256" s="2"/>
    </row>
    <row r="257" spans="2:24" ht="15" thickBot="1">
      <c r="B257" s="2"/>
      <c r="L257" s="2"/>
    </row>
    <row r="258" spans="2:24" ht="15" thickBot="1">
      <c r="B258" s="2"/>
      <c r="D258" s="5" t="s">
        <v>1133</v>
      </c>
      <c r="E258" s="5" t="s">
        <v>1650</v>
      </c>
      <c r="F258" s="176">
        <v>40000</v>
      </c>
      <c r="L258" s="2"/>
    </row>
    <row r="259" spans="2:24" ht="15" thickBot="1">
      <c r="B259" s="2"/>
      <c r="L259" s="2"/>
    </row>
    <row r="260" spans="2:24" ht="15" thickBot="1">
      <c r="B260" s="2"/>
      <c r="D260" s="5" t="s">
        <v>1500</v>
      </c>
      <c r="E260" s="5" t="s">
        <v>1649</v>
      </c>
      <c r="F260" s="183">
        <v>0.02</v>
      </c>
      <c r="L260" s="2"/>
    </row>
    <row r="261" spans="2:24">
      <c r="B261" s="2"/>
      <c r="L261" s="2"/>
    </row>
    <row r="262" spans="2:24">
      <c r="B262" s="2"/>
      <c r="L262" s="2"/>
    </row>
    <row r="263" spans="2:24">
      <c r="B263" s="2"/>
      <c r="F263" s="92"/>
      <c r="L263" s="2"/>
    </row>
    <row r="264" spans="2:24">
      <c r="B264" s="2"/>
      <c r="C264" s="2"/>
      <c r="D264" s="2"/>
      <c r="E264" s="2"/>
      <c r="F264" s="178"/>
      <c r="G264" s="2"/>
      <c r="H264" s="2"/>
      <c r="I264" s="2"/>
      <c r="J264" s="2"/>
      <c r="K264" s="2"/>
      <c r="L264" s="2"/>
    </row>
    <row r="267" spans="2:24">
      <c r="B267" s="2"/>
      <c r="C267" s="2"/>
      <c r="D267" s="2"/>
      <c r="E267" s="2"/>
      <c r="F267" s="2"/>
      <c r="G267" s="2"/>
      <c r="H267" s="2"/>
      <c r="I267" s="2"/>
      <c r="J267" s="2"/>
      <c r="K267" s="2"/>
      <c r="L267" s="2"/>
      <c r="M267" s="2"/>
      <c r="N267" s="2"/>
      <c r="O267" s="2"/>
      <c r="P267" s="2"/>
      <c r="Q267" s="2"/>
      <c r="R267" s="2"/>
      <c r="S267" s="2"/>
      <c r="T267" s="2"/>
      <c r="U267" s="2"/>
      <c r="V267" s="2"/>
      <c r="W267" s="2"/>
      <c r="X267" s="2"/>
    </row>
    <row r="268" spans="2:24">
      <c r="B268" s="2"/>
      <c r="X268" s="2"/>
    </row>
    <row r="269" spans="2:24" ht="21">
      <c r="B269" s="2"/>
      <c r="C269" s="314" t="s">
        <v>1757</v>
      </c>
      <c r="D269" s="314"/>
      <c r="E269" s="314"/>
      <c r="F269" s="314"/>
      <c r="G269" s="314"/>
      <c r="H269" s="314"/>
      <c r="I269" s="314"/>
      <c r="J269" s="314"/>
      <c r="K269" s="314"/>
      <c r="L269" s="314"/>
      <c r="M269" s="314"/>
      <c r="N269" s="314"/>
      <c r="O269" s="314"/>
      <c r="P269" s="314"/>
      <c r="Q269" s="314"/>
      <c r="R269" s="314"/>
      <c r="S269" s="314"/>
      <c r="T269" s="314"/>
      <c r="U269" s="314"/>
      <c r="V269" s="314"/>
      <c r="W269" s="314"/>
      <c r="X269" s="2"/>
    </row>
    <row r="270" spans="2:24">
      <c r="B270" s="2"/>
      <c r="C270" s="5" t="s">
        <v>1760</v>
      </c>
      <c r="X270" s="2"/>
    </row>
    <row r="271" spans="2:24">
      <c r="B271" s="2"/>
      <c r="D271" s="186" t="s">
        <v>344</v>
      </c>
      <c r="F271" s="186" t="s">
        <v>80</v>
      </c>
      <c r="X271" s="2"/>
    </row>
    <row r="272" spans="2:24" ht="15" thickBot="1">
      <c r="B272" s="2"/>
      <c r="D272" s="186"/>
      <c r="F272" s="186"/>
      <c r="X272" s="2"/>
    </row>
    <row r="273" spans="2:24" ht="15" thickBot="1">
      <c r="B273" s="2"/>
      <c r="D273" s="5" t="s">
        <v>7</v>
      </c>
      <c r="E273" s="279" t="s">
        <v>346</v>
      </c>
      <c r="F273" s="179">
        <v>105.4</v>
      </c>
      <c r="G273" s="193" t="s">
        <v>1753</v>
      </c>
      <c r="X273" s="2"/>
    </row>
    <row r="274" spans="2:24" ht="15" thickBot="1">
      <c r="B274" s="2"/>
      <c r="F274" s="1"/>
      <c r="X274" s="2"/>
    </row>
    <row r="275" spans="2:24" ht="15" thickBot="1">
      <c r="B275" s="2"/>
      <c r="D275" s="5" t="s">
        <v>75</v>
      </c>
      <c r="E275" s="279" t="s">
        <v>346</v>
      </c>
      <c r="F275" s="179">
        <v>0.15</v>
      </c>
      <c r="G275" s="193" t="s">
        <v>1753</v>
      </c>
      <c r="X275" s="2"/>
    </row>
    <row r="276" spans="2:24" ht="15" thickBot="1">
      <c r="B276" s="2"/>
      <c r="F276" s="1"/>
      <c r="X276" s="2"/>
    </row>
    <row r="277" spans="2:24" ht="15" thickBot="1">
      <c r="B277" s="2"/>
      <c r="D277" s="5" t="s">
        <v>76</v>
      </c>
      <c r="E277" s="279" t="s">
        <v>346</v>
      </c>
      <c r="F277" s="179">
        <v>0.04</v>
      </c>
      <c r="G277" s="193" t="s">
        <v>1753</v>
      </c>
      <c r="X277" s="2"/>
    </row>
    <row r="278" spans="2:24" ht="15" thickBot="1">
      <c r="B278" s="2"/>
      <c r="F278" s="1"/>
      <c r="X278" s="2"/>
    </row>
    <row r="279" spans="2:24" ht="15" thickBot="1">
      <c r="B279" s="2"/>
      <c r="D279" s="5" t="s">
        <v>281</v>
      </c>
      <c r="E279" s="279" t="s">
        <v>346</v>
      </c>
      <c r="F279" s="179">
        <v>0.4</v>
      </c>
      <c r="G279" s="193" t="s">
        <v>1753</v>
      </c>
      <c r="X279" s="2"/>
    </row>
    <row r="280" spans="2:24" ht="15" thickBot="1">
      <c r="B280" s="2"/>
      <c r="F280" s="1"/>
      <c r="X280" s="2"/>
    </row>
    <row r="281" spans="2:24" ht="15" thickBot="1">
      <c r="B281" s="2"/>
      <c r="D281" s="5" t="s">
        <v>218</v>
      </c>
      <c r="E281" s="279" t="s">
        <v>346</v>
      </c>
      <c r="F281" s="179">
        <v>0.67</v>
      </c>
      <c r="G281" s="193" t="s">
        <v>1753</v>
      </c>
      <c r="X281" s="2"/>
    </row>
    <row r="282" spans="2:24" ht="15" thickBot="1">
      <c r="B282" s="2"/>
      <c r="F282" s="1"/>
      <c r="X282" s="2"/>
    </row>
    <row r="283" spans="2:24" ht="15" thickBot="1">
      <c r="B283" s="2"/>
      <c r="D283" s="5" t="s">
        <v>91</v>
      </c>
      <c r="E283" s="279" t="s">
        <v>346</v>
      </c>
      <c r="F283" s="179">
        <v>0.5</v>
      </c>
      <c r="G283" s="193" t="s">
        <v>1753</v>
      </c>
      <c r="X283" s="2"/>
    </row>
    <row r="284" spans="2:24" ht="15" thickBot="1">
      <c r="B284" s="2"/>
      <c r="F284" s="1"/>
      <c r="X284" s="2"/>
    </row>
    <row r="285" spans="2:24" ht="15" thickBot="1">
      <c r="B285" s="2"/>
      <c r="D285" s="5" t="s">
        <v>92</v>
      </c>
      <c r="E285" s="279" t="s">
        <v>346</v>
      </c>
      <c r="F285" s="179">
        <v>0.5</v>
      </c>
      <c r="G285" s="193" t="s">
        <v>1753</v>
      </c>
      <c r="X285" s="2"/>
    </row>
    <row r="286" spans="2:24" ht="15" thickBot="1">
      <c r="B286" s="2"/>
      <c r="F286" s="1"/>
      <c r="X286" s="2"/>
    </row>
    <row r="287" spans="2:24" ht="15" thickBot="1">
      <c r="B287" s="2"/>
      <c r="D287" s="5" t="s">
        <v>93</v>
      </c>
      <c r="E287" s="279" t="s">
        <v>346</v>
      </c>
      <c r="F287" s="179">
        <v>0.35</v>
      </c>
      <c r="G287" s="193" t="s">
        <v>1753</v>
      </c>
      <c r="X287" s="2"/>
    </row>
    <row r="288" spans="2:24" ht="15" thickBot="1">
      <c r="B288" s="2"/>
      <c r="F288" s="1"/>
      <c r="X288" s="2"/>
    </row>
    <row r="289" spans="2:24" ht="15" thickBot="1">
      <c r="B289" s="2"/>
      <c r="D289" s="5" t="s">
        <v>95</v>
      </c>
      <c r="E289" s="279" t="s">
        <v>346</v>
      </c>
      <c r="F289" s="179">
        <v>1</v>
      </c>
      <c r="G289" s="193" t="s">
        <v>1753</v>
      </c>
      <c r="N289" s="128"/>
      <c r="O289" s="128"/>
      <c r="X289" s="2"/>
    </row>
    <row r="290" spans="2:24" ht="15" thickBot="1">
      <c r="B290" s="2"/>
      <c r="F290" s="1"/>
      <c r="N290" s="128"/>
      <c r="O290" s="128"/>
      <c r="X290" s="2"/>
    </row>
    <row r="291" spans="2:24" ht="15" thickBot="1">
      <c r="B291" s="2"/>
      <c r="D291" s="5" t="s">
        <v>184</v>
      </c>
      <c r="E291" s="279" t="s">
        <v>346</v>
      </c>
      <c r="F291" s="179">
        <v>0.06</v>
      </c>
      <c r="G291" s="193" t="s">
        <v>1753</v>
      </c>
      <c r="X291" s="2"/>
    </row>
    <row r="292" spans="2:24" ht="15" thickBot="1">
      <c r="B292" s="2"/>
      <c r="F292" s="1"/>
      <c r="X292" s="2"/>
    </row>
    <row r="293" spans="2:24" ht="15" thickBot="1">
      <c r="B293" s="2"/>
      <c r="D293" s="5" t="s">
        <v>1610</v>
      </c>
      <c r="E293" s="279" t="s">
        <v>346</v>
      </c>
      <c r="F293" s="179">
        <v>0.04</v>
      </c>
      <c r="G293" s="193" t="s">
        <v>1753</v>
      </c>
      <c r="X293" s="2"/>
    </row>
    <row r="294" spans="2:24" ht="15" thickBot="1">
      <c r="B294" s="2"/>
      <c r="F294" s="1"/>
      <c r="X294" s="2"/>
    </row>
    <row r="295" spans="2:24" ht="15" thickBot="1">
      <c r="B295" s="2"/>
      <c r="D295" s="5" t="s">
        <v>1611</v>
      </c>
      <c r="E295" s="279" t="s">
        <v>346</v>
      </c>
      <c r="F295" s="179">
        <v>1</v>
      </c>
      <c r="G295" s="193" t="s">
        <v>1753</v>
      </c>
      <c r="X295" s="2"/>
    </row>
    <row r="296" spans="2:24" ht="15" thickBot="1">
      <c r="B296" s="2"/>
      <c r="F296" s="1"/>
      <c r="X296" s="2"/>
    </row>
    <row r="297" spans="2:24" ht="15" thickBot="1">
      <c r="B297" s="2"/>
      <c r="D297" s="5" t="s">
        <v>416</v>
      </c>
      <c r="E297" s="279" t="s">
        <v>346</v>
      </c>
      <c r="F297" s="179">
        <v>1.42</v>
      </c>
      <c r="G297" s="193" t="s">
        <v>1753</v>
      </c>
      <c r="X297" s="2"/>
    </row>
    <row r="298" spans="2:24" ht="15" thickBot="1">
      <c r="B298" s="2"/>
      <c r="F298" s="1"/>
      <c r="X298" s="2"/>
    </row>
    <row r="299" spans="2:24" ht="15" thickBot="1">
      <c r="B299" s="2"/>
      <c r="D299" s="5" t="s">
        <v>417</v>
      </c>
      <c r="E299" s="279" t="s">
        <v>346</v>
      </c>
      <c r="F299" s="179">
        <v>0.02</v>
      </c>
      <c r="G299" s="193" t="s">
        <v>1753</v>
      </c>
      <c r="X299" s="2"/>
    </row>
    <row r="300" spans="2:24" ht="15" thickBot="1">
      <c r="B300" s="2"/>
      <c r="F300" s="1"/>
      <c r="X300" s="2"/>
    </row>
    <row r="301" spans="2:24" ht="15" thickBot="1">
      <c r="B301" s="2"/>
      <c r="D301" s="5" t="s">
        <v>418</v>
      </c>
      <c r="E301" s="279" t="s">
        <v>346</v>
      </c>
      <c r="F301" s="179">
        <v>0.1</v>
      </c>
      <c r="G301" s="193" t="s">
        <v>1753</v>
      </c>
      <c r="X301" s="2"/>
    </row>
    <row r="302" spans="2:24" ht="15" thickBot="1">
      <c r="B302" s="2"/>
      <c r="F302" s="1"/>
      <c r="X302" s="2"/>
    </row>
    <row r="303" spans="2:24" ht="15" thickBot="1">
      <c r="B303" s="2"/>
      <c r="D303" s="5" t="s">
        <v>715</v>
      </c>
      <c r="E303" s="279" t="s">
        <v>346</v>
      </c>
      <c r="F303" s="179">
        <v>2000000</v>
      </c>
      <c r="X303" s="2"/>
    </row>
    <row r="304" spans="2:24" ht="15" thickBot="1">
      <c r="B304" s="2"/>
      <c r="F304" s="1"/>
      <c r="X304" s="2"/>
    </row>
    <row r="305" spans="2:24" ht="15" thickBot="1">
      <c r="B305" s="2"/>
      <c r="D305" s="5" t="s">
        <v>739</v>
      </c>
      <c r="E305" s="279" t="s">
        <v>346</v>
      </c>
      <c r="F305" s="179">
        <v>0.3</v>
      </c>
      <c r="G305" s="193" t="s">
        <v>1753</v>
      </c>
      <c r="X305" s="2"/>
    </row>
    <row r="306" spans="2:24" ht="15" thickBot="1">
      <c r="B306" s="2"/>
      <c r="F306" s="1"/>
      <c r="X306" s="2"/>
    </row>
    <row r="307" spans="2:24" ht="15" thickBot="1">
      <c r="B307" s="2"/>
      <c r="D307" s="5" t="s">
        <v>1146</v>
      </c>
      <c r="E307" s="279" t="s">
        <v>346</v>
      </c>
      <c r="F307" s="179">
        <v>6.0000000000000001E-3</v>
      </c>
      <c r="X307" s="2"/>
    </row>
    <row r="308" spans="2:24" ht="15" thickBot="1">
      <c r="B308" s="2"/>
      <c r="F308" s="1"/>
      <c r="X308" s="2"/>
    </row>
    <row r="309" spans="2:24" ht="15" thickBot="1">
      <c r="B309" s="2"/>
      <c r="D309" s="5" t="s">
        <v>1606</v>
      </c>
      <c r="E309" s="279" t="s">
        <v>346</v>
      </c>
      <c r="F309" s="179">
        <v>1000</v>
      </c>
      <c r="G309" s="193" t="s">
        <v>1753</v>
      </c>
      <c r="X309" s="2"/>
    </row>
    <row r="310" spans="2:24" ht="15" thickBot="1">
      <c r="B310" s="2"/>
      <c r="F310" s="1"/>
      <c r="X310" s="2"/>
    </row>
    <row r="311" spans="2:24" ht="15" thickBot="1">
      <c r="B311" s="2"/>
      <c r="D311" s="5" t="s">
        <v>547</v>
      </c>
      <c r="E311" s="279" t="s">
        <v>346</v>
      </c>
      <c r="F311" s="179">
        <v>0.19</v>
      </c>
      <c r="G311" s="60" t="s">
        <v>1755</v>
      </c>
      <c r="X311" s="2"/>
    </row>
    <row r="312" spans="2:24" ht="15" thickBot="1">
      <c r="B312" s="2"/>
      <c r="F312" s="1"/>
      <c r="X312" s="2"/>
    </row>
    <row r="313" spans="2:24" ht="15" thickBot="1">
      <c r="B313" s="2"/>
      <c r="D313" s="5" t="s">
        <v>178</v>
      </c>
      <c r="E313" s="279" t="s">
        <v>346</v>
      </c>
      <c r="F313" s="179">
        <f>'Parameter Inputs'!F36</f>
        <v>430893</v>
      </c>
      <c r="X313" s="2"/>
    </row>
    <row r="314" spans="2:24" ht="15" thickBot="1">
      <c r="B314" s="2"/>
      <c r="F314" s="1"/>
      <c r="X314" s="2"/>
    </row>
    <row r="315" spans="2:24" ht="17" thickBot="1">
      <c r="B315" s="2"/>
      <c r="D315" s="5" t="s">
        <v>179</v>
      </c>
      <c r="E315" s="279" t="s">
        <v>346</v>
      </c>
      <c r="F315" s="179">
        <v>253</v>
      </c>
      <c r="G315" s="193"/>
      <c r="X315" s="2"/>
    </row>
    <row r="316" spans="2:24" ht="15" thickBot="1">
      <c r="B316" s="2"/>
      <c r="F316" s="1"/>
      <c r="X316" s="2"/>
    </row>
    <row r="317" spans="2:24" ht="15" thickBot="1">
      <c r="B317" s="2"/>
      <c r="D317" s="5" t="s">
        <v>186</v>
      </c>
      <c r="E317" s="279" t="s">
        <v>346</v>
      </c>
      <c r="F317" s="179">
        <f>F315*1.6</f>
        <v>404.8</v>
      </c>
      <c r="G317" s="193"/>
      <c r="X317" s="2"/>
    </row>
    <row r="318" spans="2:24" ht="15" thickBot="1">
      <c r="B318" s="2"/>
      <c r="F318" s="1"/>
      <c r="X318" s="2"/>
    </row>
    <row r="319" spans="2:24" ht="17" thickBot="1">
      <c r="B319" s="2"/>
      <c r="D319" s="5" t="s">
        <v>180</v>
      </c>
      <c r="E319" s="279" t="s">
        <v>346</v>
      </c>
      <c r="F319" s="179">
        <f>'Parameter Inputs'!F38*1000</f>
        <v>243</v>
      </c>
      <c r="G319" s="193"/>
      <c r="X319" s="2"/>
    </row>
    <row r="320" spans="2:24" ht="15" thickBot="1">
      <c r="B320" s="2"/>
      <c r="F320" s="1"/>
      <c r="X320" s="2"/>
    </row>
    <row r="321" spans="2:24" ht="15" thickBot="1">
      <c r="B321" s="2"/>
      <c r="D321" s="5" t="s">
        <v>1613</v>
      </c>
      <c r="E321" s="279" t="s">
        <v>346</v>
      </c>
      <c r="F321" s="179">
        <v>0.9</v>
      </c>
      <c r="G321" s="193" t="s">
        <v>1753</v>
      </c>
      <c r="X321" s="2"/>
    </row>
    <row r="322" spans="2:24" ht="15" thickBot="1">
      <c r="B322" s="2"/>
      <c r="F322" s="1"/>
      <c r="X322" s="2"/>
    </row>
    <row r="323" spans="2:24" ht="15" thickBot="1">
      <c r="B323" s="2"/>
      <c r="D323" s="5" t="s">
        <v>181</v>
      </c>
      <c r="E323" s="279" t="s">
        <v>346</v>
      </c>
      <c r="F323" s="179">
        <f>F319*F321</f>
        <v>218.70000000000002</v>
      </c>
      <c r="X323" s="2"/>
    </row>
    <row r="324" spans="2:24" ht="15" thickBot="1">
      <c r="B324" s="2"/>
      <c r="F324" s="1"/>
      <c r="X324" s="2"/>
    </row>
    <row r="325" spans="2:24" ht="15" thickBot="1">
      <c r="B325" s="2"/>
      <c r="D325" s="5" t="s">
        <v>182</v>
      </c>
      <c r="E325" s="279" t="s">
        <v>346</v>
      </c>
      <c r="F325" s="179">
        <v>0.1</v>
      </c>
      <c r="G325" s="193" t="s">
        <v>1753</v>
      </c>
      <c r="X325" s="2"/>
    </row>
    <row r="326" spans="2:24" ht="15" thickBot="1">
      <c r="B326" s="2"/>
      <c r="F326" s="1"/>
      <c r="X326" s="2"/>
    </row>
    <row r="327" spans="2:24" ht="15" thickBot="1">
      <c r="B327" s="2"/>
      <c r="D327" s="5" t="s">
        <v>185</v>
      </c>
      <c r="E327" s="279" t="s">
        <v>346</v>
      </c>
      <c r="F327" s="179">
        <v>0.65</v>
      </c>
      <c r="G327" s="193" t="s">
        <v>1753</v>
      </c>
      <c r="X327" s="2"/>
    </row>
    <row r="328" spans="2:24" ht="15" thickBot="1">
      <c r="B328" s="2"/>
      <c r="F328" s="1"/>
      <c r="X328" s="2"/>
    </row>
    <row r="329" spans="2:24" ht="15" thickBot="1">
      <c r="B329" s="2"/>
      <c r="D329" s="5" t="s">
        <v>209</v>
      </c>
      <c r="E329" s="279" t="s">
        <v>346</v>
      </c>
      <c r="F329" s="179">
        <v>1.42</v>
      </c>
      <c r="G329" s="193" t="s">
        <v>1753</v>
      </c>
      <c r="X329" s="2"/>
    </row>
    <row r="330" spans="2:24" ht="15" thickBot="1">
      <c r="B330" s="2"/>
      <c r="F330" s="1"/>
      <c r="X330" s="2"/>
    </row>
    <row r="331" spans="2:24" ht="15" thickBot="1">
      <c r="B331" s="2"/>
      <c r="D331" s="5" t="s">
        <v>208</v>
      </c>
      <c r="E331" s="279" t="s">
        <v>346</v>
      </c>
      <c r="F331" s="179">
        <v>0.68</v>
      </c>
      <c r="G331" s="193" t="s">
        <v>1753</v>
      </c>
      <c r="X331" s="2"/>
    </row>
    <row r="332" spans="2:24" ht="15" thickBot="1">
      <c r="B332" s="2"/>
      <c r="F332" s="1"/>
      <c r="X332" s="2"/>
    </row>
    <row r="333" spans="2:24" ht="15" thickBot="1">
      <c r="B333" s="2"/>
      <c r="D333" s="109" t="s">
        <v>1614</v>
      </c>
      <c r="E333" s="279" t="s">
        <v>346</v>
      </c>
      <c r="F333" s="179">
        <v>25</v>
      </c>
      <c r="X333" s="2"/>
    </row>
    <row r="334" spans="2:24" ht="15" thickBot="1">
      <c r="B334" s="2"/>
      <c r="D334" s="109"/>
      <c r="F334" s="1"/>
      <c r="X334" s="2"/>
    </row>
    <row r="335" spans="2:24" ht="15" thickBot="1">
      <c r="B335" s="2"/>
      <c r="D335" s="109" t="s">
        <v>1615</v>
      </c>
      <c r="E335" s="176" t="s">
        <v>346</v>
      </c>
      <c r="F335" s="179">
        <v>35</v>
      </c>
      <c r="X335" s="2"/>
    </row>
    <row r="336" spans="2:24">
      <c r="B336" s="2"/>
      <c r="D336" s="109"/>
      <c r="F336" s="105"/>
      <c r="X336" s="2"/>
    </row>
    <row r="337" spans="2:24">
      <c r="B337" s="2"/>
      <c r="D337" s="16" t="s">
        <v>188</v>
      </c>
      <c r="F337" s="105"/>
      <c r="X337" s="2"/>
    </row>
    <row r="338" spans="2:24">
      <c r="B338" s="2"/>
      <c r="D338" s="129" t="s">
        <v>189</v>
      </c>
      <c r="F338" s="105"/>
      <c r="X338" s="2"/>
    </row>
    <row r="339" spans="2:24" ht="15" thickBot="1">
      <c r="B339" s="2"/>
      <c r="D339" s="129"/>
      <c r="F339" s="105"/>
      <c r="X339" s="2"/>
    </row>
    <row r="340" spans="2:24" ht="15" thickBot="1">
      <c r="B340" s="2"/>
      <c r="D340" s="129" t="s">
        <v>187</v>
      </c>
      <c r="E340" s="279" t="s">
        <v>346</v>
      </c>
      <c r="F340" s="179">
        <v>0.5</v>
      </c>
      <c r="G340" s="193" t="s">
        <v>1753</v>
      </c>
      <c r="X340" s="2"/>
    </row>
    <row r="341" spans="2:24" ht="15" thickBot="1">
      <c r="B341" s="2"/>
      <c r="D341" s="129"/>
      <c r="F341" s="1"/>
      <c r="X341" s="2"/>
    </row>
    <row r="342" spans="2:24" ht="15" thickBot="1">
      <c r="B342" s="2"/>
      <c r="D342" s="129" t="s">
        <v>190</v>
      </c>
      <c r="E342" s="279" t="s">
        <v>346</v>
      </c>
      <c r="F342" s="179">
        <f>'Parameter Inputs'!F42</f>
        <v>0.7</v>
      </c>
      <c r="G342" s="193" t="s">
        <v>1753</v>
      </c>
      <c r="X342" s="2"/>
    </row>
    <row r="343" spans="2:24" ht="15" thickBot="1">
      <c r="B343" s="2"/>
      <c r="D343" s="129"/>
      <c r="F343" s="1"/>
      <c r="X343" s="2"/>
    </row>
    <row r="344" spans="2:24" ht="15" thickBot="1">
      <c r="B344" s="2"/>
      <c r="D344" s="129" t="s">
        <v>192</v>
      </c>
      <c r="E344" s="176" t="s">
        <v>346</v>
      </c>
      <c r="F344" s="179">
        <v>0.85</v>
      </c>
      <c r="G344" s="193" t="s">
        <v>1753</v>
      </c>
      <c r="X344" s="2"/>
    </row>
    <row r="345" spans="2:24">
      <c r="B345" s="2"/>
      <c r="D345" s="129"/>
      <c r="F345" s="105"/>
      <c r="X345" s="2"/>
    </row>
    <row r="346" spans="2:24" ht="15" thickBot="1">
      <c r="B346" s="2"/>
      <c r="D346" s="16" t="s">
        <v>191</v>
      </c>
      <c r="F346" s="105"/>
      <c r="X346" s="2"/>
    </row>
    <row r="347" spans="2:24" ht="15" thickBot="1">
      <c r="B347" s="2"/>
      <c r="D347" s="129" t="s">
        <v>193</v>
      </c>
      <c r="E347" s="279" t="s">
        <v>346</v>
      </c>
      <c r="F347" s="179">
        <v>0.8</v>
      </c>
      <c r="G347" s="193" t="s">
        <v>1753</v>
      </c>
      <c r="X347" s="2"/>
    </row>
    <row r="348" spans="2:24" ht="15" thickBot="1">
      <c r="B348" s="2"/>
      <c r="D348" s="129"/>
      <c r="F348" s="1"/>
      <c r="X348" s="2"/>
    </row>
    <row r="349" spans="2:24" ht="15" thickBot="1">
      <c r="B349" s="2"/>
      <c r="D349" s="129" t="s">
        <v>194</v>
      </c>
      <c r="E349" s="279" t="s">
        <v>346</v>
      </c>
      <c r="F349" s="179">
        <v>4700</v>
      </c>
      <c r="G349" s="193" t="s">
        <v>1753</v>
      </c>
      <c r="X349" s="2"/>
    </row>
    <row r="350" spans="2:24" ht="15" thickBot="1">
      <c r="B350" s="2"/>
      <c r="D350" s="129"/>
      <c r="F350" s="1"/>
      <c r="X350" s="2"/>
    </row>
    <row r="351" spans="2:24" ht="15" thickBot="1">
      <c r="B351" s="2"/>
      <c r="D351" s="129" t="s">
        <v>195</v>
      </c>
      <c r="E351" s="279" t="s">
        <v>346</v>
      </c>
      <c r="F351" s="179">
        <v>0.5</v>
      </c>
      <c r="G351" s="193" t="s">
        <v>1753</v>
      </c>
      <c r="X351" s="2"/>
    </row>
    <row r="352" spans="2:24" ht="15" thickBot="1">
      <c r="B352" s="2"/>
      <c r="D352" s="129"/>
      <c r="F352" s="1"/>
      <c r="X352" s="2"/>
    </row>
    <row r="353" spans="2:24" ht="15" thickBot="1">
      <c r="B353" s="2"/>
      <c r="D353" s="129" t="s">
        <v>196</v>
      </c>
      <c r="E353" s="279" t="s">
        <v>346</v>
      </c>
      <c r="F353" s="179">
        <v>0.06</v>
      </c>
      <c r="G353" s="193" t="s">
        <v>1753</v>
      </c>
      <c r="X353" s="2"/>
    </row>
    <row r="354" spans="2:24" ht="15" thickBot="1">
      <c r="B354" s="2"/>
      <c r="D354" s="129"/>
      <c r="F354" s="1"/>
      <c r="X354" s="2"/>
    </row>
    <row r="355" spans="2:24" ht="15" thickBot="1">
      <c r="B355" s="2"/>
      <c r="D355" s="129" t="s">
        <v>197</v>
      </c>
      <c r="E355" s="279" t="s">
        <v>346</v>
      </c>
      <c r="F355" s="179">
        <v>10</v>
      </c>
      <c r="G355" s="193" t="s">
        <v>1753</v>
      </c>
      <c r="X355" s="2"/>
    </row>
    <row r="356" spans="2:24" ht="15" thickBot="1">
      <c r="B356" s="2"/>
      <c r="D356" s="129"/>
      <c r="F356" s="1"/>
      <c r="X356" s="2"/>
    </row>
    <row r="357" spans="2:24" ht="15" thickBot="1">
      <c r="B357" s="2"/>
      <c r="D357" s="129" t="s">
        <v>246</v>
      </c>
      <c r="E357" s="176" t="s">
        <v>346</v>
      </c>
      <c r="F357" s="179">
        <v>0.9</v>
      </c>
      <c r="G357" s="193" t="s">
        <v>1753</v>
      </c>
      <c r="X357" s="2"/>
    </row>
    <row r="358" spans="2:24">
      <c r="B358" s="2"/>
      <c r="F358" s="105"/>
      <c r="X358" s="2"/>
    </row>
    <row r="359" spans="2:24" ht="15" thickBot="1">
      <c r="B359" s="2"/>
      <c r="D359" s="16" t="s">
        <v>551</v>
      </c>
      <c r="F359" s="105"/>
      <c r="X359" s="2"/>
    </row>
    <row r="360" spans="2:24" ht="15" thickBot="1">
      <c r="B360" s="2"/>
      <c r="D360" s="129" t="s">
        <v>256</v>
      </c>
      <c r="E360" s="279" t="s">
        <v>346</v>
      </c>
      <c r="F360" s="179">
        <v>15</v>
      </c>
      <c r="G360" s="5" t="s">
        <v>1753</v>
      </c>
      <c r="X360" s="2"/>
    </row>
    <row r="361" spans="2:24" ht="15" thickBot="1">
      <c r="B361" s="2"/>
      <c r="D361" s="129"/>
      <c r="F361" s="1"/>
      <c r="X361" s="2"/>
    </row>
    <row r="362" spans="2:24" ht="15" thickBot="1">
      <c r="B362" s="2"/>
      <c r="D362" s="129" t="s">
        <v>257</v>
      </c>
      <c r="E362" s="279" t="s">
        <v>346</v>
      </c>
      <c r="F362" s="179" cm="1">
        <f t="array" ref="F362">_xlfn.IFS('Parameter Inputs'!F28='Parameter Inputs'!BJ43,'Parameter Inputs'!F694,'Parameter Inputs'!F28='Parameter Inputs'!BJ42,'Parameter Inputs'!F698)</f>
        <v>0.65</v>
      </c>
      <c r="G362" s="5" t="s">
        <v>1751</v>
      </c>
      <c r="X362" s="2"/>
    </row>
    <row r="363" spans="2:24" ht="15" thickBot="1">
      <c r="B363" s="2"/>
      <c r="D363" s="129"/>
      <c r="F363" s="1"/>
      <c r="X363" s="2"/>
    </row>
    <row r="364" spans="2:24" ht="15" thickBot="1">
      <c r="B364" s="2"/>
      <c r="D364" s="129" t="s">
        <v>258</v>
      </c>
      <c r="E364" s="279" t="s">
        <v>346</v>
      </c>
      <c r="F364" s="179">
        <f>F30</f>
        <v>0.93500000000000005</v>
      </c>
      <c r="G364" s="193" t="s">
        <v>1753</v>
      </c>
      <c r="X364" s="2"/>
    </row>
    <row r="365" spans="2:24" ht="15" thickBot="1">
      <c r="B365" s="2"/>
      <c r="D365" s="129"/>
      <c r="F365" s="1"/>
      <c r="X365" s="2"/>
    </row>
    <row r="366" spans="2:24" ht="15" thickBot="1">
      <c r="B366" s="2"/>
      <c r="D366" s="129" t="s">
        <v>717</v>
      </c>
      <c r="E366" s="279" t="s">
        <v>346</v>
      </c>
      <c r="F366" s="179">
        <v>1E-3</v>
      </c>
      <c r="G366" s="193" t="s">
        <v>1753</v>
      </c>
      <c r="X366" s="2"/>
    </row>
    <row r="367" spans="2:24" ht="15" thickBot="1">
      <c r="B367" s="2"/>
      <c r="D367" s="129"/>
      <c r="F367" s="1"/>
      <c r="X367" s="2"/>
    </row>
    <row r="368" spans="2:24" ht="15" thickBot="1">
      <c r="B368" s="2"/>
      <c r="D368" s="129" t="s">
        <v>716</v>
      </c>
      <c r="E368" s="279" t="s">
        <v>346</v>
      </c>
      <c r="F368" s="179">
        <v>5.0000000000000001E-3</v>
      </c>
      <c r="G368" s="193" t="s">
        <v>1753</v>
      </c>
      <c r="X368" s="2"/>
    </row>
    <row r="369" spans="2:24" ht="15" thickBot="1">
      <c r="B369" s="2"/>
      <c r="D369" s="129"/>
      <c r="F369" s="1"/>
      <c r="X369" s="2"/>
    </row>
    <row r="370" spans="2:24" ht="15" thickBot="1">
      <c r="B370" s="2"/>
      <c r="D370" s="129" t="s">
        <v>1086</v>
      </c>
      <c r="E370" s="279" t="s">
        <v>346</v>
      </c>
      <c r="F370" s="179">
        <f ca="1">(I990+I993)/(I992+I995)</f>
        <v>0.47781785775358721</v>
      </c>
      <c r="G370" s="193" t="s">
        <v>1753</v>
      </c>
      <c r="X370" s="2"/>
    </row>
    <row r="371" spans="2:24" ht="15" thickBot="1">
      <c r="B371" s="2"/>
      <c r="F371" s="1"/>
      <c r="X371" s="2"/>
    </row>
    <row r="372" spans="2:24" ht="15" thickBot="1">
      <c r="B372" s="2"/>
      <c r="D372" s="129" t="s">
        <v>270</v>
      </c>
      <c r="E372" s="279" t="s">
        <v>346</v>
      </c>
      <c r="F372" s="179">
        <v>1.204</v>
      </c>
      <c r="G372" s="193" t="s">
        <v>1753</v>
      </c>
      <c r="X372" s="2"/>
    </row>
    <row r="373" spans="2:24" ht="15" thickBot="1">
      <c r="B373" s="2"/>
      <c r="D373" s="129"/>
      <c r="F373" s="1"/>
      <c r="X373" s="2"/>
    </row>
    <row r="374" spans="2:24" ht="15" thickBot="1">
      <c r="B374" s="2"/>
      <c r="D374" s="129" t="s">
        <v>271</v>
      </c>
      <c r="E374" s="279" t="s">
        <v>346</v>
      </c>
      <c r="F374" s="179">
        <v>0.86</v>
      </c>
      <c r="G374" s="193" t="s">
        <v>1753</v>
      </c>
      <c r="X374" s="2"/>
    </row>
    <row r="375" spans="2:24" ht="15" thickBot="1">
      <c r="B375" s="2"/>
      <c r="D375" s="129"/>
      <c r="F375" s="1"/>
      <c r="X375" s="2"/>
    </row>
    <row r="376" spans="2:24" ht="15" thickBot="1">
      <c r="B376" s="2"/>
      <c r="D376" s="129" t="s">
        <v>272</v>
      </c>
      <c r="E376" s="279" t="s">
        <v>346</v>
      </c>
      <c r="F376" s="179">
        <f>F372*F374</f>
        <v>1.0354399999999999</v>
      </c>
      <c r="G376" s="193" t="s">
        <v>1753</v>
      </c>
      <c r="X376" s="2"/>
    </row>
    <row r="377" spans="2:24" ht="15" thickBot="1">
      <c r="B377" s="2"/>
      <c r="D377" s="129"/>
      <c r="F377" s="1"/>
      <c r="X377" s="2"/>
    </row>
    <row r="378" spans="2:24" ht="15" thickBot="1">
      <c r="B378" s="2"/>
      <c r="D378" s="129" t="s">
        <v>549</v>
      </c>
      <c r="E378" s="279" t="s">
        <v>346</v>
      </c>
      <c r="F378" s="179">
        <v>2</v>
      </c>
      <c r="X378" s="2"/>
    </row>
    <row r="379" spans="2:24" ht="15" thickBot="1">
      <c r="B379" s="2"/>
      <c r="D379" s="129"/>
      <c r="F379" s="1"/>
      <c r="X379" s="2"/>
    </row>
    <row r="380" spans="2:24" ht="15" thickBot="1">
      <c r="B380" s="2"/>
      <c r="D380" s="129" t="s">
        <v>725</v>
      </c>
      <c r="E380" s="279" t="s">
        <v>346</v>
      </c>
      <c r="F380" s="179">
        <v>0.22</v>
      </c>
      <c r="G380" s="193" t="s">
        <v>1753</v>
      </c>
      <c r="X380" s="2"/>
    </row>
    <row r="381" spans="2:24" ht="15" thickBot="1">
      <c r="B381" s="2"/>
      <c r="D381" s="129"/>
      <c r="F381" s="1"/>
      <c r="X381" s="2"/>
    </row>
    <row r="382" spans="2:24" ht="15" thickBot="1">
      <c r="B382" s="2"/>
      <c r="D382" s="129" t="s">
        <v>726</v>
      </c>
      <c r="E382" s="176" t="s">
        <v>346</v>
      </c>
      <c r="F382" s="179">
        <v>1.06</v>
      </c>
      <c r="G382" s="193" t="s">
        <v>1753</v>
      </c>
      <c r="X382" s="2"/>
    </row>
    <row r="383" spans="2:24">
      <c r="B383" s="2"/>
      <c r="F383" s="105"/>
      <c r="X383" s="2"/>
    </row>
    <row r="384" spans="2:24" ht="15" thickBot="1">
      <c r="B384" s="2"/>
      <c r="D384" s="16" t="s">
        <v>724</v>
      </c>
      <c r="F384" s="105"/>
      <c r="X384" s="2"/>
    </row>
    <row r="385" spans="2:24" ht="15" thickBot="1">
      <c r="B385" s="2"/>
      <c r="D385" s="129" t="s">
        <v>727</v>
      </c>
      <c r="E385" s="279" t="s">
        <v>346</v>
      </c>
      <c r="F385" s="179">
        <v>0.93</v>
      </c>
      <c r="G385" s="193" t="s">
        <v>1753</v>
      </c>
      <c r="X385" s="2"/>
    </row>
    <row r="386" spans="2:24" ht="15" thickBot="1">
      <c r="B386" s="2"/>
      <c r="D386" s="129"/>
      <c r="F386" s="1"/>
      <c r="X386" s="2"/>
    </row>
    <row r="387" spans="2:24" ht="15" thickBot="1">
      <c r="B387" s="2"/>
      <c r="D387" s="129" t="s">
        <v>728</v>
      </c>
      <c r="E387" s="279" t="s">
        <v>346</v>
      </c>
      <c r="F387" s="179">
        <v>0.2</v>
      </c>
      <c r="G387" s="193" t="s">
        <v>1753</v>
      </c>
      <c r="X387" s="2"/>
    </row>
    <row r="388" spans="2:24" ht="15" thickBot="1">
      <c r="B388" s="2"/>
      <c r="D388" s="129"/>
      <c r="F388" s="1"/>
      <c r="X388" s="2"/>
    </row>
    <row r="389" spans="2:24" ht="15" thickBot="1">
      <c r="B389" s="2"/>
      <c r="D389" s="129" t="s">
        <v>738</v>
      </c>
      <c r="E389" s="176" t="s">
        <v>346</v>
      </c>
      <c r="F389" s="179">
        <v>0.6</v>
      </c>
      <c r="G389" s="193" t="s">
        <v>1753</v>
      </c>
      <c r="X389" s="2"/>
    </row>
    <row r="390" spans="2:24">
      <c r="B390" s="2"/>
      <c r="F390" s="105"/>
      <c r="X390" s="2"/>
    </row>
    <row r="391" spans="2:24" ht="15" thickBot="1">
      <c r="B391" s="2"/>
      <c r="D391" s="16" t="s">
        <v>183</v>
      </c>
      <c r="F391" s="105"/>
      <c r="X391" s="2"/>
    </row>
    <row r="392" spans="2:24" ht="15" thickBot="1">
      <c r="B392" s="2"/>
      <c r="D392" s="129" t="s">
        <v>1152</v>
      </c>
      <c r="E392" s="279" t="s">
        <v>346</v>
      </c>
      <c r="F392" s="179">
        <v>3.3000000000000002E-2</v>
      </c>
      <c r="G392" s="193" t="s">
        <v>1753</v>
      </c>
      <c r="X392" s="2"/>
    </row>
    <row r="393" spans="2:24" ht="15" thickBot="1">
      <c r="B393" s="2"/>
      <c r="D393" s="129"/>
      <c r="F393" s="1"/>
      <c r="X393" s="2"/>
    </row>
    <row r="394" spans="2:24" ht="15" thickBot="1">
      <c r="B394" s="2"/>
      <c r="D394" s="129" t="s">
        <v>1153</v>
      </c>
      <c r="E394" s="279" t="s">
        <v>346</v>
      </c>
      <c r="F394" s="179">
        <v>2.3E-2</v>
      </c>
      <c r="G394" s="193" t="s">
        <v>1753</v>
      </c>
      <c r="X394" s="2"/>
    </row>
    <row r="395" spans="2:24" ht="15" thickBot="1">
      <c r="B395" s="2"/>
      <c r="D395" s="129"/>
      <c r="F395" s="1"/>
      <c r="X395" s="2"/>
    </row>
    <row r="396" spans="2:24" ht="15" thickBot="1">
      <c r="B396" s="2"/>
      <c r="D396" s="129" t="s">
        <v>1154</v>
      </c>
      <c r="E396" s="279" t="s">
        <v>346</v>
      </c>
      <c r="F396" s="179">
        <f>0.003</f>
        <v>3.0000000000000001E-3</v>
      </c>
      <c r="G396" s="193" t="s">
        <v>1753</v>
      </c>
      <c r="X396" s="2"/>
    </row>
    <row r="397" spans="2:24" ht="15" thickBot="1">
      <c r="B397" s="2"/>
      <c r="D397" s="129"/>
      <c r="F397" s="1"/>
      <c r="X397" s="2"/>
    </row>
    <row r="398" spans="2:24" ht="15" thickBot="1">
      <c r="B398" s="2"/>
      <c r="D398" s="129" t="s">
        <v>1155</v>
      </c>
      <c r="E398" s="279" t="s">
        <v>346</v>
      </c>
      <c r="F398" s="179">
        <v>120</v>
      </c>
      <c r="X398" s="2"/>
    </row>
    <row r="399" spans="2:24" ht="15" thickBot="1">
      <c r="B399" s="2"/>
      <c r="D399" s="129"/>
      <c r="F399" s="1"/>
      <c r="X399" s="2"/>
    </row>
    <row r="400" spans="2:24" ht="15" thickBot="1">
      <c r="B400" s="2"/>
      <c r="D400" s="129" t="s">
        <v>1156</v>
      </c>
      <c r="E400" s="279" t="s">
        <v>346</v>
      </c>
      <c r="F400" s="179">
        <v>270</v>
      </c>
      <c r="X400" s="2"/>
    </row>
    <row r="401" spans="2:24" ht="15" thickBot="1">
      <c r="B401" s="2"/>
      <c r="D401" s="129"/>
      <c r="F401" s="1"/>
      <c r="X401" s="2"/>
    </row>
    <row r="402" spans="2:24" ht="15" thickBot="1">
      <c r="B402" s="2"/>
      <c r="D402" s="129" t="s">
        <v>1320</v>
      </c>
      <c r="E402" s="176" t="s">
        <v>346</v>
      </c>
      <c r="F402" s="179">
        <v>0.7</v>
      </c>
      <c r="G402" s="5" t="s">
        <v>1756</v>
      </c>
      <c r="X402" s="2"/>
    </row>
    <row r="403" spans="2:24">
      <c r="B403" s="2"/>
      <c r="F403" s="105"/>
      <c r="X403" s="2"/>
    </row>
    <row r="404" spans="2:24" ht="15" thickBot="1">
      <c r="B404" s="2"/>
      <c r="D404" s="186" t="s">
        <v>348</v>
      </c>
      <c r="F404" s="105"/>
      <c r="G404" s="186" t="s">
        <v>347</v>
      </c>
      <c r="O404" s="91"/>
      <c r="X404" s="2"/>
    </row>
    <row r="405" spans="2:24" ht="15" thickBot="1">
      <c r="B405" s="2"/>
      <c r="D405" s="187" t="s">
        <v>360</v>
      </c>
      <c r="E405" s="279" t="s">
        <v>346</v>
      </c>
      <c r="F405" s="179">
        <v>0.19</v>
      </c>
      <c r="G405" s="188" t="s">
        <v>363</v>
      </c>
      <c r="X405" s="2"/>
    </row>
    <row r="406" spans="2:24" ht="15" thickBot="1">
      <c r="B406" s="2"/>
      <c r="D406" s="187"/>
      <c r="F406" s="1"/>
      <c r="G406" s="188"/>
      <c r="X406" s="2"/>
    </row>
    <row r="407" spans="2:24" ht="15" thickBot="1">
      <c r="B407" s="2"/>
      <c r="D407" s="187" t="s">
        <v>361</v>
      </c>
      <c r="E407" s="279" t="s">
        <v>346</v>
      </c>
      <c r="F407" s="179">
        <v>6.5000000000000002E-2</v>
      </c>
      <c r="G407" s="188" t="s">
        <v>363</v>
      </c>
      <c r="X407" s="2"/>
    </row>
    <row r="408" spans="2:24" ht="15" thickBot="1">
      <c r="B408" s="2"/>
      <c r="D408" s="187"/>
      <c r="F408" s="1"/>
      <c r="G408" s="188"/>
      <c r="X408" s="2"/>
    </row>
    <row r="409" spans="2:24" ht="15" thickBot="1">
      <c r="B409" s="2"/>
      <c r="D409" s="187" t="s">
        <v>362</v>
      </c>
      <c r="E409" s="279" t="s">
        <v>346</v>
      </c>
      <c r="F409" s="179">
        <v>0.214</v>
      </c>
      <c r="G409" s="189" t="s">
        <v>363</v>
      </c>
      <c r="X409" s="2"/>
    </row>
    <row r="410" spans="2:24" ht="15" thickBot="1">
      <c r="B410" s="2"/>
      <c r="D410" s="187"/>
      <c r="F410" s="1"/>
      <c r="G410" s="189"/>
      <c r="X410" s="2"/>
    </row>
    <row r="411" spans="2:24" ht="15" thickBot="1">
      <c r="B411" s="2"/>
      <c r="D411" s="187" t="s">
        <v>58</v>
      </c>
      <c r="E411" s="279" t="s">
        <v>346</v>
      </c>
      <c r="F411" s="179">
        <v>5</v>
      </c>
      <c r="G411" s="189"/>
      <c r="X411" s="2"/>
    </row>
    <row r="412" spans="2:24" ht="15" thickBot="1">
      <c r="B412" s="2"/>
      <c r="D412" s="187"/>
      <c r="F412" s="1"/>
      <c r="G412" s="189"/>
      <c r="X412" s="2"/>
    </row>
    <row r="413" spans="2:24" ht="15" thickBot="1">
      <c r="B413" s="2"/>
      <c r="D413" s="187" t="s">
        <v>584</v>
      </c>
      <c r="E413" s="279" t="s">
        <v>346</v>
      </c>
      <c r="F413" s="179">
        <v>1</v>
      </c>
      <c r="G413" s="189" t="s">
        <v>363</v>
      </c>
      <c r="X413" s="2"/>
    </row>
    <row r="414" spans="2:24" ht="15" thickBot="1">
      <c r="B414" s="2"/>
      <c r="D414" s="187"/>
      <c r="F414" s="1"/>
      <c r="G414" s="189"/>
      <c r="X414" s="2"/>
    </row>
    <row r="415" spans="2:24" ht="15" thickBot="1">
      <c r="B415" s="2"/>
      <c r="D415" s="187" t="s">
        <v>585</v>
      </c>
      <c r="E415" s="279" t="s">
        <v>346</v>
      </c>
      <c r="F415" s="179">
        <v>0.88</v>
      </c>
      <c r="G415" s="189" t="s">
        <v>363</v>
      </c>
      <c r="X415" s="2"/>
    </row>
    <row r="416" spans="2:24" ht="15" thickBot="1">
      <c r="B416" s="2"/>
      <c r="D416" s="187"/>
      <c r="F416" s="1"/>
      <c r="G416" s="189"/>
      <c r="X416" s="2"/>
    </row>
    <row r="417" spans="2:24" ht="15" thickBot="1">
      <c r="B417" s="2"/>
      <c r="D417" s="187" t="s">
        <v>586</v>
      </c>
      <c r="E417" s="279" t="s">
        <v>346</v>
      </c>
      <c r="F417" s="179">
        <v>0.77</v>
      </c>
      <c r="G417" s="189" t="s">
        <v>363</v>
      </c>
      <c r="X417" s="2"/>
    </row>
    <row r="418" spans="2:24" ht="15" thickBot="1">
      <c r="B418" s="2"/>
      <c r="D418" s="187"/>
      <c r="F418" s="1"/>
      <c r="G418" s="189"/>
      <c r="X418" s="2"/>
    </row>
    <row r="419" spans="2:24" ht="15" thickBot="1">
      <c r="B419" s="2"/>
      <c r="D419" s="187" t="s">
        <v>301</v>
      </c>
      <c r="E419" s="279" t="s">
        <v>346</v>
      </c>
      <c r="F419" s="179">
        <v>0.11</v>
      </c>
      <c r="G419" s="189" t="s">
        <v>22</v>
      </c>
      <c r="X419" s="2"/>
    </row>
    <row r="420" spans="2:24" ht="15" thickBot="1">
      <c r="B420" s="2"/>
      <c r="D420" s="187"/>
      <c r="F420" s="1"/>
      <c r="G420" s="189"/>
      <c r="X420" s="2"/>
    </row>
    <row r="421" spans="2:24" ht="15" thickBot="1">
      <c r="B421" s="2"/>
      <c r="D421" s="187" t="s">
        <v>302</v>
      </c>
      <c r="E421" s="279" t="s">
        <v>346</v>
      </c>
      <c r="F421" s="179">
        <v>0.1</v>
      </c>
      <c r="G421" s="188" t="s">
        <v>22</v>
      </c>
      <c r="X421" s="2"/>
    </row>
    <row r="422" spans="2:24" ht="15" thickBot="1">
      <c r="B422" s="2"/>
      <c r="D422" s="187"/>
      <c r="F422" s="1"/>
      <c r="G422" s="188"/>
      <c r="X422" s="2"/>
    </row>
    <row r="423" spans="2:24" ht="15" thickBot="1">
      <c r="B423" s="2"/>
      <c r="D423" s="187" t="s">
        <v>963</v>
      </c>
      <c r="E423" s="279" t="s">
        <v>346</v>
      </c>
      <c r="F423" s="179">
        <v>4.0800000000000003E-3</v>
      </c>
      <c r="G423" s="188" t="s">
        <v>363</v>
      </c>
      <c r="H423" s="130" t="s">
        <v>414</v>
      </c>
      <c r="X423" s="2"/>
    </row>
    <row r="424" spans="2:24" ht="15" thickBot="1">
      <c r="B424" s="2"/>
      <c r="D424" s="187"/>
      <c r="F424" s="1"/>
      <c r="G424" s="188"/>
      <c r="H424" s="130"/>
      <c r="X424" s="2"/>
    </row>
    <row r="425" spans="2:24" ht="15" thickBot="1">
      <c r="B425" s="2"/>
      <c r="D425" s="187" t="s">
        <v>964</v>
      </c>
      <c r="E425" s="279" t="s">
        <v>346</v>
      </c>
      <c r="F425" s="179">
        <v>1.2749999999999999E-2</v>
      </c>
      <c r="G425" s="188" t="s">
        <v>363</v>
      </c>
      <c r="X425" s="2"/>
    </row>
    <row r="426" spans="2:24" ht="15" thickBot="1">
      <c r="B426" s="2"/>
      <c r="D426" s="187"/>
      <c r="F426" s="1"/>
      <c r="G426" s="188"/>
      <c r="X426" s="2"/>
    </row>
    <row r="427" spans="2:24" ht="15" thickBot="1">
      <c r="B427" s="2"/>
      <c r="D427" s="187" t="s">
        <v>965</v>
      </c>
      <c r="E427" s="279" t="s">
        <v>346</v>
      </c>
      <c r="F427" s="179">
        <v>1.0120000000000001E-2</v>
      </c>
      <c r="G427" s="188" t="s">
        <v>363</v>
      </c>
      <c r="X427" s="2"/>
    </row>
    <row r="428" spans="2:24" ht="15" thickBot="1">
      <c r="B428" s="2"/>
      <c r="D428" s="187"/>
      <c r="F428" s="1"/>
      <c r="G428" s="188"/>
      <c r="X428" s="2"/>
    </row>
    <row r="429" spans="2:24" ht="15" thickBot="1">
      <c r="B429" s="2"/>
      <c r="D429" s="187" t="s">
        <v>966</v>
      </c>
      <c r="E429" s="279" t="s">
        <v>346</v>
      </c>
      <c r="F429" s="179">
        <v>7.6999999999999996E-4</v>
      </c>
      <c r="G429" s="188" t="s">
        <v>363</v>
      </c>
      <c r="X429" s="2"/>
    </row>
    <row r="430" spans="2:24" ht="15" thickBot="1">
      <c r="B430" s="2"/>
      <c r="D430" s="187"/>
      <c r="F430" s="1"/>
      <c r="G430" s="188"/>
      <c r="X430" s="2"/>
    </row>
    <row r="431" spans="2:24" ht="15" thickBot="1">
      <c r="B431" s="2"/>
      <c r="D431" s="187" t="s">
        <v>967</v>
      </c>
      <c r="E431" s="279" t="s">
        <v>346</v>
      </c>
      <c r="F431" s="179">
        <v>5.9000000000000003E-4</v>
      </c>
      <c r="G431" s="188" t="s">
        <v>363</v>
      </c>
      <c r="X431" s="2"/>
    </row>
    <row r="432" spans="2:24" ht="15" thickBot="1">
      <c r="B432" s="2"/>
      <c r="D432" s="187"/>
      <c r="F432" s="1"/>
      <c r="G432" s="188"/>
      <c r="X432" s="2"/>
    </row>
    <row r="433" spans="2:24" ht="15" thickBot="1">
      <c r="B433" s="2"/>
      <c r="D433" s="187" t="s">
        <v>968</v>
      </c>
      <c r="E433" s="279" t="s">
        <v>346</v>
      </c>
      <c r="F433" s="179">
        <v>1.09E-3</v>
      </c>
      <c r="G433" s="188" t="s">
        <v>363</v>
      </c>
      <c r="X433" s="2"/>
    </row>
    <row r="434" spans="2:24" ht="15" thickBot="1">
      <c r="B434" s="2"/>
      <c r="D434" s="187"/>
      <c r="F434" s="1"/>
      <c r="G434" s="188"/>
      <c r="X434" s="2"/>
    </row>
    <row r="435" spans="2:24" ht="15" thickBot="1">
      <c r="B435" s="2"/>
      <c r="D435" s="187" t="s">
        <v>11</v>
      </c>
      <c r="E435" s="279" t="s">
        <v>346</v>
      </c>
      <c r="F435" s="179">
        <v>0.72</v>
      </c>
      <c r="G435" s="189" t="s">
        <v>23</v>
      </c>
      <c r="X435" s="2"/>
    </row>
    <row r="436" spans="2:24" ht="15" thickBot="1">
      <c r="B436" s="2"/>
      <c r="D436" s="187"/>
      <c r="F436" s="1"/>
      <c r="G436" s="189"/>
      <c r="X436" s="2"/>
    </row>
    <row r="437" spans="2:24" ht="15" thickBot="1">
      <c r="B437" s="2"/>
      <c r="D437" s="187" t="s">
        <v>9</v>
      </c>
      <c r="E437" s="279" t="s">
        <v>346</v>
      </c>
      <c r="F437" s="179">
        <v>23.4</v>
      </c>
      <c r="G437" s="189"/>
      <c r="X437" s="2"/>
    </row>
    <row r="438" spans="2:24" ht="15" thickBot="1">
      <c r="B438" s="2"/>
      <c r="D438" s="187"/>
      <c r="F438" s="1"/>
      <c r="G438" s="189"/>
      <c r="X438" s="2"/>
    </row>
    <row r="439" spans="2:24" ht="15" thickBot="1">
      <c r="B439" s="2"/>
      <c r="D439" s="187" t="s">
        <v>155</v>
      </c>
      <c r="E439" s="279" t="s">
        <v>346</v>
      </c>
      <c r="F439" s="179">
        <v>0.87</v>
      </c>
      <c r="G439" s="189" t="s">
        <v>156</v>
      </c>
      <c r="X439" s="2"/>
    </row>
    <row r="440" spans="2:24" ht="15" thickBot="1">
      <c r="B440" s="2"/>
      <c r="D440" s="187"/>
      <c r="F440" s="1"/>
      <c r="G440" s="189"/>
      <c r="X440" s="2"/>
    </row>
    <row r="441" spans="2:24" ht="15" thickBot="1">
      <c r="B441" s="2"/>
      <c r="D441" s="187" t="s">
        <v>839</v>
      </c>
      <c r="E441" s="279" t="s">
        <v>346</v>
      </c>
      <c r="F441" s="179">
        <v>3.1700000000000001E-3</v>
      </c>
      <c r="G441" s="188" t="s">
        <v>849</v>
      </c>
      <c r="X441" s="2"/>
    </row>
    <row r="442" spans="2:24" ht="15" thickBot="1">
      <c r="B442" s="2"/>
      <c r="D442" s="187"/>
      <c r="F442" s="1"/>
      <c r="G442" s="188"/>
      <c r="X442" s="2"/>
    </row>
    <row r="443" spans="2:24" ht="15" thickBot="1">
      <c r="B443" s="2"/>
      <c r="D443" s="187" t="s">
        <v>842</v>
      </c>
      <c r="E443" s="279" t="s">
        <v>346</v>
      </c>
      <c r="F443" s="179">
        <v>0.09</v>
      </c>
      <c r="G443" s="189"/>
      <c r="X443" s="2"/>
    </row>
    <row r="444" spans="2:24" ht="15" thickBot="1">
      <c r="B444" s="2"/>
      <c r="D444" s="187"/>
      <c r="F444" s="1"/>
      <c r="G444" s="189"/>
      <c r="X444" s="2"/>
    </row>
    <row r="445" spans="2:24" ht="15" thickBot="1">
      <c r="B445" s="2"/>
      <c r="D445" s="187" t="s">
        <v>843</v>
      </c>
      <c r="E445" s="279" t="s">
        <v>346</v>
      </c>
      <c r="F445" s="179">
        <v>1.87</v>
      </c>
      <c r="G445" s="189"/>
      <c r="X445" s="2"/>
    </row>
    <row r="446" spans="2:24" ht="15" thickBot="1">
      <c r="B446" s="2"/>
      <c r="D446" s="187"/>
      <c r="F446" s="1"/>
      <c r="G446" s="189"/>
      <c r="X446" s="2"/>
    </row>
    <row r="447" spans="2:24" ht="15" thickBot="1">
      <c r="B447" s="2"/>
      <c r="D447" s="187" t="s">
        <v>840</v>
      </c>
      <c r="E447" s="279" t="s">
        <v>346</v>
      </c>
      <c r="F447" s="179">
        <v>0.47</v>
      </c>
      <c r="G447" s="188" t="s">
        <v>848</v>
      </c>
      <c r="X447" s="2"/>
    </row>
    <row r="448" spans="2:24" ht="15" thickBot="1">
      <c r="B448" s="2"/>
      <c r="D448" s="187"/>
      <c r="F448" s="1"/>
      <c r="G448" s="188"/>
      <c r="X448" s="2"/>
    </row>
    <row r="449" spans="2:24" ht="15" thickBot="1">
      <c r="B449" s="2"/>
      <c r="D449" s="187" t="s">
        <v>841</v>
      </c>
      <c r="E449" s="279" t="s">
        <v>346</v>
      </c>
      <c r="F449" s="179">
        <f>1-F447</f>
        <v>0.53</v>
      </c>
      <c r="G449" s="189" t="s">
        <v>848</v>
      </c>
      <c r="X449" s="2"/>
    </row>
    <row r="450" spans="2:24" ht="15" thickBot="1">
      <c r="B450" s="2"/>
      <c r="D450" s="187"/>
      <c r="F450" s="1"/>
      <c r="G450" s="189"/>
      <c r="X450" s="2"/>
    </row>
    <row r="451" spans="2:24" ht="15" thickBot="1">
      <c r="B451" s="2"/>
      <c r="D451" s="187" t="s">
        <v>1057</v>
      </c>
      <c r="E451" s="279" t="s">
        <v>346</v>
      </c>
      <c r="F451" s="179">
        <f ca="1">'Parameter Inputs'!K786/3</f>
        <v>4.0149734327567659</v>
      </c>
      <c r="G451" s="189"/>
      <c r="X451" s="2"/>
    </row>
    <row r="452" spans="2:24" ht="15" thickBot="1">
      <c r="B452" s="2"/>
      <c r="D452" s="187"/>
      <c r="F452" s="1"/>
      <c r="G452" s="189"/>
      <c r="X452" s="2"/>
    </row>
    <row r="453" spans="2:24" ht="15" thickBot="1">
      <c r="B453" s="2"/>
      <c r="D453" s="187" t="s">
        <v>1058</v>
      </c>
      <c r="E453" s="279" t="s">
        <v>346</v>
      </c>
      <c r="F453" s="179">
        <v>0.79</v>
      </c>
      <c r="G453" s="189"/>
      <c r="X453" s="2"/>
    </row>
    <row r="454" spans="2:24" ht="15" thickBot="1">
      <c r="B454" s="2"/>
      <c r="D454" s="187"/>
      <c r="F454" s="1"/>
      <c r="G454" s="189"/>
      <c r="X454" s="2"/>
    </row>
    <row r="455" spans="2:24" ht="15" thickBot="1">
      <c r="B455" s="2"/>
      <c r="D455" s="187" t="s">
        <v>1059</v>
      </c>
      <c r="E455" s="279" t="s">
        <v>346</v>
      </c>
      <c r="F455" s="179">
        <v>1.66</v>
      </c>
      <c r="G455" s="189"/>
      <c r="X455" s="2"/>
    </row>
    <row r="456" spans="2:24" ht="15" thickBot="1">
      <c r="B456" s="2"/>
      <c r="D456" s="187"/>
      <c r="F456" s="1"/>
      <c r="G456" s="189"/>
      <c r="X456" s="2"/>
    </row>
    <row r="457" spans="2:24" ht="15" thickBot="1">
      <c r="B457" s="2"/>
      <c r="D457" s="187" t="s">
        <v>1060</v>
      </c>
      <c r="E457" s="279" t="s">
        <v>346</v>
      </c>
      <c r="F457" s="179">
        <f ca="1">F455/(PI()*F451)</f>
        <v>0.13160595453860469</v>
      </c>
      <c r="G457" s="189"/>
      <c r="X457" s="2"/>
    </row>
    <row r="458" spans="2:24" ht="15" thickBot="1">
      <c r="B458" s="2"/>
      <c r="D458" s="187"/>
      <c r="F458" s="1"/>
      <c r="G458" s="189"/>
      <c r="X458" s="2"/>
    </row>
    <row r="459" spans="2:24" ht="15" thickBot="1">
      <c r="B459" s="2"/>
      <c r="D459" s="187" t="s">
        <v>1062</v>
      </c>
      <c r="E459" s="279" t="s">
        <v>346</v>
      </c>
      <c r="F459" s="179">
        <v>0.9</v>
      </c>
      <c r="G459" s="189"/>
      <c r="X459" s="2"/>
    </row>
    <row r="460" spans="2:24" ht="15" thickBot="1">
      <c r="B460" s="2"/>
      <c r="D460" s="187"/>
      <c r="F460" s="1"/>
      <c r="G460" s="189"/>
      <c r="X460" s="2"/>
    </row>
    <row r="461" spans="2:24" ht="15" thickBot="1">
      <c r="B461" s="2"/>
      <c r="D461" s="187" t="s">
        <v>1061</v>
      </c>
      <c r="E461" s="279" t="s">
        <v>346</v>
      </c>
      <c r="F461" s="179">
        <f ca="1">((F453*1000*(F457^3)*(F451^5))/F459)/1000</f>
        <v>2.0874908457283747</v>
      </c>
      <c r="G461" s="189"/>
      <c r="X461" s="2"/>
    </row>
    <row r="462" spans="2:24" ht="15" thickBot="1">
      <c r="B462" s="2"/>
      <c r="D462" s="187"/>
      <c r="F462" s="1"/>
      <c r="G462" s="189"/>
      <c r="X462" s="2"/>
    </row>
    <row r="463" spans="2:24" ht="15" thickBot="1">
      <c r="B463" s="2"/>
      <c r="D463" s="187" t="s">
        <v>1249</v>
      </c>
      <c r="E463" s="279" t="s">
        <v>346</v>
      </c>
      <c r="F463" s="179">
        <f ca="1">F461*24</f>
        <v>50.09978029748099</v>
      </c>
      <c r="G463" s="189"/>
      <c r="X463" s="2"/>
    </row>
    <row r="464" spans="2:24" ht="15" thickBot="1">
      <c r="B464" s="2"/>
      <c r="D464" s="187"/>
      <c r="F464" s="1"/>
      <c r="G464" s="189"/>
      <c r="X464" s="2"/>
    </row>
    <row r="465" spans="2:24" ht="15" thickBot="1">
      <c r="B465" s="2"/>
      <c r="D465" s="187" t="s">
        <v>1250</v>
      </c>
      <c r="E465" s="176" t="s">
        <v>346</v>
      </c>
      <c r="F465" s="179">
        <f ca="1">F463*5</f>
        <v>250.49890148740496</v>
      </c>
      <c r="G465" s="189"/>
      <c r="X465" s="2"/>
    </row>
    <row r="466" spans="2:24">
      <c r="B466" s="2"/>
      <c r="F466" s="105"/>
      <c r="X466" s="2"/>
    </row>
    <row r="467" spans="2:24" ht="15" thickBot="1">
      <c r="B467" s="2"/>
      <c r="D467" s="100" t="s">
        <v>349</v>
      </c>
      <c r="F467" s="105"/>
      <c r="G467" s="100" t="s">
        <v>347</v>
      </c>
      <c r="X467" s="2"/>
    </row>
    <row r="468" spans="2:24" ht="15" thickBot="1">
      <c r="B468" s="2"/>
      <c r="D468" s="101" t="s">
        <v>306</v>
      </c>
      <c r="E468" s="279" t="s">
        <v>346</v>
      </c>
      <c r="F468" s="179">
        <v>0.93</v>
      </c>
      <c r="G468" s="193" t="s">
        <v>1753</v>
      </c>
      <c r="X468" s="2"/>
    </row>
    <row r="469" spans="2:24" ht="15" thickBot="1">
      <c r="B469" s="2"/>
      <c r="D469" s="101"/>
      <c r="F469" s="1"/>
      <c r="G469" s="101"/>
      <c r="X469" s="2"/>
    </row>
    <row r="470" spans="2:24" ht="15" thickBot="1">
      <c r="B470" s="2"/>
      <c r="D470" s="5" t="s">
        <v>11</v>
      </c>
      <c r="E470" s="279" t="s">
        <v>346</v>
      </c>
      <c r="F470" s="179">
        <v>1.88</v>
      </c>
      <c r="G470" s="131" t="s">
        <v>22</v>
      </c>
      <c r="X470" s="2"/>
    </row>
    <row r="471" spans="2:24" ht="15" thickBot="1">
      <c r="B471" s="2"/>
      <c r="F471" s="1"/>
      <c r="G471" s="131"/>
      <c r="X471" s="2"/>
    </row>
    <row r="472" spans="2:24" ht="15" thickBot="1">
      <c r="B472" s="2"/>
      <c r="D472" s="101" t="s">
        <v>355</v>
      </c>
      <c r="E472" s="176" t="s">
        <v>346</v>
      </c>
      <c r="F472" s="179">
        <v>0.3</v>
      </c>
      <c r="G472" s="190" t="s">
        <v>356</v>
      </c>
      <c r="N472" s="110"/>
      <c r="X472" s="2"/>
    </row>
    <row r="473" spans="2:24">
      <c r="B473" s="2"/>
      <c r="F473" s="105"/>
      <c r="G473" s="131"/>
      <c r="X473" s="2"/>
    </row>
    <row r="474" spans="2:24">
      <c r="B474" s="2"/>
      <c r="F474" s="105"/>
      <c r="X474" s="2"/>
    </row>
    <row r="475" spans="2:24" ht="15" thickBot="1">
      <c r="B475" s="2"/>
      <c r="D475" s="191" t="s">
        <v>350</v>
      </c>
      <c r="F475" s="105"/>
      <c r="G475" s="191" t="s">
        <v>347</v>
      </c>
      <c r="H475" s="192"/>
      <c r="X475" s="2"/>
    </row>
    <row r="476" spans="2:24" ht="15" thickBot="1">
      <c r="B476" s="2"/>
      <c r="D476" s="101" t="s">
        <v>21</v>
      </c>
      <c r="E476" s="279" t="s">
        <v>346</v>
      </c>
      <c r="F476" s="179">
        <v>0.19590593780996099</v>
      </c>
      <c r="G476" s="193" t="s">
        <v>23</v>
      </c>
      <c r="H476" s="101"/>
      <c r="X476" s="2"/>
    </row>
    <row r="477" spans="2:24" ht="15" thickBot="1">
      <c r="B477" s="2"/>
      <c r="D477" s="101"/>
      <c r="F477" s="1"/>
      <c r="G477" s="193"/>
      <c r="H477" s="101"/>
      <c r="X477" s="2"/>
    </row>
    <row r="478" spans="2:24" ht="15" thickBot="1">
      <c r="B478" s="2"/>
      <c r="D478" s="5" t="s">
        <v>591</v>
      </c>
      <c r="E478" s="279" t="s">
        <v>346</v>
      </c>
      <c r="F478" s="179">
        <v>0.54</v>
      </c>
      <c r="G478" s="130" t="s">
        <v>369</v>
      </c>
      <c r="X478" s="2"/>
    </row>
    <row r="479" spans="2:24" ht="15" thickBot="1">
      <c r="B479" s="2"/>
      <c r="F479" s="1"/>
      <c r="G479" s="130"/>
      <c r="X479" s="2"/>
    </row>
    <row r="480" spans="2:24" ht="15" thickBot="1">
      <c r="B480" s="2"/>
      <c r="D480" s="101" t="s">
        <v>590</v>
      </c>
      <c r="E480" s="279" t="s">
        <v>346</v>
      </c>
      <c r="F480" s="179">
        <v>0.36</v>
      </c>
      <c r="G480" s="193" t="s">
        <v>369</v>
      </c>
      <c r="H480" s="101"/>
      <c r="X480" s="2"/>
    </row>
    <row r="481" spans="2:24" ht="15" thickBot="1">
      <c r="B481" s="2"/>
      <c r="D481" s="101"/>
      <c r="F481" s="1"/>
      <c r="G481" s="193"/>
      <c r="H481" s="101"/>
      <c r="X481" s="2"/>
    </row>
    <row r="482" spans="2:24" ht="15" thickBot="1">
      <c r="B482" s="2"/>
      <c r="D482" s="5" t="s">
        <v>592</v>
      </c>
      <c r="E482" s="279" t="s">
        <v>346</v>
      </c>
      <c r="F482" s="179">
        <v>0.99</v>
      </c>
      <c r="G482" s="130" t="s">
        <v>369</v>
      </c>
      <c r="X482" s="2"/>
    </row>
    <row r="483" spans="2:24" ht="15" thickBot="1">
      <c r="B483" s="2"/>
      <c r="F483" s="1"/>
      <c r="G483" s="130"/>
      <c r="X483" s="2"/>
    </row>
    <row r="484" spans="2:24" ht="15" thickBot="1">
      <c r="B484" s="2"/>
      <c r="D484" s="5" t="s">
        <v>779</v>
      </c>
      <c r="E484" s="279" t="s">
        <v>346</v>
      </c>
      <c r="F484" s="179">
        <f>1-F482</f>
        <v>1.0000000000000009E-2</v>
      </c>
      <c r="G484" s="130"/>
      <c r="X484" s="2"/>
    </row>
    <row r="485" spans="2:24" ht="15" thickBot="1">
      <c r="B485" s="2"/>
      <c r="F485" s="1"/>
      <c r="G485" s="130"/>
      <c r="X485" s="2"/>
    </row>
    <row r="486" spans="2:24" ht="15" thickBot="1">
      <c r="B486" s="2"/>
      <c r="D486" s="5" t="s">
        <v>99</v>
      </c>
      <c r="E486" s="279" t="s">
        <v>346</v>
      </c>
      <c r="F486" s="179">
        <v>1000</v>
      </c>
      <c r="G486" s="131"/>
      <c r="X486" s="2"/>
    </row>
    <row r="487" spans="2:24" ht="15" thickBot="1">
      <c r="B487" s="2"/>
      <c r="F487" s="1"/>
      <c r="G487" s="131"/>
      <c r="X487" s="2"/>
    </row>
    <row r="488" spans="2:24" ht="15" thickBot="1">
      <c r="B488" s="2"/>
      <c r="D488" s="101" t="s">
        <v>104</v>
      </c>
      <c r="E488" s="279" t="s">
        <v>346</v>
      </c>
      <c r="F488" s="179">
        <v>2.5099999999999998</v>
      </c>
      <c r="G488" s="193" t="s">
        <v>23</v>
      </c>
      <c r="H488" s="101"/>
      <c r="X488" s="2"/>
    </row>
    <row r="489" spans="2:24" ht="15" thickBot="1">
      <c r="B489" s="2"/>
      <c r="D489" s="101"/>
      <c r="F489" s="1"/>
      <c r="G489" s="193"/>
      <c r="H489" s="101"/>
      <c r="X489" s="2"/>
    </row>
    <row r="490" spans="2:24" ht="15" thickBot="1">
      <c r="B490" s="2"/>
      <c r="D490" s="5" t="s">
        <v>158</v>
      </c>
      <c r="E490" s="279" t="s">
        <v>346</v>
      </c>
      <c r="F490" s="179">
        <v>0.5</v>
      </c>
      <c r="G490" s="131"/>
      <c r="X490" s="2"/>
    </row>
    <row r="491" spans="2:24" ht="15" thickBot="1">
      <c r="B491" s="2"/>
      <c r="F491" s="1"/>
      <c r="G491" s="131"/>
      <c r="X491" s="2"/>
    </row>
    <row r="492" spans="2:24" ht="15" thickBot="1">
      <c r="B492" s="2"/>
      <c r="D492" s="101" t="s">
        <v>905</v>
      </c>
      <c r="E492" s="279" t="s">
        <v>346</v>
      </c>
      <c r="F492" s="179">
        <f>(F490*24)*F494</f>
        <v>0.67200000000000004</v>
      </c>
      <c r="G492" s="193" t="s">
        <v>906</v>
      </c>
      <c r="H492" s="101"/>
      <c r="X492" s="2"/>
    </row>
    <row r="493" spans="2:24" ht="15" thickBot="1">
      <c r="B493" s="2"/>
      <c r="D493" s="101"/>
      <c r="F493" s="1"/>
      <c r="G493" s="193"/>
      <c r="H493" s="101"/>
      <c r="X493" s="2"/>
    </row>
    <row r="494" spans="2:24" ht="15" thickBot="1">
      <c r="B494" s="2"/>
      <c r="D494" s="5" t="s">
        <v>972</v>
      </c>
      <c r="E494" s="279" t="s">
        <v>346</v>
      </c>
      <c r="F494" s="179">
        <v>5.6000000000000001E-2</v>
      </c>
      <c r="G494" s="131" t="s">
        <v>22</v>
      </c>
      <c r="X494" s="2"/>
    </row>
    <row r="495" spans="2:24" ht="15" thickBot="1">
      <c r="B495" s="2"/>
      <c r="F495" s="1"/>
      <c r="G495" s="131"/>
      <c r="X495" s="2"/>
    </row>
    <row r="496" spans="2:24" ht="15" thickBot="1">
      <c r="B496" s="2"/>
      <c r="D496" s="101" t="s">
        <v>854</v>
      </c>
      <c r="E496" s="279" t="s">
        <v>346</v>
      </c>
      <c r="F496" s="179">
        <v>0.93</v>
      </c>
      <c r="G496" s="193" t="s">
        <v>855</v>
      </c>
      <c r="H496" s="101"/>
      <c r="X496" s="2"/>
    </row>
    <row r="497" spans="2:24" ht="15" thickBot="1">
      <c r="B497" s="2"/>
      <c r="D497" s="101"/>
      <c r="F497" s="1"/>
      <c r="G497" s="193"/>
      <c r="H497" s="101"/>
      <c r="X497" s="2"/>
    </row>
    <row r="498" spans="2:24" ht="15" thickBot="1">
      <c r="B498" s="2"/>
      <c r="D498" s="5" t="s">
        <v>298</v>
      </c>
      <c r="E498" s="279" t="s">
        <v>346</v>
      </c>
      <c r="F498" s="179">
        <v>3</v>
      </c>
      <c r="G498" s="130" t="s">
        <v>300</v>
      </c>
      <c r="X498" s="2"/>
    </row>
    <row r="499" spans="2:24" ht="15" thickBot="1">
      <c r="B499" s="2"/>
      <c r="F499" s="1"/>
      <c r="G499" s="130"/>
      <c r="X499" s="2"/>
    </row>
    <row r="500" spans="2:24" ht="15" thickBot="1">
      <c r="B500" s="2"/>
      <c r="D500" s="101" t="s">
        <v>364</v>
      </c>
      <c r="E500" s="279" t="s">
        <v>346</v>
      </c>
      <c r="F500" s="179">
        <v>0.03</v>
      </c>
      <c r="G500" s="193" t="s">
        <v>365</v>
      </c>
      <c r="H500" s="101"/>
      <c r="X500" s="2"/>
    </row>
    <row r="501" spans="2:24" ht="15" thickBot="1">
      <c r="B501" s="2"/>
      <c r="D501" s="101"/>
      <c r="F501" s="1"/>
      <c r="G501" s="193"/>
      <c r="H501" s="101"/>
      <c r="X501" s="2"/>
    </row>
    <row r="502" spans="2:24" ht="15" thickBot="1">
      <c r="B502" s="2"/>
      <c r="D502" s="5" t="s">
        <v>372</v>
      </c>
      <c r="E502" s="279" t="s">
        <v>346</v>
      </c>
      <c r="F502" s="179">
        <v>0.2</v>
      </c>
      <c r="G502" s="131" t="s">
        <v>369</v>
      </c>
      <c r="X502" s="2"/>
    </row>
    <row r="503" spans="2:24" ht="15" thickBot="1">
      <c r="B503" s="2"/>
      <c r="F503" s="1"/>
      <c r="G503" s="131"/>
      <c r="X503" s="2"/>
    </row>
    <row r="504" spans="2:24" ht="15" thickBot="1">
      <c r="B504" s="2"/>
      <c r="D504" s="101" t="s">
        <v>373</v>
      </c>
      <c r="E504" s="279" t="s">
        <v>346</v>
      </c>
      <c r="F504" s="179">
        <v>0.02</v>
      </c>
      <c r="G504" s="190" t="s">
        <v>369</v>
      </c>
      <c r="H504" s="101"/>
      <c r="X504" s="2"/>
    </row>
    <row r="505" spans="2:24" ht="15" thickBot="1">
      <c r="B505" s="2"/>
      <c r="D505" s="101"/>
      <c r="F505" s="1"/>
      <c r="G505" s="190"/>
      <c r="H505" s="101"/>
      <c r="X505" s="2"/>
    </row>
    <row r="506" spans="2:24" ht="15" thickBot="1">
      <c r="B506" s="2"/>
      <c r="D506" s="5" t="s">
        <v>391</v>
      </c>
      <c r="E506" s="279" t="s">
        <v>346</v>
      </c>
      <c r="F506" s="179">
        <f>1-(F504/F502)</f>
        <v>0.9</v>
      </c>
      <c r="G506" s="131"/>
      <c r="X506" s="2"/>
    </row>
    <row r="507" spans="2:24" ht="15" thickBot="1">
      <c r="B507" s="2"/>
      <c r="F507" s="1"/>
      <c r="G507" s="131"/>
      <c r="X507" s="2"/>
    </row>
    <row r="508" spans="2:24" ht="15" thickBot="1">
      <c r="B508" s="2"/>
      <c r="D508" s="101" t="s">
        <v>385</v>
      </c>
      <c r="E508" s="279" t="s">
        <v>346</v>
      </c>
      <c r="F508" s="179">
        <v>0.81</v>
      </c>
      <c r="G508" s="190" t="s">
        <v>386</v>
      </c>
      <c r="H508" s="101"/>
      <c r="X508" s="2"/>
    </row>
    <row r="509" spans="2:24" ht="15" thickBot="1">
      <c r="B509" s="2"/>
      <c r="D509" s="101"/>
      <c r="F509" s="1"/>
      <c r="G509" s="190"/>
      <c r="H509" s="101"/>
      <c r="X509" s="2"/>
    </row>
    <row r="510" spans="2:24" ht="15" thickBot="1">
      <c r="B510" s="2"/>
      <c r="D510" s="5" t="s">
        <v>388</v>
      </c>
      <c r="E510" s="279" t="s">
        <v>346</v>
      </c>
      <c r="F510" s="179">
        <f>F508*(I1678/M1676)</f>
        <v>0.87059930232558147</v>
      </c>
      <c r="G510" s="131" t="s">
        <v>386</v>
      </c>
      <c r="X510" s="2"/>
    </row>
    <row r="511" spans="2:24" ht="15" thickBot="1">
      <c r="B511" s="2"/>
      <c r="F511" s="1"/>
      <c r="G511" s="131"/>
      <c r="X511" s="2"/>
    </row>
    <row r="512" spans="2:24" ht="15" thickBot="1">
      <c r="B512" s="2"/>
      <c r="D512" s="101" t="s">
        <v>392</v>
      </c>
      <c r="E512" s="279" t="s">
        <v>346</v>
      </c>
      <c r="F512" s="179">
        <v>2.1000000000000001E-2</v>
      </c>
      <c r="G512" s="190" t="s">
        <v>393</v>
      </c>
      <c r="H512" s="101"/>
      <c r="X512" s="2"/>
    </row>
    <row r="513" spans="2:24" ht="15" thickBot="1">
      <c r="B513" s="2"/>
      <c r="D513" s="101"/>
      <c r="F513" s="1"/>
      <c r="G513" s="190"/>
      <c r="H513" s="101"/>
      <c r="X513" s="2"/>
    </row>
    <row r="514" spans="2:24" ht="15" thickBot="1">
      <c r="B514" s="2"/>
      <c r="D514" s="5" t="s">
        <v>437</v>
      </c>
      <c r="E514" s="279" t="s">
        <v>346</v>
      </c>
      <c r="F514" s="179">
        <v>0.04</v>
      </c>
      <c r="G514" s="131" t="s">
        <v>438</v>
      </c>
      <c r="X514" s="2"/>
    </row>
    <row r="515" spans="2:24" ht="15" thickBot="1">
      <c r="B515" s="2"/>
      <c r="F515" s="1"/>
      <c r="G515" s="131"/>
      <c r="X515" s="2"/>
    </row>
    <row r="516" spans="2:24" ht="15" thickBot="1">
      <c r="B516" s="2"/>
      <c r="D516" s="101" t="s">
        <v>489</v>
      </c>
      <c r="E516" s="279" t="s">
        <v>346</v>
      </c>
      <c r="F516" s="179">
        <v>0.16</v>
      </c>
      <c r="G516" s="193" t="s">
        <v>488</v>
      </c>
      <c r="H516" s="101"/>
      <c r="X516" s="2"/>
    </row>
    <row r="517" spans="2:24" ht="15" thickBot="1">
      <c r="B517" s="2"/>
      <c r="D517" s="101"/>
      <c r="F517" s="1"/>
      <c r="G517" s="193"/>
      <c r="H517" s="101"/>
      <c r="X517" s="2"/>
    </row>
    <row r="518" spans="2:24" ht="15" thickBot="1">
      <c r="B518" s="2"/>
      <c r="D518" s="5" t="s">
        <v>490</v>
      </c>
      <c r="E518" s="279" t="s">
        <v>346</v>
      </c>
      <c r="F518" s="179">
        <v>0.59</v>
      </c>
      <c r="G518" s="131"/>
      <c r="X518" s="2"/>
    </row>
    <row r="519" spans="2:24" ht="15" thickBot="1">
      <c r="B519" s="2"/>
      <c r="F519" s="1"/>
      <c r="G519" s="131"/>
      <c r="X519" s="2"/>
    </row>
    <row r="520" spans="2:24" ht="15" thickBot="1">
      <c r="B520" s="2"/>
      <c r="D520" s="101" t="s">
        <v>876</v>
      </c>
      <c r="E520" s="279" t="s">
        <v>346</v>
      </c>
      <c r="F520" s="179">
        <f>0.005</f>
        <v>5.0000000000000001E-3</v>
      </c>
      <c r="G520" s="193" t="s">
        <v>369</v>
      </c>
      <c r="H520" s="101"/>
      <c r="X520" s="2"/>
    </row>
    <row r="521" spans="2:24" ht="15" thickBot="1">
      <c r="B521" s="2"/>
      <c r="D521" s="101"/>
      <c r="F521" s="1"/>
      <c r="G521" s="193"/>
      <c r="H521" s="101"/>
      <c r="X521" s="2"/>
    </row>
    <row r="522" spans="2:24" ht="15" thickBot="1">
      <c r="B522" s="2"/>
      <c r="D522" s="5" t="s">
        <v>877</v>
      </c>
      <c r="E522" s="279" t="s">
        <v>346</v>
      </c>
      <c r="F522" s="179">
        <f>0.0016</f>
        <v>1.6000000000000001E-3</v>
      </c>
      <c r="G522" s="131" t="s">
        <v>369</v>
      </c>
      <c r="X522" s="2"/>
    </row>
    <row r="523" spans="2:24" ht="15" thickBot="1">
      <c r="B523" s="2"/>
      <c r="F523" s="1"/>
      <c r="G523" s="131"/>
      <c r="X523" s="2"/>
    </row>
    <row r="524" spans="2:24" ht="15" thickBot="1">
      <c r="B524" s="2"/>
      <c r="D524" s="101" t="s">
        <v>1014</v>
      </c>
      <c r="E524" s="279" t="s">
        <v>346</v>
      </c>
      <c r="F524" s="179">
        <f ca="1">('Parameter Inputs'!E1110-(('Parameter Inputs'!E1110*(1-'Parameter Inputs'!F482))+'Parameter Inputs'!H1106))/('Parameter Inputs'!E1110*'Parameter Inputs'!F482)</f>
        <v>0.46</v>
      </c>
      <c r="G524" s="193" t="s">
        <v>1753</v>
      </c>
      <c r="H524" s="101"/>
      <c r="X524" s="2"/>
    </row>
    <row r="525" spans="2:24" ht="15" thickBot="1">
      <c r="B525" s="2"/>
      <c r="D525" s="101"/>
      <c r="F525" s="1"/>
      <c r="G525" s="193"/>
      <c r="H525" s="101"/>
      <c r="X525" s="2"/>
    </row>
    <row r="526" spans="2:24" ht="15" thickBot="1">
      <c r="B526" s="2"/>
      <c r="D526" s="5" t="s">
        <v>1015</v>
      </c>
      <c r="E526" s="279" t="s">
        <v>346</v>
      </c>
      <c r="F526" s="179">
        <f ca="1">F524+'Parameter Inputs'!F478</f>
        <v>1</v>
      </c>
      <c r="G526" s="131" t="s">
        <v>1753</v>
      </c>
      <c r="X526" s="2"/>
    </row>
    <row r="527" spans="2:24" ht="15" thickBot="1">
      <c r="B527" s="2"/>
      <c r="F527" s="1"/>
      <c r="G527" s="131"/>
      <c r="X527" s="2"/>
    </row>
    <row r="528" spans="2:24" ht="15" thickBot="1">
      <c r="B528" s="2"/>
      <c r="D528" s="101" t="s">
        <v>1017</v>
      </c>
      <c r="E528" s="176" t="s">
        <v>346</v>
      </c>
      <c r="F528" s="179">
        <v>1.38</v>
      </c>
      <c r="G528" s="193" t="s">
        <v>1018</v>
      </c>
      <c r="H528" s="101"/>
      <c r="X528" s="2"/>
    </row>
    <row r="529" spans="2:24">
      <c r="B529" s="2"/>
      <c r="F529" s="1"/>
      <c r="G529" s="131"/>
      <c r="X529" s="2"/>
    </row>
    <row r="530" spans="2:24">
      <c r="B530" s="2"/>
      <c r="F530" s="105"/>
      <c r="X530" s="2"/>
    </row>
    <row r="531" spans="2:24" ht="15" thickBot="1">
      <c r="B531" s="2"/>
      <c r="D531" s="191" t="s">
        <v>25</v>
      </c>
      <c r="F531" s="105"/>
      <c r="G531" s="191" t="s">
        <v>347</v>
      </c>
      <c r="H531" s="192"/>
      <c r="I531" s="192"/>
      <c r="J531" s="192"/>
      <c r="X531" s="2"/>
    </row>
    <row r="532" spans="2:24" ht="15" thickBot="1">
      <c r="B532" s="2"/>
      <c r="D532" s="101" t="s">
        <v>26</v>
      </c>
      <c r="E532" s="279" t="s">
        <v>346</v>
      </c>
      <c r="F532" s="179">
        <f>1-F476</f>
        <v>0.80409406219003898</v>
      </c>
      <c r="G532" s="193"/>
      <c r="H532" s="101"/>
      <c r="I532" s="101"/>
      <c r="J532" s="101"/>
      <c r="X532" s="2"/>
    </row>
    <row r="533" spans="2:24" ht="15" thickBot="1">
      <c r="B533" s="2"/>
      <c r="D533" s="101"/>
      <c r="F533" s="1"/>
      <c r="G533" s="193"/>
      <c r="H533" s="101"/>
      <c r="I533" s="101"/>
      <c r="J533" s="101"/>
      <c r="X533" s="2"/>
    </row>
    <row r="534" spans="2:24" ht="15" thickBot="1">
      <c r="B534" s="2"/>
      <c r="D534" s="5" t="s">
        <v>436</v>
      </c>
      <c r="E534" s="279" t="s">
        <v>346</v>
      </c>
      <c r="F534" s="179">
        <v>2</v>
      </c>
      <c r="G534" s="131" t="s">
        <v>369</v>
      </c>
      <c r="X534" s="2"/>
    </row>
    <row r="535" spans="2:24" ht="15" thickBot="1">
      <c r="B535" s="2"/>
      <c r="F535" s="1"/>
      <c r="G535" s="131"/>
      <c r="X535" s="2"/>
    </row>
    <row r="536" spans="2:24" ht="15" thickBot="1">
      <c r="B536" s="2"/>
      <c r="D536" s="101" t="s">
        <v>850</v>
      </c>
      <c r="E536" s="279" t="s">
        <v>346</v>
      </c>
      <c r="F536" s="179">
        <v>0.9</v>
      </c>
      <c r="G536" s="190" t="s">
        <v>299</v>
      </c>
      <c r="H536" s="101"/>
      <c r="I536" s="101"/>
      <c r="J536" s="101"/>
      <c r="X536" s="2"/>
    </row>
    <row r="537" spans="2:24" ht="15" thickBot="1">
      <c r="B537" s="2"/>
      <c r="D537" s="101"/>
      <c r="F537" s="1"/>
      <c r="G537" s="190"/>
      <c r="H537" s="101"/>
      <c r="I537" s="101"/>
      <c r="J537" s="101"/>
      <c r="X537" s="2"/>
    </row>
    <row r="538" spans="2:24" ht="15" thickBot="1">
      <c r="B538" s="2"/>
      <c r="D538" s="5" t="s">
        <v>851</v>
      </c>
      <c r="E538" s="279" t="s">
        <v>346</v>
      </c>
      <c r="F538" s="179">
        <v>0.21</v>
      </c>
      <c r="G538" s="130" t="s">
        <v>910</v>
      </c>
      <c r="I538" s="132"/>
      <c r="X538" s="2"/>
    </row>
    <row r="539" spans="2:24" ht="15" thickBot="1">
      <c r="B539" s="2"/>
      <c r="F539" s="1"/>
      <c r="G539" s="130"/>
      <c r="I539" s="132"/>
      <c r="X539" s="2"/>
    </row>
    <row r="540" spans="2:24" ht="15" thickBot="1">
      <c r="B540" s="2"/>
      <c r="D540" s="101" t="s">
        <v>852</v>
      </c>
      <c r="E540" s="279" t="s">
        <v>346</v>
      </c>
      <c r="F540" s="179">
        <v>0.41</v>
      </c>
      <c r="G540" s="190" t="s">
        <v>910</v>
      </c>
      <c r="H540" s="101"/>
      <c r="I540" s="101"/>
      <c r="J540" s="101"/>
      <c r="X540" s="2"/>
    </row>
    <row r="541" spans="2:24" ht="15" thickBot="1">
      <c r="B541" s="2"/>
      <c r="D541" s="101"/>
      <c r="F541" s="1"/>
      <c r="G541" s="190"/>
      <c r="H541" s="101"/>
      <c r="I541" s="101"/>
      <c r="J541" s="101"/>
      <c r="X541" s="2"/>
    </row>
    <row r="542" spans="2:24" ht="15" thickBot="1">
      <c r="B542" s="2"/>
      <c r="D542" s="5" t="s">
        <v>100</v>
      </c>
      <c r="E542" s="279" t="s">
        <v>346</v>
      </c>
      <c r="F542" s="179">
        <v>0.45</v>
      </c>
      <c r="G542" s="131" t="s">
        <v>30</v>
      </c>
      <c r="X542" s="2"/>
    </row>
    <row r="543" spans="2:24" ht="15" thickBot="1">
      <c r="B543" s="2"/>
      <c r="F543" s="1"/>
      <c r="G543" s="131"/>
      <c r="X543" s="2"/>
    </row>
    <row r="544" spans="2:24" ht="15" thickBot="1">
      <c r="B544" s="2"/>
      <c r="D544" s="101" t="s">
        <v>55</v>
      </c>
      <c r="E544" s="279" t="s">
        <v>346</v>
      </c>
      <c r="F544" s="179">
        <v>0.25</v>
      </c>
      <c r="G544" s="193"/>
      <c r="H544" s="101"/>
      <c r="I544" s="101"/>
      <c r="J544" s="101"/>
      <c r="X544" s="2"/>
    </row>
    <row r="545" spans="2:24" ht="15" thickBot="1">
      <c r="B545" s="2"/>
      <c r="D545" s="101"/>
      <c r="F545" s="1"/>
      <c r="G545" s="193"/>
      <c r="H545" s="101"/>
      <c r="I545" s="101"/>
      <c r="J545" s="101"/>
      <c r="X545" s="2"/>
    </row>
    <row r="546" spans="2:24" ht="15" thickBot="1">
      <c r="B546" s="2"/>
      <c r="D546" s="5" t="s">
        <v>104</v>
      </c>
      <c r="E546" s="279" t="s">
        <v>346</v>
      </c>
      <c r="F546" s="179">
        <v>2.4</v>
      </c>
      <c r="G546" s="131"/>
      <c r="X546" s="2"/>
    </row>
    <row r="547" spans="2:24" ht="15" thickBot="1">
      <c r="B547" s="2"/>
      <c r="F547" s="1"/>
      <c r="G547" s="131"/>
      <c r="X547" s="2"/>
    </row>
    <row r="548" spans="2:24" ht="15" thickBot="1">
      <c r="B548" s="2"/>
      <c r="D548" s="101" t="s">
        <v>1020</v>
      </c>
      <c r="E548" s="279" t="s">
        <v>346</v>
      </c>
      <c r="F548" s="179">
        <f ca="1">IFERROR(('Parameter Inputs'!K1108-(('Parameter Inputs'!K1108*(1-'Parameter Inputs'!F536))+'Parameter Inputs'!N1111+('Parameter Inputs'!N1109*1.42)))/('Parameter Inputs'!K1108*'Parameter Inputs'!F536),0)</f>
        <v>0.19569919436006694</v>
      </c>
      <c r="G548" s="193"/>
      <c r="H548" s="101"/>
      <c r="I548" s="101"/>
      <c r="J548" s="101"/>
      <c r="X548" s="2"/>
    </row>
    <row r="549" spans="2:24" ht="15" thickBot="1">
      <c r="B549" s="2"/>
      <c r="D549" s="101"/>
      <c r="F549" s="1"/>
      <c r="G549" s="193"/>
      <c r="H549" s="101"/>
      <c r="I549" s="101"/>
      <c r="J549" s="101"/>
      <c r="X549" s="2"/>
    </row>
    <row r="550" spans="2:24" ht="15" thickBot="1">
      <c r="B550" s="2"/>
      <c r="D550" s="5" t="s">
        <v>1021</v>
      </c>
      <c r="E550" s="279" t="s">
        <v>346</v>
      </c>
      <c r="F550" s="179">
        <f ca="1">F548+F538+F540</f>
        <v>0.81569919436006688</v>
      </c>
      <c r="G550" s="131"/>
      <c r="X550" s="2"/>
    </row>
    <row r="551" spans="2:24" ht="15" thickBot="1">
      <c r="B551" s="2"/>
      <c r="F551" s="1"/>
      <c r="G551" s="131"/>
      <c r="X551" s="2"/>
    </row>
    <row r="552" spans="2:24" ht="15" thickBot="1">
      <c r="B552" s="2"/>
      <c r="D552" s="101" t="s">
        <v>1017</v>
      </c>
      <c r="E552" s="176" t="s">
        <v>346</v>
      </c>
      <c r="F552" s="179">
        <v>1.38</v>
      </c>
      <c r="G552" s="193"/>
      <c r="H552" s="101"/>
      <c r="I552" s="101"/>
      <c r="J552" s="101"/>
      <c r="X552" s="2"/>
    </row>
    <row r="553" spans="2:24">
      <c r="B553" s="2"/>
      <c r="F553" s="1"/>
      <c r="X553" s="2"/>
    </row>
    <row r="554" spans="2:24" ht="15" thickBot="1">
      <c r="B554" s="2"/>
      <c r="D554" s="191" t="s">
        <v>426</v>
      </c>
      <c r="F554" s="283" t="s">
        <v>12</v>
      </c>
      <c r="G554" s="191" t="s">
        <v>173</v>
      </c>
      <c r="H554" s="191" t="s">
        <v>174</v>
      </c>
      <c r="X554" s="2"/>
    </row>
    <row r="555" spans="2:24" ht="15" thickBot="1">
      <c r="B555" s="2"/>
      <c r="D555" s="101" t="s">
        <v>175</v>
      </c>
      <c r="E555" s="279" t="s">
        <v>346</v>
      </c>
      <c r="F555" s="179">
        <v>100</v>
      </c>
      <c r="G555" s="201">
        <v>2.9563317012578141</v>
      </c>
      <c r="H555" s="201">
        <v>0.31841912592598987</v>
      </c>
      <c r="X555" s="2"/>
    </row>
    <row r="556" spans="2:24" ht="15" thickBot="1">
      <c r="B556" s="2"/>
      <c r="D556" s="101"/>
      <c r="F556" s="1"/>
      <c r="G556" s="108"/>
      <c r="H556" s="108"/>
      <c r="X556" s="2"/>
    </row>
    <row r="557" spans="2:24" ht="15" thickBot="1">
      <c r="B557" s="2"/>
      <c r="D557" s="5" t="s">
        <v>176</v>
      </c>
      <c r="E557" s="176" t="s">
        <v>346</v>
      </c>
      <c r="F557" s="179">
        <f ca="1">'Parameter Inputs'!E1110</f>
        <v>3243.7461016588859</v>
      </c>
      <c r="G557" s="105">
        <f ca="1">'Parameter Inputs'!E1118</f>
        <v>95.895884583176141</v>
      </c>
      <c r="H557" s="105">
        <f ca="1">'Parameter Inputs'!E1119</f>
        <v>10.328706936330237</v>
      </c>
      <c r="X557" s="2"/>
    </row>
    <row r="558" spans="2:24">
      <c r="B558" s="2"/>
      <c r="F558" s="1"/>
      <c r="G558" s="105"/>
      <c r="H558" s="105"/>
      <c r="X558" s="2"/>
    </row>
    <row r="559" spans="2:24">
      <c r="B559" s="2"/>
      <c r="D559" s="101" t="s">
        <v>176</v>
      </c>
      <c r="F559" s="105">
        <v>100</v>
      </c>
      <c r="G559" s="108">
        <f ca="1">G557*('Parameter Inputs'!$F559/F557)</f>
        <v>2.9563314013428479</v>
      </c>
      <c r="H559" s="108">
        <f ca="1">H557*('Parameter Inputs'!$F559/F557)</f>
        <v>0.31841909362289567</v>
      </c>
      <c r="X559" s="2"/>
    </row>
    <row r="560" spans="2:24">
      <c r="B560" s="2"/>
      <c r="D560" s="101"/>
      <c r="F560" s="105"/>
      <c r="G560" s="108"/>
      <c r="H560" s="108"/>
      <c r="X560" s="2"/>
    </row>
    <row r="561" spans="2:24">
      <c r="B561" s="2"/>
      <c r="D561" s="5" t="s">
        <v>177</v>
      </c>
      <c r="F561" s="105">
        <f ca="1">IF(G561/F557&gt;(G555/F555),G561*(F555/G555),F557)</f>
        <v>3243.7461016588859</v>
      </c>
      <c r="G561" s="105">
        <f ca="1">IF((G557/H557)&lt;G555/H555,H557*(G555/H555),G557)</f>
        <v>95.895884583176141</v>
      </c>
      <c r="H561" s="105">
        <f ca="1">H557</f>
        <v>10.328706936330237</v>
      </c>
      <c r="X561" s="2"/>
    </row>
    <row r="562" spans="2:24">
      <c r="B562" s="2"/>
      <c r="F562" s="105"/>
      <c r="G562" s="105"/>
      <c r="H562" s="105"/>
      <c r="X562" s="2"/>
    </row>
    <row r="563" spans="2:24">
      <c r="B563" s="2"/>
      <c r="D563" s="101" t="s">
        <v>429</v>
      </c>
      <c r="F563" s="105">
        <v>0</v>
      </c>
      <c r="G563" s="101">
        <v>0</v>
      </c>
      <c r="H563" s="101">
        <v>0</v>
      </c>
      <c r="X563" s="2"/>
    </row>
    <row r="564" spans="2:24">
      <c r="B564" s="2"/>
      <c r="D564" s="101"/>
      <c r="F564" s="105"/>
      <c r="G564" s="101"/>
      <c r="H564" s="101"/>
      <c r="X564" s="2"/>
    </row>
    <row r="565" spans="2:24">
      <c r="B565" s="2"/>
      <c r="D565" s="5" t="s">
        <v>484</v>
      </c>
      <c r="F565" s="105">
        <f>F563*G1665</f>
        <v>0</v>
      </c>
      <c r="G565" s="5">
        <f>G563/G1683</f>
        <v>0</v>
      </c>
      <c r="H565" s="5">
        <f>H563/197</f>
        <v>0</v>
      </c>
      <c r="X565" s="2"/>
    </row>
    <row r="566" spans="2:24">
      <c r="B566" s="2"/>
      <c r="F566" s="105"/>
      <c r="X566" s="2"/>
    </row>
    <row r="567" spans="2:24">
      <c r="B567" s="2"/>
      <c r="D567" s="101" t="s">
        <v>632</v>
      </c>
      <c r="F567" s="105">
        <f>F563/1050</f>
        <v>0</v>
      </c>
      <c r="G567" s="101">
        <f>G565/1530</f>
        <v>0</v>
      </c>
      <c r="H567" s="101">
        <f>H565/2340</f>
        <v>0</v>
      </c>
      <c r="X567" s="2"/>
    </row>
    <row r="568" spans="2:24">
      <c r="B568" s="2"/>
      <c r="F568" s="105"/>
      <c r="X568" s="2"/>
    </row>
    <row r="569" spans="2:24">
      <c r="B569" s="2"/>
      <c r="F569" s="105"/>
      <c r="X569" s="2"/>
    </row>
    <row r="570" spans="2:24" ht="15" thickBot="1">
      <c r="B570" s="2"/>
      <c r="D570" s="191" t="s">
        <v>1063</v>
      </c>
      <c r="F570" s="282" t="s">
        <v>12</v>
      </c>
      <c r="G570" s="191" t="s">
        <v>173</v>
      </c>
      <c r="H570" s="191" t="s">
        <v>174</v>
      </c>
      <c r="I570" s="191" t="s">
        <v>347</v>
      </c>
      <c r="X570" s="2"/>
    </row>
    <row r="571" spans="2:24" ht="15" thickBot="1">
      <c r="B571" s="2"/>
      <c r="D571" s="5" t="s">
        <v>427</v>
      </c>
      <c r="E571" s="279" t="s">
        <v>346</v>
      </c>
      <c r="F571" s="179">
        <v>100</v>
      </c>
      <c r="G571" s="174">
        <v>4.5</v>
      </c>
      <c r="H571" s="174">
        <v>0.5</v>
      </c>
      <c r="I571" s="131" t="s">
        <v>428</v>
      </c>
      <c r="X571" s="2"/>
    </row>
    <row r="572" spans="2:24" ht="15" thickBot="1">
      <c r="B572" s="2"/>
      <c r="F572" s="1"/>
      <c r="I572" s="131"/>
      <c r="X572" s="2"/>
    </row>
    <row r="573" spans="2:24" ht="15" thickBot="1">
      <c r="B573" s="2"/>
      <c r="D573" s="101" t="s">
        <v>596</v>
      </c>
      <c r="E573" s="279" t="s">
        <v>346</v>
      </c>
      <c r="F573" s="179">
        <f ca="1">'Parameter Inputs'!K1083*'Parameter Inputs'!K1106</f>
        <v>13313.92508442578</v>
      </c>
      <c r="G573" s="108">
        <f ca="1">'Parameter Inputs'!K1088*'Parameter Inputs'!K1106</f>
        <v>393.60374802214164</v>
      </c>
      <c r="H573" s="108">
        <f ca="1">'Parameter Inputs'!K1106*'Parameter Inputs'!K1089</f>
        <v>42.39407957945992</v>
      </c>
      <c r="I573" s="101"/>
      <c r="X573" s="2"/>
    </row>
    <row r="574" spans="2:24">
      <c r="B574" s="2"/>
      <c r="D574" s="101"/>
      <c r="F574" s="1"/>
      <c r="G574" s="108"/>
      <c r="H574" s="108"/>
      <c r="I574" s="101"/>
      <c r="X574" s="2"/>
    </row>
    <row r="575" spans="2:24">
      <c r="B575" s="2"/>
      <c r="D575" s="5" t="s">
        <v>909</v>
      </c>
      <c r="F575" s="105">
        <v>100</v>
      </c>
      <c r="G575" s="105">
        <f ca="1">G573*('Parameter Inputs'!$F575/F573)</f>
        <v>2.9563314013428483</v>
      </c>
      <c r="H575" s="105">
        <f ca="1">H573*('Parameter Inputs'!$F575/F573)</f>
        <v>0.31841909362289572</v>
      </c>
      <c r="X575" s="2"/>
    </row>
    <row r="576" spans="2:24">
      <c r="B576" s="2"/>
      <c r="F576" s="105"/>
      <c r="G576" s="105"/>
      <c r="H576" s="105"/>
      <c r="X576" s="2"/>
    </row>
    <row r="577" spans="2:24">
      <c r="B577" s="2"/>
      <c r="D577" s="101" t="s">
        <v>597</v>
      </c>
      <c r="F577" s="105">
        <f ca="1">IF(F573/H573&lt;F571/H571,H573*(F571/H571),IF(G573/F573&gt;G571/F571,G573*(F571/G571),F573))</f>
        <v>13313.92508442578</v>
      </c>
      <c r="G577" s="108">
        <f ca="1">IF(G573/F577&gt;G571/F571,F577*(G571/F571),G573)</f>
        <v>393.60374802214164</v>
      </c>
      <c r="H577" s="108">
        <f ca="1">H573</f>
        <v>42.39407957945992</v>
      </c>
      <c r="I577" s="101"/>
      <c r="X577" s="2"/>
    </row>
    <row r="578" spans="2:24">
      <c r="B578" s="2"/>
      <c r="D578" s="101"/>
      <c r="F578" s="105"/>
      <c r="G578" s="108"/>
      <c r="H578" s="108"/>
      <c r="I578" s="101"/>
      <c r="X578" s="2"/>
    </row>
    <row r="579" spans="2:24">
      <c r="B579" s="2"/>
      <c r="D579" s="5" t="s">
        <v>429</v>
      </c>
      <c r="F579" s="105">
        <f ca="1">F577-F573</f>
        <v>0</v>
      </c>
      <c r="G579" s="5">
        <f ca="1">G577-G573</f>
        <v>0</v>
      </c>
      <c r="H579" s="5">
        <f ca="1">H577-H573</f>
        <v>0</v>
      </c>
      <c r="X579" s="2"/>
    </row>
    <row r="580" spans="2:24">
      <c r="B580" s="2"/>
      <c r="F580" s="105"/>
      <c r="X580" s="2"/>
    </row>
    <row r="581" spans="2:24">
      <c r="B581" s="2"/>
      <c r="D581" s="101" t="s">
        <v>484</v>
      </c>
      <c r="F581" s="105">
        <f ca="1">F579*G1665</f>
        <v>0</v>
      </c>
      <c r="G581" s="101">
        <f ca="1">G579/G1683</f>
        <v>0</v>
      </c>
      <c r="H581" s="101">
        <f ca="1">H579/G1684</f>
        <v>0</v>
      </c>
      <c r="I581" s="101"/>
      <c r="X581" s="2"/>
    </row>
    <row r="582" spans="2:24">
      <c r="B582" s="2"/>
      <c r="D582" s="101"/>
      <c r="F582" s="105"/>
      <c r="G582" s="101"/>
      <c r="H582" s="101"/>
      <c r="I582" s="101"/>
      <c r="X582" s="2"/>
    </row>
    <row r="583" spans="2:24">
      <c r="B583" s="2"/>
      <c r="D583" s="5" t="s">
        <v>633</v>
      </c>
      <c r="F583" s="105">
        <f ca="1">F581/1050</f>
        <v>0</v>
      </c>
      <c r="G583" s="5">
        <f ca="1">G581/1530</f>
        <v>0</v>
      </c>
      <c r="H583" s="5">
        <f ca="1">H581/2340</f>
        <v>0</v>
      </c>
      <c r="X583" s="2"/>
    </row>
    <row r="584" spans="2:24">
      <c r="B584" s="2"/>
      <c r="F584" s="1"/>
      <c r="X584" s="2"/>
    </row>
    <row r="585" spans="2:24">
      <c r="B585" s="2"/>
      <c r="F585" s="105"/>
      <c r="X585" s="2"/>
    </row>
    <row r="586" spans="2:24" ht="15" thickBot="1">
      <c r="B586" s="2"/>
      <c r="D586" s="100" t="s">
        <v>33</v>
      </c>
      <c r="F586" s="105"/>
      <c r="G586" s="100" t="s">
        <v>347</v>
      </c>
      <c r="X586" s="2"/>
    </row>
    <row r="587" spans="2:24" ht="15" thickBot="1">
      <c r="B587" s="2"/>
      <c r="D587" s="101" t="s">
        <v>36</v>
      </c>
      <c r="E587" s="279" t="s">
        <v>346</v>
      </c>
      <c r="F587" s="179">
        <v>0.93</v>
      </c>
      <c r="G587" s="101"/>
      <c r="X587" s="2"/>
    </row>
    <row r="588" spans="2:24" ht="15" thickBot="1">
      <c r="B588" s="2"/>
      <c r="D588" s="101"/>
      <c r="F588" s="1"/>
      <c r="G588" s="101"/>
      <c r="X588" s="2"/>
    </row>
    <row r="589" spans="2:24" ht="15" thickBot="1">
      <c r="B589" s="2"/>
      <c r="D589" s="5" t="s">
        <v>38</v>
      </c>
      <c r="E589" s="279" t="s">
        <v>346</v>
      </c>
      <c r="F589" s="179">
        <f ca="1">'Parameter Inputs'!K1134/'Parameter Inputs'!K1130</f>
        <v>2.6805860281478248E-3</v>
      </c>
      <c r="X589" s="2"/>
    </row>
    <row r="590" spans="2:24" ht="15" thickBot="1">
      <c r="B590" s="2"/>
      <c r="F590" s="1"/>
      <c r="X590" s="2"/>
    </row>
    <row r="591" spans="2:24" ht="15" thickBot="1">
      <c r="B591" s="2"/>
      <c r="D591" s="101" t="s">
        <v>367</v>
      </c>
      <c r="E591" s="279" t="s">
        <v>346</v>
      </c>
      <c r="F591" s="179">
        <v>0.3</v>
      </c>
      <c r="G591" s="313" t="s">
        <v>1754</v>
      </c>
      <c r="X591" s="2"/>
    </row>
    <row r="592" spans="2:24" ht="15" thickBot="1">
      <c r="B592" s="2"/>
      <c r="D592" s="101"/>
      <c r="F592" s="1"/>
      <c r="G592" s="193"/>
      <c r="X592" s="2"/>
    </row>
    <row r="593" spans="2:24" ht="15" thickBot="1">
      <c r="B593" s="2"/>
      <c r="D593" s="5" t="s">
        <v>1618</v>
      </c>
      <c r="E593" s="279" t="s">
        <v>346</v>
      </c>
      <c r="F593" s="179">
        <v>1.88</v>
      </c>
      <c r="G593" s="313" t="s">
        <v>1754</v>
      </c>
      <c r="X593" s="2"/>
    </row>
    <row r="594" spans="2:24">
      <c r="B594" s="2"/>
      <c r="F594" s="1"/>
      <c r="X594" s="2"/>
    </row>
    <row r="595" spans="2:24">
      <c r="B595" s="2"/>
      <c r="D595" s="100" t="s">
        <v>105</v>
      </c>
      <c r="F595" s="1"/>
      <c r="G595" s="100" t="s">
        <v>347</v>
      </c>
      <c r="X595" s="2"/>
    </row>
    <row r="596" spans="2:24" ht="15" thickBot="1">
      <c r="B596" s="2"/>
      <c r="D596" s="100"/>
      <c r="F596" s="1"/>
      <c r="G596" s="100"/>
      <c r="X596" s="2"/>
    </row>
    <row r="597" spans="2:24" ht="15" thickBot="1">
      <c r="B597" s="2"/>
      <c r="D597" s="101" t="s">
        <v>43</v>
      </c>
      <c r="E597" s="279" t="s">
        <v>346</v>
      </c>
      <c r="F597" s="179">
        <v>0.3</v>
      </c>
      <c r="G597" s="313" t="s">
        <v>1754</v>
      </c>
      <c r="X597" s="2"/>
    </row>
    <row r="598" spans="2:24" ht="15" thickBot="1">
      <c r="B598" s="2"/>
      <c r="D598" s="101"/>
      <c r="F598" s="1"/>
      <c r="G598" s="101"/>
      <c r="X598" s="2"/>
    </row>
    <row r="599" spans="2:24" ht="15" thickBot="1">
      <c r="B599" s="2"/>
      <c r="D599" s="5" t="s">
        <v>42</v>
      </c>
      <c r="E599" s="279" t="s">
        <v>346</v>
      </c>
      <c r="F599" s="179">
        <v>0.9</v>
      </c>
      <c r="G599" s="313" t="s">
        <v>1754</v>
      </c>
      <c r="X599" s="2"/>
    </row>
    <row r="600" spans="2:24" ht="15" thickBot="1">
      <c r="B600" s="2"/>
      <c r="F600" s="1"/>
      <c r="X600" s="2"/>
    </row>
    <row r="601" spans="2:24" ht="15" thickBot="1">
      <c r="B601" s="2"/>
      <c r="D601" s="101" t="s">
        <v>47</v>
      </c>
      <c r="E601" s="279" t="s">
        <v>346</v>
      </c>
      <c r="F601" s="180">
        <f ca="1">'Parameter Inputs'!N1132/'Parameter Inputs'!N1129</f>
        <v>0.13117728188785979</v>
      </c>
      <c r="G601" s="101"/>
      <c r="X601" s="2"/>
    </row>
    <row r="602" spans="2:24" ht="15" thickBot="1">
      <c r="B602" s="2"/>
      <c r="D602" s="101"/>
      <c r="F602" s="1"/>
      <c r="G602" s="101"/>
      <c r="X602" s="2"/>
    </row>
    <row r="603" spans="2:24" ht="15" thickBot="1">
      <c r="B603" s="2"/>
      <c r="D603" s="5" t="s">
        <v>56</v>
      </c>
      <c r="E603" s="279" t="s">
        <v>346</v>
      </c>
      <c r="F603" s="179">
        <f>1-F597</f>
        <v>0.7</v>
      </c>
      <c r="X603" s="2"/>
    </row>
    <row r="604" spans="2:24" ht="15" thickBot="1">
      <c r="B604" s="2"/>
      <c r="F604" s="1"/>
      <c r="X604" s="2"/>
    </row>
    <row r="605" spans="2:24" ht="15" thickBot="1">
      <c r="B605" s="2"/>
      <c r="D605" s="101" t="s">
        <v>57</v>
      </c>
      <c r="E605" s="279" t="s">
        <v>346</v>
      </c>
      <c r="F605" s="179">
        <f>1-F599</f>
        <v>9.9999999999999978E-2</v>
      </c>
      <c r="G605" s="101"/>
      <c r="X605" s="2"/>
    </row>
    <row r="606" spans="2:24" ht="15" thickBot="1">
      <c r="B606" s="2"/>
      <c r="D606" s="101"/>
      <c r="F606" s="1"/>
      <c r="G606" s="101"/>
      <c r="X606" s="2"/>
    </row>
    <row r="607" spans="2:24" ht="15" thickBot="1">
      <c r="B607" s="2"/>
      <c r="D607" s="5" t="s">
        <v>106</v>
      </c>
      <c r="E607" s="176" t="s">
        <v>346</v>
      </c>
      <c r="F607" s="179">
        <v>0.30959999999999999</v>
      </c>
      <c r="G607" s="5" t="s">
        <v>924</v>
      </c>
      <c r="X607" s="2"/>
    </row>
    <row r="608" spans="2:24">
      <c r="B608" s="2"/>
      <c r="F608" s="1"/>
      <c r="X608" s="2"/>
    </row>
    <row r="609" spans="2:24">
      <c r="B609" s="2"/>
      <c r="D609" s="100" t="s">
        <v>44</v>
      </c>
      <c r="F609" s="105"/>
      <c r="G609" s="100" t="s">
        <v>347</v>
      </c>
      <c r="H609" s="100"/>
      <c r="X609" s="2"/>
    </row>
    <row r="610" spans="2:24" ht="15" thickBot="1">
      <c r="B610" s="2"/>
      <c r="D610" s="100"/>
      <c r="F610" s="1"/>
      <c r="G610" s="100"/>
      <c r="H610" s="100"/>
      <c r="X610" s="2"/>
    </row>
    <row r="611" spans="2:24" ht="15" thickBot="1">
      <c r="B611" s="2"/>
      <c r="D611" s="101" t="s">
        <v>770</v>
      </c>
      <c r="E611" s="279" t="s">
        <v>346</v>
      </c>
      <c r="F611" s="179">
        <v>21.4</v>
      </c>
      <c r="G611" s="193"/>
      <c r="H611" s="101"/>
      <c r="X611" s="2"/>
    </row>
    <row r="612" spans="2:24" ht="15" thickBot="1">
      <c r="B612" s="2"/>
      <c r="D612" s="101"/>
      <c r="F612" s="1"/>
      <c r="G612" s="193"/>
      <c r="H612" s="101"/>
      <c r="X612" s="2"/>
    </row>
    <row r="613" spans="2:24" ht="15" thickBot="1">
      <c r="B613" s="2"/>
      <c r="D613" s="5" t="s">
        <v>48</v>
      </c>
      <c r="E613" s="279" t="s">
        <v>346</v>
      </c>
      <c r="F613" s="179">
        <v>19</v>
      </c>
      <c r="G613" s="313" t="s">
        <v>1754</v>
      </c>
      <c r="X613" s="2"/>
    </row>
    <row r="614" spans="2:24" ht="15" thickBot="1">
      <c r="B614" s="2"/>
      <c r="F614" s="1"/>
      <c r="G614" s="131"/>
      <c r="X614" s="2"/>
    </row>
    <row r="615" spans="2:24" ht="15" thickBot="1">
      <c r="B615" s="2"/>
      <c r="D615" s="101" t="s">
        <v>59</v>
      </c>
      <c r="E615" s="279" t="s">
        <v>346</v>
      </c>
      <c r="F615" s="180">
        <v>0.75</v>
      </c>
      <c r="G615" s="193"/>
      <c r="H615" s="101"/>
      <c r="X615" s="2"/>
    </row>
    <row r="616" spans="2:24" ht="15" thickBot="1">
      <c r="B616" s="2"/>
      <c r="D616" s="101"/>
      <c r="F616" s="1"/>
      <c r="G616" s="193"/>
      <c r="H616" s="101"/>
      <c r="X616" s="2"/>
    </row>
    <row r="617" spans="2:24" ht="15" thickBot="1">
      <c r="B617" s="2"/>
      <c r="D617" s="5" t="s">
        <v>290</v>
      </c>
      <c r="E617" s="279" t="s">
        <v>346</v>
      </c>
      <c r="F617" s="179">
        <v>0.05</v>
      </c>
      <c r="G617" s="131" t="s">
        <v>291</v>
      </c>
      <c r="X617" s="2"/>
    </row>
    <row r="618" spans="2:24" ht="15" thickBot="1">
      <c r="B618" s="2"/>
      <c r="F618" s="1"/>
      <c r="G618" s="131"/>
      <c r="X618" s="2"/>
    </row>
    <row r="619" spans="2:24" ht="15" thickBot="1">
      <c r="B619" s="2"/>
      <c r="D619" s="101" t="s">
        <v>292</v>
      </c>
      <c r="E619" s="279" t="s">
        <v>346</v>
      </c>
      <c r="F619" s="179">
        <v>0.99</v>
      </c>
      <c r="G619" s="193" t="s">
        <v>156</v>
      </c>
      <c r="H619" s="101"/>
      <c r="X619" s="2"/>
    </row>
    <row r="620" spans="2:24" ht="15" thickBot="1">
      <c r="B620" s="2"/>
      <c r="D620" s="101"/>
      <c r="F620" s="1"/>
      <c r="G620" s="193"/>
      <c r="H620" s="101"/>
      <c r="X620" s="2"/>
    </row>
    <row r="621" spans="2:24" ht="15" thickBot="1">
      <c r="B621" s="2"/>
      <c r="D621" s="5" t="s">
        <v>293</v>
      </c>
      <c r="E621" s="279" t="s">
        <v>346</v>
      </c>
      <c r="F621" s="179">
        <v>1.07</v>
      </c>
      <c r="G621" s="131" t="s">
        <v>294</v>
      </c>
      <c r="X621" s="2"/>
    </row>
    <row r="622" spans="2:24" ht="15" thickBot="1">
      <c r="B622" s="2"/>
      <c r="F622" s="1"/>
      <c r="G622" s="131"/>
      <c r="X622" s="2"/>
    </row>
    <row r="623" spans="2:24" ht="15" thickBot="1">
      <c r="B623" s="2"/>
      <c r="D623" s="101" t="s">
        <v>479</v>
      </c>
      <c r="E623" s="279" t="s">
        <v>346</v>
      </c>
      <c r="F623" s="179">
        <v>21.3</v>
      </c>
      <c r="G623" s="193" t="s">
        <v>468</v>
      </c>
      <c r="H623" s="101"/>
      <c r="X623" s="2"/>
    </row>
    <row r="624" spans="2:24" ht="15" thickBot="1">
      <c r="B624" s="2"/>
      <c r="D624" s="101"/>
      <c r="F624" s="1"/>
      <c r="G624" s="193"/>
      <c r="H624" s="101"/>
      <c r="X624" s="2"/>
    </row>
    <row r="625" spans="2:24" ht="15" thickBot="1">
      <c r="B625" s="2"/>
      <c r="D625" s="5" t="s">
        <v>480</v>
      </c>
      <c r="E625" s="279" t="s">
        <v>346</v>
      </c>
      <c r="F625" s="179">
        <v>0.03</v>
      </c>
      <c r="G625" s="131" t="s">
        <v>468</v>
      </c>
      <c r="X625" s="2"/>
    </row>
    <row r="626" spans="2:24" ht="15" thickBot="1">
      <c r="B626" s="2"/>
      <c r="F626" s="1"/>
      <c r="G626" s="131"/>
      <c r="X626" s="2"/>
    </row>
    <row r="627" spans="2:24" ht="15" thickBot="1">
      <c r="B627" s="2"/>
      <c r="D627" s="101" t="s">
        <v>465</v>
      </c>
      <c r="E627" s="279" t="s">
        <v>346</v>
      </c>
      <c r="F627" s="179">
        <f>0.02/1000</f>
        <v>2.0000000000000002E-5</v>
      </c>
      <c r="G627" s="193" t="s">
        <v>468</v>
      </c>
      <c r="H627" s="101"/>
      <c r="X627" s="2"/>
    </row>
    <row r="628" spans="2:24" ht="15" thickBot="1">
      <c r="B628" s="2"/>
      <c r="D628" s="101"/>
      <c r="F628" s="1"/>
      <c r="G628" s="193"/>
      <c r="H628" s="101"/>
      <c r="X628" s="2"/>
    </row>
    <row r="629" spans="2:24" ht="15" thickBot="1">
      <c r="B629" s="2"/>
      <c r="D629" s="5" t="s">
        <v>466</v>
      </c>
      <c r="E629" s="279" t="s">
        <v>346</v>
      </c>
      <c r="F629" s="179">
        <f>0.74/1000</f>
        <v>7.3999999999999999E-4</v>
      </c>
      <c r="G629" s="131" t="s">
        <v>468</v>
      </c>
      <c r="X629" s="2"/>
    </row>
    <row r="630" spans="2:24" ht="15" thickBot="1">
      <c r="B630" s="2"/>
      <c r="F630" s="1"/>
      <c r="G630" s="131"/>
      <c r="X630" s="2"/>
    </row>
    <row r="631" spans="2:24" ht="15" thickBot="1">
      <c r="B631" s="2"/>
      <c r="D631" s="101" t="s">
        <v>1057</v>
      </c>
      <c r="E631" s="279" t="s">
        <v>346</v>
      </c>
      <c r="F631" s="179">
        <f ca="1">'Parameter Inputs'!K790/3</f>
        <v>1.5160386546256346</v>
      </c>
      <c r="G631" s="193" t="s">
        <v>468</v>
      </c>
      <c r="H631" s="101"/>
      <c r="X631" s="2"/>
    </row>
    <row r="632" spans="2:24" ht="15" thickBot="1">
      <c r="B632" s="2"/>
      <c r="D632" s="101"/>
      <c r="F632" s="1"/>
      <c r="G632" s="193"/>
      <c r="H632" s="101"/>
      <c r="X632" s="2"/>
    </row>
    <row r="633" spans="2:24" ht="15" thickBot="1">
      <c r="B633" s="2"/>
      <c r="D633" s="5" t="s">
        <v>1058</v>
      </c>
      <c r="E633" s="279" t="s">
        <v>346</v>
      </c>
      <c r="F633" s="179">
        <v>0.79</v>
      </c>
      <c r="G633" s="131" t="s">
        <v>468</v>
      </c>
      <c r="X633" s="2"/>
    </row>
    <row r="634" spans="2:24" ht="15" thickBot="1">
      <c r="B634" s="2"/>
      <c r="F634" s="1"/>
      <c r="G634" s="131"/>
      <c r="X634" s="2"/>
    </row>
    <row r="635" spans="2:24" ht="15" thickBot="1">
      <c r="B635" s="2"/>
      <c r="D635" s="101" t="s">
        <v>1059</v>
      </c>
      <c r="E635" s="279" t="s">
        <v>346</v>
      </c>
      <c r="F635" s="179">
        <v>1.66</v>
      </c>
      <c r="G635" s="193"/>
      <c r="H635" s="101"/>
      <c r="X635" s="2"/>
    </row>
    <row r="636" spans="2:24" ht="15" thickBot="1">
      <c r="B636" s="2"/>
      <c r="D636" s="101"/>
      <c r="F636" s="1"/>
      <c r="G636" s="193"/>
      <c r="H636" s="101"/>
      <c r="X636" s="2"/>
    </row>
    <row r="637" spans="2:24" ht="15" thickBot="1">
      <c r="B637" s="2"/>
      <c r="D637" s="5" t="s">
        <v>1060</v>
      </c>
      <c r="E637" s="279" t="s">
        <v>346</v>
      </c>
      <c r="F637" s="179">
        <f ca="1">F635/(PI()*F631)</f>
        <v>0.34853623913406906</v>
      </c>
      <c r="G637" s="131"/>
      <c r="X637" s="2"/>
    </row>
    <row r="638" spans="2:24" ht="15" thickBot="1">
      <c r="B638" s="2"/>
      <c r="F638" s="1"/>
      <c r="G638" s="131"/>
      <c r="X638" s="2"/>
    </row>
    <row r="639" spans="2:24" ht="15" thickBot="1">
      <c r="B639" s="2"/>
      <c r="D639" s="101" t="s">
        <v>1062</v>
      </c>
      <c r="E639" s="279" t="s">
        <v>346</v>
      </c>
      <c r="F639" s="179">
        <v>0.9</v>
      </c>
      <c r="G639" s="193"/>
      <c r="H639" s="101"/>
      <c r="X639" s="2"/>
    </row>
    <row r="640" spans="2:24" ht="15" thickBot="1">
      <c r="B640" s="2"/>
      <c r="D640" s="101"/>
      <c r="F640" s="1"/>
      <c r="G640" s="193"/>
      <c r="H640" s="101"/>
      <c r="X640" s="2"/>
    </row>
    <row r="641" spans="2:24" ht="15" thickBot="1">
      <c r="B641" s="2"/>
      <c r="D641" s="5" t="s">
        <v>1064</v>
      </c>
      <c r="E641" s="279" t="s">
        <v>346</v>
      </c>
      <c r="F641" s="179">
        <f ca="1">((F633*1000*(F637^3)*(F631^5))/F639)/1000</f>
        <v>0.2976321059434856</v>
      </c>
      <c r="G641" s="131"/>
      <c r="H641" s="88"/>
      <c r="I641" s="88"/>
      <c r="J641" s="194"/>
      <c r="K641" s="87"/>
      <c r="X641" s="2"/>
    </row>
    <row r="642" spans="2:24" ht="15" thickBot="1">
      <c r="B642" s="2"/>
      <c r="F642" s="1"/>
      <c r="G642" s="131"/>
      <c r="H642" s="88"/>
      <c r="I642" s="88"/>
      <c r="J642" s="194"/>
      <c r="K642" s="87"/>
      <c r="X642" s="2"/>
    </row>
    <row r="643" spans="2:24" ht="15" thickBot="1">
      <c r="B643" s="2"/>
      <c r="D643" s="101" t="s">
        <v>1499</v>
      </c>
      <c r="E643" s="279" t="s">
        <v>346</v>
      </c>
      <c r="F643" s="179">
        <f ca="1">F641*F645*F647</f>
        <v>0.59526421188697121</v>
      </c>
      <c r="G643" s="193"/>
      <c r="H643" s="101"/>
      <c r="K643" s="87"/>
      <c r="X643" s="2"/>
    </row>
    <row r="644" spans="2:24" ht="15" thickBot="1">
      <c r="B644" s="2"/>
      <c r="D644" s="101"/>
      <c r="F644" s="1"/>
      <c r="G644" s="193"/>
      <c r="H644" s="101"/>
      <c r="K644" s="87"/>
      <c r="X644" s="2"/>
    </row>
    <row r="645" spans="2:24" ht="15" thickBot="1">
      <c r="B645" s="2"/>
      <c r="D645" s="5" t="s">
        <v>1116</v>
      </c>
      <c r="E645" s="279" t="s">
        <v>346</v>
      </c>
      <c r="F645" s="179">
        <v>1</v>
      </c>
      <c r="G645" s="131" t="s">
        <v>1752</v>
      </c>
      <c r="K645" s="87"/>
      <c r="X645" s="2"/>
    </row>
    <row r="646" spans="2:24" ht="15" thickBot="1">
      <c r="B646" s="2"/>
      <c r="F646" s="1"/>
      <c r="G646" s="131"/>
      <c r="K646" s="87"/>
      <c r="X646" s="2"/>
    </row>
    <row r="647" spans="2:24" ht="15" thickBot="1">
      <c r="B647" s="2"/>
      <c r="D647" s="101" t="s">
        <v>1117</v>
      </c>
      <c r="E647" s="176" t="s">
        <v>346</v>
      </c>
      <c r="F647" s="179">
        <v>2</v>
      </c>
      <c r="G647" s="193"/>
      <c r="H647" s="101"/>
      <c r="K647" s="87"/>
      <c r="X647" s="2"/>
    </row>
    <row r="648" spans="2:24">
      <c r="B648" s="2"/>
      <c r="F648" s="1"/>
      <c r="X648" s="2"/>
    </row>
    <row r="649" spans="2:24">
      <c r="B649" s="2"/>
      <c r="D649" s="191" t="s">
        <v>297</v>
      </c>
      <c r="F649" s="105"/>
      <c r="G649" s="191" t="s">
        <v>347</v>
      </c>
      <c r="X649" s="2"/>
    </row>
    <row r="650" spans="2:24" ht="15" thickBot="1">
      <c r="B650" s="2"/>
      <c r="D650" s="191"/>
      <c r="F650" s="1"/>
      <c r="G650" s="191"/>
      <c r="X650" s="2"/>
    </row>
    <row r="651" spans="2:24" ht="15" thickBot="1">
      <c r="B651" s="2"/>
      <c r="D651" s="195" t="s">
        <v>456</v>
      </c>
      <c r="E651" s="279" t="s">
        <v>346</v>
      </c>
      <c r="F651" s="179">
        <v>0.93</v>
      </c>
      <c r="G651" s="312" t="s">
        <v>468</v>
      </c>
      <c r="X651" s="2"/>
    </row>
    <row r="652" spans="2:24" ht="15" thickBot="1">
      <c r="B652" s="2"/>
      <c r="D652" s="195"/>
      <c r="F652" s="1"/>
      <c r="G652" s="196"/>
      <c r="X652" s="2"/>
    </row>
    <row r="653" spans="2:24" ht="15" thickBot="1">
      <c r="B653" s="2"/>
      <c r="D653" s="187" t="s">
        <v>457</v>
      </c>
      <c r="E653" s="279" t="s">
        <v>346</v>
      </c>
      <c r="F653" s="179">
        <f>1-F651</f>
        <v>6.9999999999999951E-2</v>
      </c>
      <c r="G653" s="189" t="s">
        <v>468</v>
      </c>
      <c r="X653" s="2"/>
    </row>
    <row r="654" spans="2:24" ht="15" thickBot="1">
      <c r="B654" s="2"/>
      <c r="D654" s="187"/>
      <c r="F654" s="1"/>
      <c r="G654" s="189"/>
      <c r="X654" s="2"/>
    </row>
    <row r="655" spans="2:24" ht="15" thickBot="1">
      <c r="B655" s="2"/>
      <c r="D655" s="195" t="s">
        <v>495</v>
      </c>
      <c r="E655" s="176" t="s">
        <v>346</v>
      </c>
      <c r="F655" s="179">
        <f>0.001/1000</f>
        <v>9.9999999999999995E-7</v>
      </c>
      <c r="G655" s="196" t="s">
        <v>496</v>
      </c>
      <c r="X655" s="2"/>
    </row>
    <row r="656" spans="2:24">
      <c r="B656" s="2"/>
      <c r="F656" s="1"/>
      <c r="X656" s="2"/>
    </row>
    <row r="657" spans="2:24">
      <c r="B657" s="2"/>
      <c r="D657" s="191" t="s">
        <v>458</v>
      </c>
      <c r="F657" s="105"/>
      <c r="G657" s="191" t="s">
        <v>347</v>
      </c>
      <c r="X657" s="2"/>
    </row>
    <row r="658" spans="2:24" ht="15" thickBot="1">
      <c r="B658" s="2"/>
      <c r="D658" s="191"/>
      <c r="F658" s="1"/>
      <c r="G658" s="191"/>
      <c r="X658" s="2"/>
    </row>
    <row r="659" spans="2:24" ht="15" thickBot="1">
      <c r="B659" s="2"/>
      <c r="D659" s="195" t="s">
        <v>459</v>
      </c>
      <c r="E659" s="279" t="s">
        <v>346</v>
      </c>
      <c r="F659" s="179">
        <v>0.42</v>
      </c>
      <c r="G659" s="196" t="s">
        <v>468</v>
      </c>
      <c r="X659" s="2"/>
    </row>
    <row r="660" spans="2:24" ht="15" thickBot="1">
      <c r="B660" s="2"/>
      <c r="D660" s="195"/>
      <c r="F660" s="1"/>
      <c r="G660" s="196"/>
      <c r="X660" s="2"/>
    </row>
    <row r="661" spans="2:24" ht="15" thickBot="1">
      <c r="B661" s="2"/>
      <c r="D661" s="187" t="s">
        <v>460</v>
      </c>
      <c r="E661" s="279" t="s">
        <v>346</v>
      </c>
      <c r="F661" s="179">
        <v>0.57999999999999996</v>
      </c>
      <c r="G661" s="189" t="s">
        <v>468</v>
      </c>
      <c r="X661" s="2"/>
    </row>
    <row r="662" spans="2:24" ht="15" thickBot="1">
      <c r="B662" s="2"/>
      <c r="D662" s="187"/>
      <c r="F662" s="1"/>
      <c r="G662" s="189"/>
      <c r="X662" s="2"/>
    </row>
    <row r="663" spans="2:24" ht="15" thickBot="1">
      <c r="B663" s="2"/>
      <c r="D663" s="195" t="s">
        <v>461</v>
      </c>
      <c r="E663" s="279" t="s">
        <v>346</v>
      </c>
      <c r="F663" s="179">
        <f>0.005/1000</f>
        <v>5.0000000000000004E-6</v>
      </c>
      <c r="G663" s="196" t="s">
        <v>468</v>
      </c>
      <c r="X663" s="2"/>
    </row>
    <row r="664" spans="2:24" ht="15" thickBot="1">
      <c r="B664" s="2"/>
      <c r="D664" s="195"/>
      <c r="F664" s="1"/>
      <c r="G664" s="196"/>
      <c r="X664" s="2"/>
    </row>
    <row r="665" spans="2:24" ht="15" thickBot="1">
      <c r="B665" s="2"/>
      <c r="D665" s="187" t="s">
        <v>462</v>
      </c>
      <c r="E665" s="279" t="s">
        <v>346</v>
      </c>
      <c r="F665" s="179">
        <f>0.04/1000</f>
        <v>4.0000000000000003E-5</v>
      </c>
      <c r="G665" s="189" t="s">
        <v>468</v>
      </c>
      <c r="X665" s="2"/>
    </row>
    <row r="666" spans="2:24" ht="15" thickBot="1">
      <c r="B666" s="2"/>
      <c r="D666" s="187"/>
      <c r="F666" s="1"/>
      <c r="G666" s="189"/>
      <c r="X666" s="2"/>
    </row>
    <row r="667" spans="2:24" ht="15" thickBot="1">
      <c r="B667" s="2"/>
      <c r="D667" s="195" t="s">
        <v>981</v>
      </c>
      <c r="E667" s="176" t="s">
        <v>346</v>
      </c>
      <c r="F667" s="179">
        <f>0.002/1000</f>
        <v>1.9999999999999999E-6</v>
      </c>
      <c r="G667" s="196" t="s">
        <v>468</v>
      </c>
      <c r="X667" s="2"/>
    </row>
    <row r="668" spans="2:24">
      <c r="B668" s="2"/>
      <c r="F668" s="1"/>
      <c r="X668" s="2"/>
    </row>
    <row r="669" spans="2:24">
      <c r="B669" s="2"/>
      <c r="D669" s="100" t="s">
        <v>980</v>
      </c>
      <c r="F669" s="105"/>
      <c r="G669" s="100" t="s">
        <v>347</v>
      </c>
      <c r="X669" s="2"/>
    </row>
    <row r="670" spans="2:24" ht="15" thickBot="1">
      <c r="B670" s="2"/>
      <c r="D670" s="100"/>
      <c r="F670" s="1"/>
      <c r="G670" s="100"/>
      <c r="X670" s="2"/>
    </row>
    <row r="671" spans="2:24" ht="15" thickBot="1">
      <c r="B671" s="2"/>
      <c r="D671" s="195" t="s">
        <v>463</v>
      </c>
      <c r="E671" s="279" t="s">
        <v>346</v>
      </c>
      <c r="F671" s="179">
        <v>0.99</v>
      </c>
      <c r="G671" s="196" t="s">
        <v>468</v>
      </c>
      <c r="X671" s="2"/>
    </row>
    <row r="672" spans="2:24" ht="15" thickBot="1">
      <c r="B672" s="2"/>
      <c r="D672" s="195"/>
      <c r="F672" s="1"/>
      <c r="G672" s="196"/>
      <c r="X672" s="2"/>
    </row>
    <row r="673" spans="2:24" ht="15" thickBot="1">
      <c r="B673" s="2"/>
      <c r="D673" s="187" t="s">
        <v>464</v>
      </c>
      <c r="E673" s="279" t="s">
        <v>346</v>
      </c>
      <c r="F673" s="179">
        <v>0.01</v>
      </c>
      <c r="G673" s="189" t="s">
        <v>468</v>
      </c>
      <c r="X673" s="2"/>
    </row>
    <row r="674" spans="2:24" ht="15" thickBot="1">
      <c r="B674" s="2"/>
      <c r="D674" s="187"/>
      <c r="F674" s="1"/>
      <c r="G674" s="189"/>
      <c r="X674" s="2"/>
    </row>
    <row r="675" spans="2:24" ht="15" thickBot="1">
      <c r="B675" s="2"/>
      <c r="D675" s="195" t="s">
        <v>500</v>
      </c>
      <c r="E675" s="279" t="s">
        <v>346</v>
      </c>
      <c r="F675" s="179">
        <f>0.02/1000</f>
        <v>2.0000000000000002E-5</v>
      </c>
      <c r="G675" s="196" t="s">
        <v>496</v>
      </c>
      <c r="X675" s="2"/>
    </row>
    <row r="676" spans="2:24" ht="15" thickBot="1">
      <c r="B676" s="2"/>
      <c r="D676" s="195"/>
      <c r="F676" s="1"/>
      <c r="G676" s="196"/>
      <c r="X676" s="2"/>
    </row>
    <row r="677" spans="2:24" ht="15" thickBot="1">
      <c r="B677" s="2"/>
      <c r="D677" s="187" t="s">
        <v>499</v>
      </c>
      <c r="E677" s="279" t="s">
        <v>346</v>
      </c>
      <c r="F677" s="179">
        <f>0.14/1000</f>
        <v>1.4000000000000001E-4</v>
      </c>
      <c r="G677" s="189" t="s">
        <v>501</v>
      </c>
      <c r="X677" s="2"/>
    </row>
    <row r="678" spans="2:24" ht="15" thickBot="1">
      <c r="B678" s="2"/>
      <c r="D678" s="187"/>
      <c r="F678" s="1"/>
      <c r="G678" s="189"/>
      <c r="X678" s="2"/>
    </row>
    <row r="679" spans="2:24" ht="15" thickBot="1">
      <c r="B679" s="2"/>
      <c r="D679" s="195" t="s">
        <v>467</v>
      </c>
      <c r="E679" s="279" t="s">
        <v>346</v>
      </c>
      <c r="F679" s="179">
        <f>0.007/1000</f>
        <v>6.9999999999999999E-6</v>
      </c>
      <c r="G679" s="196" t="s">
        <v>468</v>
      </c>
      <c r="X679" s="2"/>
    </row>
    <row r="680" spans="2:24">
      <c r="B680" s="2"/>
      <c r="F680" s="1"/>
      <c r="G680" s="131"/>
      <c r="X680" s="2"/>
    </row>
    <row r="681" spans="2:24" ht="15" thickBot="1">
      <c r="B681" s="2"/>
      <c r="D681" s="197" t="s">
        <v>1449</v>
      </c>
      <c r="F681" s="105"/>
      <c r="G681" s="197" t="s">
        <v>347</v>
      </c>
      <c r="X681" s="2"/>
    </row>
    <row r="682" spans="2:24" ht="15" thickBot="1">
      <c r="B682" s="2"/>
      <c r="D682" s="187" t="s">
        <v>1450</v>
      </c>
      <c r="E682" s="176" t="s">
        <v>346</v>
      </c>
      <c r="F682" s="179">
        <f>441.7/1000</f>
        <v>0.44169999999999998</v>
      </c>
      <c r="G682" s="313" t="s">
        <v>1754</v>
      </c>
      <c r="X682" s="2"/>
    </row>
    <row r="683" spans="2:24">
      <c r="B683" s="2"/>
      <c r="F683" s="1"/>
      <c r="X683" s="2"/>
    </row>
    <row r="684" spans="2:24">
      <c r="B684" s="2"/>
      <c r="D684" s="16" t="s">
        <v>551</v>
      </c>
      <c r="F684" s="105"/>
      <c r="X684" s="2"/>
    </row>
    <row r="685" spans="2:24" ht="15" thickBot="1">
      <c r="B685" s="2"/>
      <c r="D685" s="16"/>
      <c r="F685" s="1"/>
      <c r="X685" s="2"/>
    </row>
    <row r="686" spans="2:24" ht="15" thickBot="1">
      <c r="B686" s="2"/>
      <c r="D686" s="5" t="s">
        <v>1275</v>
      </c>
      <c r="E686" s="279" t="s">
        <v>346</v>
      </c>
      <c r="F686" s="179" t="s">
        <v>1276</v>
      </c>
      <c r="X686" s="2"/>
    </row>
    <row r="687" spans="2:24" ht="15" thickBot="1">
      <c r="B687" s="2"/>
      <c r="F687" s="1"/>
      <c r="X687" s="2"/>
    </row>
    <row r="688" spans="2:24" ht="15" thickBot="1">
      <c r="B688" s="2"/>
      <c r="D688" s="5" t="s">
        <v>1277</v>
      </c>
      <c r="E688" s="279" t="s">
        <v>346</v>
      </c>
      <c r="F688" s="179">
        <v>116</v>
      </c>
      <c r="G688" s="5" t="s">
        <v>1751</v>
      </c>
      <c r="X688" s="2"/>
    </row>
    <row r="689" spans="2:24" ht="15" thickBot="1">
      <c r="B689" s="2"/>
      <c r="F689" s="1"/>
      <c r="X689" s="2"/>
    </row>
    <row r="690" spans="2:24" ht="15" thickBot="1">
      <c r="B690" s="2"/>
      <c r="D690" s="5" t="s">
        <v>1278</v>
      </c>
      <c r="E690" s="279" t="s">
        <v>346</v>
      </c>
      <c r="F690" s="179">
        <v>7.2</v>
      </c>
      <c r="G690" s="5" t="s">
        <v>1751</v>
      </c>
      <c r="X690" s="2"/>
    </row>
    <row r="691" spans="2:24" ht="15" thickBot="1">
      <c r="B691" s="2"/>
      <c r="F691" s="1"/>
      <c r="X691" s="2"/>
    </row>
    <row r="692" spans="2:24" ht="15" thickBot="1">
      <c r="B692" s="2"/>
      <c r="D692" s="5" t="s">
        <v>1280</v>
      </c>
      <c r="E692" s="279" t="s">
        <v>346</v>
      </c>
      <c r="F692" s="179">
        <v>0.16</v>
      </c>
      <c r="G692" s="5" t="s">
        <v>1751</v>
      </c>
      <c r="X692" s="2"/>
    </row>
    <row r="693" spans="2:24" ht="15" thickBot="1">
      <c r="B693" s="2"/>
      <c r="F693" s="1"/>
      <c r="X693" s="2"/>
    </row>
    <row r="694" spans="2:24" ht="15" thickBot="1">
      <c r="B694" s="2"/>
      <c r="D694" s="5" t="s">
        <v>1279</v>
      </c>
      <c r="E694" s="279" t="s">
        <v>346</v>
      </c>
      <c r="F694" s="179">
        <v>0.65</v>
      </c>
      <c r="G694" s="5" t="s">
        <v>1751</v>
      </c>
      <c r="X694" s="2"/>
    </row>
    <row r="695" spans="2:24" ht="15" thickBot="1">
      <c r="B695" s="2"/>
      <c r="F695" s="1"/>
      <c r="X695" s="2"/>
    </row>
    <row r="696" spans="2:24" ht="15" thickBot="1">
      <c r="B696" s="2"/>
      <c r="D696" s="5" t="s">
        <v>1281</v>
      </c>
      <c r="E696" s="279" t="s">
        <v>346</v>
      </c>
      <c r="F696" s="179">
        <v>0.04</v>
      </c>
      <c r="X696" s="2"/>
    </row>
    <row r="697" spans="2:24" ht="15" thickBot="1">
      <c r="B697" s="2"/>
      <c r="F697" s="1"/>
      <c r="X697" s="2"/>
    </row>
    <row r="698" spans="2:24" ht="15" thickBot="1">
      <c r="B698" s="2"/>
      <c r="D698" s="5" t="s">
        <v>1282</v>
      </c>
      <c r="E698" s="279" t="s">
        <v>346</v>
      </c>
      <c r="F698" s="179">
        <v>0.5</v>
      </c>
      <c r="X698" s="2"/>
    </row>
    <row r="699" spans="2:24" ht="15" thickBot="1">
      <c r="B699" s="2"/>
      <c r="F699" s="1"/>
      <c r="X699" s="2"/>
    </row>
    <row r="700" spans="2:24" ht="15" thickBot="1">
      <c r="B700" s="2"/>
      <c r="D700" s="5" t="s">
        <v>643</v>
      </c>
      <c r="E700" s="279" t="s">
        <v>346</v>
      </c>
      <c r="F700" s="179">
        <v>0.93</v>
      </c>
      <c r="G700" s="5" t="s">
        <v>644</v>
      </c>
      <c r="X700" s="2"/>
    </row>
    <row r="701" spans="2:24">
      <c r="B701" s="2"/>
      <c r="F701" s="105"/>
      <c r="X701" s="2"/>
    </row>
    <row r="702" spans="2:24" ht="15" thickBot="1">
      <c r="B702" s="2"/>
      <c r="D702" s="16" t="s">
        <v>49</v>
      </c>
      <c r="F702" s="105"/>
      <c r="X702" s="2"/>
    </row>
    <row r="703" spans="2:24" ht="15" thickBot="1">
      <c r="B703" s="2"/>
      <c r="D703" s="5" t="s">
        <v>50</v>
      </c>
      <c r="E703" s="279" t="s">
        <v>346</v>
      </c>
      <c r="F703" s="179">
        <v>0.7</v>
      </c>
      <c r="G703" s="132" t="s">
        <v>30</v>
      </c>
      <c r="X703" s="2"/>
    </row>
    <row r="704" spans="2:24" ht="15" thickBot="1">
      <c r="B704" s="2"/>
      <c r="F704" s="1"/>
      <c r="G704" s="132"/>
      <c r="X704" s="2"/>
    </row>
    <row r="705" spans="2:26" ht="15" thickBot="1">
      <c r="B705" s="2"/>
      <c r="D705" s="5" t="s">
        <v>51</v>
      </c>
      <c r="E705" s="279" t="s">
        <v>346</v>
      </c>
      <c r="F705" s="179">
        <f>1-F703</f>
        <v>0.30000000000000004</v>
      </c>
      <c r="X705" s="2"/>
    </row>
    <row r="706" spans="2:26">
      <c r="B706" s="2"/>
      <c r="X706" s="2"/>
    </row>
    <row r="707" spans="2:26" ht="21">
      <c r="B707" s="2"/>
      <c r="C707" s="314" t="s">
        <v>1661</v>
      </c>
      <c r="D707" s="314"/>
      <c r="E707" s="314"/>
      <c r="F707" s="314"/>
      <c r="G707" s="314"/>
      <c r="H707" s="314"/>
      <c r="I707" s="314"/>
      <c r="J707" s="314"/>
      <c r="K707" s="314"/>
      <c r="L707" s="314"/>
      <c r="M707" s="314"/>
      <c r="N707" s="314"/>
      <c r="O707" s="314"/>
      <c r="P707" s="314"/>
      <c r="Q707" s="314"/>
      <c r="R707" s="314"/>
      <c r="S707" s="314"/>
      <c r="T707" s="314"/>
      <c r="U707" s="314"/>
      <c r="V707" s="314"/>
      <c r="W707" s="314"/>
      <c r="X707" s="173"/>
      <c r="Y707" s="172"/>
      <c r="Z707" s="172"/>
    </row>
    <row r="708" spans="2:26" ht="21">
      <c r="B708" s="2"/>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73"/>
      <c r="Y708" s="172"/>
      <c r="Z708" s="172"/>
    </row>
    <row r="709" spans="2:26" ht="15" thickBot="1">
      <c r="B709" s="2"/>
      <c r="D709" s="16" t="s">
        <v>608</v>
      </c>
      <c r="E709" s="77" t="s">
        <v>1435</v>
      </c>
      <c r="F709" s="16" t="s">
        <v>609</v>
      </c>
      <c r="G709" s="16" t="s">
        <v>1298</v>
      </c>
      <c r="H709" s="77" t="s">
        <v>1724</v>
      </c>
      <c r="I709" s="77" t="s">
        <v>1725</v>
      </c>
      <c r="J709" s="16" t="s">
        <v>1295</v>
      </c>
      <c r="K709" s="77" t="s">
        <v>1726</v>
      </c>
      <c r="L709" s="77" t="s">
        <v>1727</v>
      </c>
      <c r="M709" s="16" t="s">
        <v>1728</v>
      </c>
      <c r="N709" s="77" t="s">
        <v>1729</v>
      </c>
      <c r="O709" s="77" t="s">
        <v>1730</v>
      </c>
      <c r="P709" s="77" t="s">
        <v>1731</v>
      </c>
      <c r="Q709" s="16" t="s">
        <v>1297</v>
      </c>
      <c r="R709" s="77" t="s">
        <v>1732</v>
      </c>
      <c r="S709" s="77" t="s">
        <v>1733</v>
      </c>
      <c r="T709" s="77" t="s">
        <v>1734</v>
      </c>
      <c r="U709" s="77" t="s">
        <v>1735</v>
      </c>
      <c r="V709" s="16" t="s">
        <v>1296</v>
      </c>
      <c r="W709" s="16" t="s">
        <v>705</v>
      </c>
      <c r="X709" s="2"/>
    </row>
    <row r="710" spans="2:26" ht="15" thickBot="1">
      <c r="B710" s="2"/>
      <c r="D710" s="208" t="s">
        <v>613</v>
      </c>
      <c r="E710" s="209">
        <v>5.4642999999999998E-4</v>
      </c>
      <c r="F710" s="209">
        <v>0.35409000000000002</v>
      </c>
      <c r="G710" s="209">
        <v>3.9876E-3</v>
      </c>
      <c r="H710" s="209">
        <v>5.1929999999999997E-3</v>
      </c>
      <c r="I710" s="209">
        <v>0.20794000000000001</v>
      </c>
      <c r="J710" s="209">
        <v>0.12214999999999999</v>
      </c>
      <c r="K710" s="209">
        <v>1.7187E-5</v>
      </c>
      <c r="L710" s="209">
        <v>2.3676999999999998E-6</v>
      </c>
      <c r="M710" s="209">
        <v>8.5442999999999995E-3</v>
      </c>
      <c r="N710" s="209">
        <v>6.3175999999999996E-2</v>
      </c>
      <c r="O710" s="209">
        <v>1.6202999999999999E-2</v>
      </c>
      <c r="P710" s="209">
        <v>7.6298E-3</v>
      </c>
      <c r="Q710" s="209">
        <v>1.9383E-3</v>
      </c>
      <c r="R710" s="209">
        <v>1.6847E-7</v>
      </c>
      <c r="S710" s="209">
        <v>1.9055E-4</v>
      </c>
      <c r="T710" s="209">
        <v>4.3326999999999998E-4</v>
      </c>
      <c r="U710" s="209">
        <v>4.4653E-4</v>
      </c>
      <c r="V710" s="209">
        <v>7.2738000000000002E-4</v>
      </c>
      <c r="W710" s="130" t="s">
        <v>612</v>
      </c>
      <c r="X710" s="2"/>
    </row>
    <row r="711" spans="2:26" ht="15" thickBot="1">
      <c r="B711" s="2"/>
      <c r="D711" s="208"/>
      <c r="E711" s="199"/>
      <c r="F711" s="199"/>
      <c r="G711" s="199"/>
      <c r="H711" s="199"/>
      <c r="I711" s="199"/>
      <c r="J711" s="199"/>
      <c r="K711" s="199"/>
      <c r="L711" s="199"/>
      <c r="M711" s="199"/>
      <c r="N711" s="199"/>
      <c r="O711" s="199"/>
      <c r="P711" s="199"/>
      <c r="Q711" s="199"/>
      <c r="R711" s="199"/>
      <c r="S711" s="199"/>
      <c r="T711" s="199"/>
      <c r="U711" s="199"/>
      <c r="V711" s="199"/>
      <c r="W711" s="130"/>
      <c r="X711" s="2"/>
    </row>
    <row r="712" spans="2:26" ht="15" thickBot="1">
      <c r="B712" s="2"/>
      <c r="D712" s="208" t="s">
        <v>984</v>
      </c>
      <c r="E712" s="209">
        <v>3.3822000000000002E-4</v>
      </c>
      <c r="F712" s="209">
        <v>0.75217999999999996</v>
      </c>
      <c r="G712" s="209">
        <v>3.2415999999999999E-3</v>
      </c>
      <c r="H712" s="209">
        <v>4.3923E-3</v>
      </c>
      <c r="I712" s="209">
        <v>0.27966000000000002</v>
      </c>
      <c r="J712" s="209">
        <v>0.24632999999999999</v>
      </c>
      <c r="K712" s="209">
        <v>1.4547E-6</v>
      </c>
      <c r="L712" s="209">
        <v>1.4547E-6</v>
      </c>
      <c r="M712" s="209">
        <v>1.4671999999999999E-2</v>
      </c>
      <c r="N712" s="209">
        <v>5.0428000000000001E-2</v>
      </c>
      <c r="O712" s="209">
        <v>1.7699E-3</v>
      </c>
      <c r="P712" s="209">
        <v>9.7278000000000002E-4</v>
      </c>
      <c r="Q712" s="209">
        <v>5.0457000000000002E-3</v>
      </c>
      <c r="R712" s="209">
        <v>1.5752E-7</v>
      </c>
      <c r="S712" s="209">
        <v>1.3401999999999999E-4</v>
      </c>
      <c r="T712" s="209">
        <v>7.0578999999999998E-4</v>
      </c>
      <c r="U712" s="209">
        <v>7.8474999999999997E-4</v>
      </c>
      <c r="V712" s="209">
        <v>4.3075999999999998E-4</v>
      </c>
      <c r="W712" s="131" t="s">
        <v>985</v>
      </c>
      <c r="X712" s="2"/>
    </row>
    <row r="713" spans="2:26" ht="15" thickBot="1">
      <c r="B713" s="2"/>
      <c r="D713" s="208"/>
      <c r="E713" s="199"/>
      <c r="F713" s="199"/>
      <c r="G713" s="199"/>
      <c r="H713" s="199"/>
      <c r="I713" s="199"/>
      <c r="J713" s="199"/>
      <c r="K713" s="199"/>
      <c r="L713" s="199"/>
      <c r="M713" s="199"/>
      <c r="N713" s="199"/>
      <c r="O713" s="199"/>
      <c r="P713" s="199"/>
      <c r="Q713" s="199"/>
      <c r="R713" s="199"/>
      <c r="S713" s="199"/>
      <c r="T713" s="199"/>
      <c r="U713" s="199"/>
      <c r="V713" s="199"/>
      <c r="W713" s="131"/>
      <c r="X713" s="2"/>
    </row>
    <row r="714" spans="2:26" ht="15" thickBot="1">
      <c r="B714" s="2"/>
      <c r="D714" s="268" t="s">
        <v>614</v>
      </c>
      <c r="E714" s="267">
        <v>3.4201000000000001E-4</v>
      </c>
      <c r="F714" s="209">
        <v>0.14424000000000001</v>
      </c>
      <c r="G714" s="209">
        <v>6.0337000000000003E-3</v>
      </c>
      <c r="H714" s="209">
        <v>7.7187000000000002E-3</v>
      </c>
      <c r="I714" s="209">
        <v>0.45595000000000002</v>
      </c>
      <c r="J714" s="209">
        <v>1.848E-2</v>
      </c>
      <c r="K714" s="209">
        <v>1.0555E-5</v>
      </c>
      <c r="L714" s="209">
        <v>2.3655999999999998E-6</v>
      </c>
      <c r="M714" s="209">
        <v>7.6149E-3</v>
      </c>
      <c r="N714" s="209">
        <v>8.5319999999999993E-2</v>
      </c>
      <c r="O714" s="209">
        <v>1.3299999999999999E-2</v>
      </c>
      <c r="P714" s="209">
        <v>1.2335E-2</v>
      </c>
      <c r="Q714" s="209">
        <v>1.8542000000000001E-3</v>
      </c>
      <c r="R714" s="209">
        <v>1.4779E-7</v>
      </c>
      <c r="S714" s="209">
        <v>1.1650999999999999E-4</v>
      </c>
      <c r="T714" s="209">
        <v>3.9934999999999998E-4</v>
      </c>
      <c r="U714" s="209">
        <v>4.0782999999999998E-4</v>
      </c>
      <c r="V714" s="209">
        <v>1.0104999999999999E-3</v>
      </c>
      <c r="W714" s="131" t="s">
        <v>615</v>
      </c>
      <c r="X714" s="2"/>
    </row>
    <row r="715" spans="2:26" ht="15" thickBot="1">
      <c r="B715" s="2"/>
      <c r="D715" s="208"/>
      <c r="E715" s="199"/>
      <c r="F715" s="199"/>
      <c r="G715" s="199"/>
      <c r="H715" s="199"/>
      <c r="I715" s="199"/>
      <c r="J715" s="199"/>
      <c r="K715" s="199"/>
      <c r="L715" s="199"/>
      <c r="M715" s="199"/>
      <c r="N715" s="199"/>
      <c r="O715" s="199"/>
      <c r="P715" s="199"/>
      <c r="Q715" s="199"/>
      <c r="R715" s="199"/>
      <c r="S715" s="199"/>
      <c r="T715" s="199"/>
      <c r="U715" s="199"/>
      <c r="V715" s="199"/>
      <c r="W715" s="131"/>
      <c r="X715" s="2"/>
    </row>
    <row r="716" spans="2:26" ht="29.5" thickBot="1">
      <c r="B716" s="2"/>
      <c r="D716" s="208" t="s">
        <v>617</v>
      </c>
      <c r="E716" s="209">
        <v>1.3064000000000001E-3</v>
      </c>
      <c r="F716" s="209">
        <v>0.25767000000000001</v>
      </c>
      <c r="G716" s="209">
        <v>3.9779999999999998E-3</v>
      </c>
      <c r="H716" s="209">
        <v>5.2801000000000002E-3</v>
      </c>
      <c r="I716" s="209">
        <v>0.32427</v>
      </c>
      <c r="J716" s="209">
        <v>2.3644999999999999E-2</v>
      </c>
      <c r="K716" s="209">
        <v>4.1539999999999999E-5</v>
      </c>
      <c r="L716" s="209">
        <v>3.1613999999999999E-6</v>
      </c>
      <c r="M716" s="209">
        <v>7.1038999999999998E-3</v>
      </c>
      <c r="N716" s="209">
        <v>0.10342</v>
      </c>
      <c r="O716" s="209">
        <v>3.3362000000000001E-3</v>
      </c>
      <c r="P716" s="209">
        <v>8.3312999999999998E-3</v>
      </c>
      <c r="Q716" s="209">
        <v>1.387E-3</v>
      </c>
      <c r="R716" s="209">
        <v>7.2256999999999999E-7</v>
      </c>
      <c r="S716" s="209">
        <v>3.3236000000000002E-4</v>
      </c>
      <c r="T716" s="209">
        <v>3.0639000000000003E-4</v>
      </c>
      <c r="U716" s="209">
        <v>3.1634000000000002E-4</v>
      </c>
      <c r="V716" s="209">
        <v>2.5088999999999998E-4</v>
      </c>
      <c r="W716" s="130" t="s">
        <v>616</v>
      </c>
      <c r="X716" s="2"/>
    </row>
    <row r="717" spans="2:26" ht="15" thickBot="1">
      <c r="B717" s="2"/>
      <c r="D717" s="208"/>
      <c r="E717" s="199"/>
      <c r="F717" s="199"/>
      <c r="G717" s="199"/>
      <c r="H717" s="199"/>
      <c r="I717" s="199"/>
      <c r="J717" s="199"/>
      <c r="K717" s="199"/>
      <c r="L717" s="199"/>
      <c r="M717" s="199"/>
      <c r="N717" s="199"/>
      <c r="O717" s="199"/>
      <c r="P717" s="199"/>
      <c r="Q717" s="199"/>
      <c r="R717" s="199"/>
      <c r="S717" s="199"/>
      <c r="T717" s="199"/>
      <c r="U717" s="199"/>
      <c r="V717" s="199"/>
      <c r="W717" s="130"/>
      <c r="X717" s="2"/>
    </row>
    <row r="718" spans="2:26" ht="29.5" thickBot="1">
      <c r="B718" s="2"/>
      <c r="D718" s="208" t="s">
        <v>618</v>
      </c>
      <c r="E718" s="209">
        <v>4.4383999999999998E-4</v>
      </c>
      <c r="F718" s="209">
        <v>0.66852</v>
      </c>
      <c r="G718" s="209">
        <v>2.4648000000000001E-3</v>
      </c>
      <c r="H718" s="209">
        <v>3.3443000000000001E-3</v>
      </c>
      <c r="I718" s="209">
        <v>0.2021</v>
      </c>
      <c r="J718" s="209">
        <v>0.21231</v>
      </c>
      <c r="K718" s="209">
        <v>1.1331999999999999E-5</v>
      </c>
      <c r="L718" s="209">
        <v>1.4909E-6</v>
      </c>
      <c r="M718" s="209">
        <v>1.0626E-2</v>
      </c>
      <c r="N718" s="209">
        <v>4.1935E-2</v>
      </c>
      <c r="O718" s="209">
        <v>1.6856E-3</v>
      </c>
      <c r="P718" s="209">
        <v>9.7294999999999999E-4</v>
      </c>
      <c r="Q718" s="209">
        <v>3.9039000000000001E-3</v>
      </c>
      <c r="R718" s="209">
        <v>5.0096999999999997E-7</v>
      </c>
      <c r="S718" s="209">
        <v>1.6433999999999999E-4</v>
      </c>
      <c r="T718" s="209">
        <v>9.6336000000000002E-4</v>
      </c>
      <c r="U718" s="209">
        <v>1.0510999999999999E-3</v>
      </c>
      <c r="V718" s="209">
        <v>3.0864999999999999E-4</v>
      </c>
      <c r="W718" s="131" t="s">
        <v>1011</v>
      </c>
      <c r="X718" s="2"/>
    </row>
    <row r="719" spans="2:26" ht="15" thickBot="1">
      <c r="B719" s="2"/>
      <c r="D719" s="208"/>
      <c r="E719" s="199"/>
      <c r="F719" s="199"/>
      <c r="G719" s="199"/>
      <c r="H719" s="199"/>
      <c r="I719" s="199"/>
      <c r="J719" s="199"/>
      <c r="K719" s="199"/>
      <c r="L719" s="199"/>
      <c r="M719" s="199"/>
      <c r="N719" s="199"/>
      <c r="O719" s="199"/>
      <c r="P719" s="199"/>
      <c r="Q719" s="199"/>
      <c r="R719" s="199"/>
      <c r="S719" s="199"/>
      <c r="T719" s="199"/>
      <c r="U719" s="199"/>
      <c r="V719" s="199"/>
      <c r="W719" s="131"/>
      <c r="X719" s="2"/>
    </row>
    <row r="720" spans="2:26" ht="29.5" thickBot="1">
      <c r="B720" s="2"/>
      <c r="D720" s="208" t="s">
        <v>619</v>
      </c>
      <c r="E720" s="209">
        <v>2.7563E-5</v>
      </c>
      <c r="F720" s="209">
        <v>7.2011000000000006E-2</v>
      </c>
      <c r="G720" s="209">
        <v>1.8264E-4</v>
      </c>
      <c r="H720" s="209">
        <v>2.5453999999999999E-4</v>
      </c>
      <c r="I720" s="209">
        <v>1.29E-2</v>
      </c>
      <c r="J720" s="209">
        <v>2.4597999999999998E-2</v>
      </c>
      <c r="K720" s="209">
        <v>1.2613000000000001E-6</v>
      </c>
      <c r="L720" s="209">
        <v>1.5054E-7</v>
      </c>
      <c r="M720" s="209">
        <v>1.0361000000000001E-3</v>
      </c>
      <c r="N720" s="209">
        <v>3.0769999999999999E-3</v>
      </c>
      <c r="O720" s="209">
        <v>3.9402000000000003E-4</v>
      </c>
      <c r="P720" s="209">
        <v>7.3955999999999995E-5</v>
      </c>
      <c r="Q720" s="209">
        <v>4.0701000000000002E-4</v>
      </c>
      <c r="R720" s="209">
        <v>1.0500999999999999E-8</v>
      </c>
      <c r="S720" s="209">
        <v>1.0813E-5</v>
      </c>
      <c r="T720" s="209">
        <v>5.2497999999999998E-5</v>
      </c>
      <c r="U720" s="209">
        <v>6.0510999999999997E-5</v>
      </c>
      <c r="V720" s="209">
        <v>4.0878999999999999E-5</v>
      </c>
      <c r="W720" s="131" t="s">
        <v>620</v>
      </c>
      <c r="X720" s="2"/>
    </row>
    <row r="721" spans="2:24" ht="15" thickBot="1">
      <c r="B721" s="2"/>
      <c r="D721" s="208"/>
      <c r="E721" s="199"/>
      <c r="F721" s="199"/>
      <c r="G721" s="199"/>
      <c r="H721" s="199"/>
      <c r="I721" s="199"/>
      <c r="J721" s="199"/>
      <c r="K721" s="199"/>
      <c r="L721" s="199"/>
      <c r="M721" s="199"/>
      <c r="N721" s="199"/>
      <c r="O721" s="199"/>
      <c r="P721" s="199"/>
      <c r="Q721" s="199"/>
      <c r="R721" s="199"/>
      <c r="S721" s="199"/>
      <c r="T721" s="199"/>
      <c r="U721" s="199"/>
      <c r="V721" s="199"/>
      <c r="W721" s="131"/>
      <c r="X721" s="2"/>
    </row>
    <row r="722" spans="2:24" ht="29.5" thickBot="1">
      <c r="B722" s="2"/>
      <c r="D722" s="208" t="s">
        <v>1149</v>
      </c>
      <c r="E722" s="209">
        <v>4.4406999999999997E-5</v>
      </c>
      <c r="F722" s="209">
        <v>1.4798E-2</v>
      </c>
      <c r="G722" s="209">
        <v>7.4728999999999996E-4</v>
      </c>
      <c r="H722" s="209">
        <v>9.6071999999999998E-4</v>
      </c>
      <c r="I722" s="209">
        <v>4.8884999999999998E-2</v>
      </c>
      <c r="J722" s="209">
        <v>3.2547000000000001E-3</v>
      </c>
      <c r="K722" s="209">
        <v>4.0825999999999997E-6</v>
      </c>
      <c r="L722" s="209">
        <v>3.6694999999999999E-7</v>
      </c>
      <c r="M722" s="209">
        <v>8.2142999999999995E-4</v>
      </c>
      <c r="N722" s="209">
        <v>1.2404E-2</v>
      </c>
      <c r="O722" s="209">
        <v>1.2416E-3</v>
      </c>
      <c r="P722" s="209">
        <v>1.1406000000000001E-3</v>
      </c>
      <c r="Q722" s="209">
        <v>1.5714E-4</v>
      </c>
      <c r="R722" s="209">
        <v>1.0509E-8</v>
      </c>
      <c r="S722" s="209">
        <v>1.9802000000000001E-5</v>
      </c>
      <c r="T722" s="209">
        <v>3.0861000000000001E-5</v>
      </c>
      <c r="U722" s="209">
        <v>3.2064000000000003E-5</v>
      </c>
      <c r="V722" s="209">
        <v>5.5578999999999998E-5</v>
      </c>
      <c r="W722" s="131" t="s">
        <v>1150</v>
      </c>
      <c r="X722" s="2"/>
    </row>
    <row r="723" spans="2:24" ht="15" thickBot="1">
      <c r="B723" s="2"/>
      <c r="D723" s="208"/>
      <c r="E723" s="199"/>
      <c r="F723" s="199"/>
      <c r="G723" s="199"/>
      <c r="H723" s="199"/>
      <c r="I723" s="199"/>
      <c r="J723" s="199"/>
      <c r="K723" s="199"/>
      <c r="L723" s="199"/>
      <c r="M723" s="199"/>
      <c r="N723" s="199"/>
      <c r="O723" s="199"/>
      <c r="P723" s="199"/>
      <c r="Q723" s="199"/>
      <c r="R723" s="199"/>
      <c r="S723" s="199"/>
      <c r="T723" s="199"/>
      <c r="U723" s="199"/>
      <c r="V723" s="199"/>
      <c r="W723" s="131"/>
      <c r="X723" s="2"/>
    </row>
    <row r="724" spans="2:24" ht="29.5" thickBot="1">
      <c r="B724" s="2"/>
      <c r="D724" s="208" t="s">
        <v>1718</v>
      </c>
      <c r="E724" s="209">
        <v>1.0688E-3</v>
      </c>
      <c r="F724" s="209">
        <v>0.22276000000000001</v>
      </c>
      <c r="G724" s="209">
        <v>2.7483E-2</v>
      </c>
      <c r="H724" s="209">
        <v>3.6977000000000003E-2</v>
      </c>
      <c r="I724" s="209">
        <v>1.6497999999999999</v>
      </c>
      <c r="J724" s="209">
        <v>7.659E-3</v>
      </c>
      <c r="K724" s="209">
        <v>1.2872999999999999E-3</v>
      </c>
      <c r="L724" s="209">
        <v>5.3052000000000004E-3</v>
      </c>
      <c r="M724" s="209">
        <v>2.912E-2</v>
      </c>
      <c r="N724" s="209">
        <v>3.4866000000000001</v>
      </c>
      <c r="O724" s="209">
        <v>5.8527999999999997E-2</v>
      </c>
      <c r="P724" s="209">
        <v>8.1040999999999995E-3</v>
      </c>
      <c r="Q724" s="209">
        <v>6.4301000000000002E-3</v>
      </c>
      <c r="R724" s="209">
        <v>1.8225999999999999E-6</v>
      </c>
      <c r="S724" s="209">
        <v>3.5438000000000001E-4</v>
      </c>
      <c r="T724" s="209">
        <v>7.9107999999999999E-4</v>
      </c>
      <c r="U724" s="209">
        <v>8.1484000000000005E-4</v>
      </c>
      <c r="V724" s="209">
        <v>3.4751000000000001E-3</v>
      </c>
      <c r="W724" s="131" t="s">
        <v>1009</v>
      </c>
      <c r="X724" s="2"/>
    </row>
    <row r="725" spans="2:24">
      <c r="B725" s="2"/>
      <c r="D725" s="208"/>
      <c r="E725" s="199"/>
      <c r="F725" s="199"/>
      <c r="G725" s="199"/>
      <c r="H725" s="199"/>
      <c r="I725" s="199"/>
      <c r="J725" s="199"/>
      <c r="K725" s="199"/>
      <c r="L725" s="199"/>
      <c r="M725" s="199"/>
      <c r="N725" s="199"/>
      <c r="O725" s="199"/>
      <c r="P725" s="199"/>
      <c r="Q725" s="199"/>
      <c r="R725" s="199"/>
      <c r="S725" s="199"/>
      <c r="T725" s="199"/>
      <c r="U725" s="199"/>
      <c r="V725" s="199"/>
      <c r="W725" s="131"/>
      <c r="X725" s="2"/>
    </row>
    <row r="726" spans="2:24" ht="15" thickBot="1">
      <c r="B726" s="2"/>
      <c r="D726" s="198" t="s">
        <v>607</v>
      </c>
      <c r="E726" s="199"/>
      <c r="F726" s="199"/>
      <c r="G726" s="199"/>
      <c r="H726" s="199"/>
      <c r="I726" s="199"/>
      <c r="J726" s="199"/>
      <c r="K726" s="199"/>
      <c r="L726" s="199"/>
      <c r="M726" s="199"/>
      <c r="N726" s="199"/>
      <c r="O726" s="199"/>
      <c r="P726" s="199"/>
      <c r="Q726" s="199"/>
      <c r="R726" s="199"/>
      <c r="S726" s="199"/>
      <c r="T726" s="199"/>
      <c r="U726" s="199"/>
      <c r="V726" s="199"/>
      <c r="W726" s="131"/>
      <c r="X726" s="2"/>
    </row>
    <row r="727" spans="2:24" ht="15" thickBot="1">
      <c r="B727" s="2"/>
      <c r="D727" s="198" t="s">
        <v>1719</v>
      </c>
      <c r="E727" s="209">
        <v>8.3286000000000002E-3</v>
      </c>
      <c r="F727" s="209">
        <v>3.0937000000000001</v>
      </c>
      <c r="G727" s="209">
        <v>0.11600000000000001</v>
      </c>
      <c r="H727" s="209">
        <v>0.15397</v>
      </c>
      <c r="I727" s="209">
        <v>12.936999999999999</v>
      </c>
      <c r="J727" s="209">
        <v>1.5660000000000001</v>
      </c>
      <c r="K727" s="209">
        <v>6.2721000000000001E-4</v>
      </c>
      <c r="L727" s="209">
        <v>9.8713000000000002E-5</v>
      </c>
      <c r="M727" s="209">
        <v>0.15786</v>
      </c>
      <c r="N727" s="209">
        <v>2.3117000000000001</v>
      </c>
      <c r="O727" s="209">
        <v>0.14334</v>
      </c>
      <c r="P727" s="209">
        <v>4.0545999999999999E-2</v>
      </c>
      <c r="Q727" s="209">
        <v>2.9277000000000001E-2</v>
      </c>
      <c r="R727" s="209">
        <v>1.9803999999999999E-5</v>
      </c>
      <c r="S727" s="209">
        <v>3.4451E-3</v>
      </c>
      <c r="T727" s="209">
        <v>6.1492999999999999E-3</v>
      </c>
      <c r="U727" s="209">
        <v>6.5592999999999997E-3</v>
      </c>
      <c r="V727" s="209">
        <v>3.533E-2</v>
      </c>
      <c r="W727" s="130" t="s">
        <v>611</v>
      </c>
      <c r="X727" s="2"/>
    </row>
    <row r="728" spans="2:24" ht="15" thickBot="1">
      <c r="B728" s="2"/>
      <c r="D728" s="198"/>
      <c r="E728" s="199"/>
      <c r="F728" s="199"/>
      <c r="G728" s="199"/>
      <c r="H728" s="199"/>
      <c r="I728" s="199"/>
      <c r="J728" s="199"/>
      <c r="K728" s="199"/>
      <c r="L728" s="199"/>
      <c r="M728" s="199"/>
      <c r="N728" s="199"/>
      <c r="O728" s="199"/>
      <c r="P728" s="199"/>
      <c r="Q728" s="199"/>
      <c r="R728" s="199"/>
      <c r="S728" s="199"/>
      <c r="T728" s="199"/>
      <c r="U728" s="199"/>
      <c r="V728" s="199"/>
      <c r="W728" s="130"/>
      <c r="X728" s="2"/>
    </row>
    <row r="729" spans="2:24" ht="29.5" thickBot="1">
      <c r="B729" s="2"/>
      <c r="D729" s="198" t="s">
        <v>1720</v>
      </c>
      <c r="E729" s="209">
        <v>0.67669999999999997</v>
      </c>
      <c r="F729" s="209">
        <v>335.73</v>
      </c>
      <c r="G729" s="209">
        <v>5.3898999999999999</v>
      </c>
      <c r="H729" s="209">
        <v>7.4093</v>
      </c>
      <c r="I729" s="209">
        <v>746.66</v>
      </c>
      <c r="J729" s="209">
        <v>43.918999999999997</v>
      </c>
      <c r="K729" s="209">
        <v>3.8290999999999999E-2</v>
      </c>
      <c r="L729" s="209">
        <v>3.9619E-3</v>
      </c>
      <c r="M729" s="209">
        <v>8.0268999999999995</v>
      </c>
      <c r="N729" s="209">
        <v>140.13999999999999</v>
      </c>
      <c r="O729" s="209">
        <v>3.3677999999999999</v>
      </c>
      <c r="P729" s="209">
        <v>7.0578000000000003</v>
      </c>
      <c r="Q729" s="209">
        <v>2.718</v>
      </c>
      <c r="R729" s="209">
        <v>2.9468999999999999E-5</v>
      </c>
      <c r="S729" s="209">
        <v>0.28377999999999998</v>
      </c>
      <c r="T729" s="209">
        <v>0.83023999999999998</v>
      </c>
      <c r="U729" s="209">
        <v>0.84855999999999998</v>
      </c>
      <c r="V729" s="209">
        <v>0.63897000000000004</v>
      </c>
      <c r="W729" s="130" t="s">
        <v>1436</v>
      </c>
      <c r="X729" s="2"/>
    </row>
    <row r="730" spans="2:24" ht="15" thickBot="1">
      <c r="B730" s="2"/>
      <c r="D730" s="198"/>
      <c r="E730" s="199"/>
      <c r="F730" s="199"/>
      <c r="G730" s="199"/>
      <c r="H730" s="199"/>
      <c r="I730" s="199"/>
      <c r="J730" s="199"/>
      <c r="K730" s="199"/>
      <c r="L730" s="199"/>
      <c r="M730" s="199"/>
      <c r="N730" s="199"/>
      <c r="O730" s="199"/>
      <c r="P730" s="199"/>
      <c r="Q730" s="199"/>
      <c r="R730" s="199"/>
      <c r="S730" s="199"/>
      <c r="T730" s="199"/>
      <c r="U730" s="199"/>
      <c r="V730" s="199"/>
      <c r="W730" s="130"/>
      <c r="X730" s="2"/>
    </row>
    <row r="731" spans="2:24" ht="15" thickBot="1">
      <c r="B731" s="2"/>
      <c r="D731" s="198" t="s">
        <v>626</v>
      </c>
      <c r="E731" s="209">
        <v>1.8054000000000001E-2</v>
      </c>
      <c r="F731" s="209">
        <v>5.1087999999999996</v>
      </c>
      <c r="G731" s="209">
        <v>0.27542</v>
      </c>
      <c r="H731" s="209">
        <v>0.35966999999999999</v>
      </c>
      <c r="I731" s="209">
        <v>23.198</v>
      </c>
      <c r="J731" s="209">
        <v>1.9450000000000001</v>
      </c>
      <c r="K731" s="209">
        <v>1.2887E-3</v>
      </c>
      <c r="L731" s="209">
        <v>8.3723000000000001E-4</v>
      </c>
      <c r="M731" s="209">
        <v>0.28861999999999999</v>
      </c>
      <c r="N731" s="209">
        <v>4.9627999999999997</v>
      </c>
      <c r="O731" s="209">
        <v>0.32650000000000001</v>
      </c>
      <c r="P731" s="209">
        <v>6.4434000000000005E-2</v>
      </c>
      <c r="Q731" s="209">
        <v>7.3955999999999994E-2</v>
      </c>
      <c r="R731" s="209">
        <v>1.4044E-5</v>
      </c>
      <c r="S731" s="209">
        <v>7.0715999999999999E-3</v>
      </c>
      <c r="T731" s="209">
        <v>9.5344999999999996E-3</v>
      </c>
      <c r="U731" s="209">
        <v>1.0059E-2</v>
      </c>
      <c r="V731" s="209">
        <v>0.12569</v>
      </c>
      <c r="W731" s="131" t="s">
        <v>621</v>
      </c>
      <c r="X731" s="2"/>
    </row>
    <row r="732" spans="2:24" ht="15" thickBot="1">
      <c r="B732" s="2"/>
      <c r="D732" s="198"/>
      <c r="E732" s="199"/>
      <c r="F732" s="199"/>
      <c r="G732" s="199"/>
      <c r="H732" s="199"/>
      <c r="I732" s="199"/>
      <c r="J732" s="199"/>
      <c r="K732" s="199"/>
      <c r="L732" s="199"/>
      <c r="M732" s="199"/>
      <c r="N732" s="199"/>
      <c r="O732" s="199"/>
      <c r="P732" s="199"/>
      <c r="Q732" s="199"/>
      <c r="R732" s="199"/>
      <c r="S732" s="199"/>
      <c r="T732" s="199"/>
      <c r="U732" s="199"/>
      <c r="V732" s="199"/>
      <c r="W732" s="131"/>
      <c r="X732" s="2"/>
    </row>
    <row r="733" spans="2:24" ht="29.5" thickBot="1">
      <c r="B733" s="2"/>
      <c r="D733" s="198" t="s">
        <v>622</v>
      </c>
      <c r="E733" s="209">
        <v>1.7451000000000001E-2</v>
      </c>
      <c r="F733" s="209">
        <v>4.9592999999999998</v>
      </c>
      <c r="G733" s="209">
        <v>0.23737</v>
      </c>
      <c r="H733" s="209">
        <v>0.31035000000000001</v>
      </c>
      <c r="I733" s="209">
        <v>20.062000000000001</v>
      </c>
      <c r="J733" s="209">
        <v>1.9501999999999999</v>
      </c>
      <c r="K733" s="209">
        <v>1.1941E-3</v>
      </c>
      <c r="L733" s="209">
        <v>9.9262000000000005E-4</v>
      </c>
      <c r="M733" s="209">
        <v>0.29952000000000001</v>
      </c>
      <c r="N733" s="209">
        <v>4.3262999999999998</v>
      </c>
      <c r="O733" s="209">
        <v>0.29071000000000002</v>
      </c>
      <c r="P733" s="209">
        <v>5.8013000000000002E-2</v>
      </c>
      <c r="Q733" s="209">
        <v>6.5161999999999998E-2</v>
      </c>
      <c r="R733" s="209">
        <v>1.0637E-5</v>
      </c>
      <c r="S733" s="209">
        <v>6.9034999999999999E-3</v>
      </c>
      <c r="T733" s="209">
        <v>9.7023999999999999E-3</v>
      </c>
      <c r="U733" s="209">
        <v>1.0343E-2</v>
      </c>
      <c r="V733" s="209">
        <v>0.12526999999999999</v>
      </c>
      <c r="W733" s="131" t="s">
        <v>623</v>
      </c>
      <c r="X733" s="2"/>
    </row>
    <row r="734" spans="2:24" ht="15" thickBot="1">
      <c r="B734" s="2"/>
      <c r="D734" s="198"/>
      <c r="E734" s="199"/>
      <c r="F734" s="199"/>
      <c r="G734" s="199"/>
      <c r="H734" s="199"/>
      <c r="I734" s="199"/>
      <c r="J734" s="199"/>
      <c r="K734" s="199"/>
      <c r="L734" s="199"/>
      <c r="M734" s="199"/>
      <c r="N734" s="199"/>
      <c r="O734" s="199"/>
      <c r="P734" s="199"/>
      <c r="Q734" s="199"/>
      <c r="R734" s="199"/>
      <c r="S734" s="199"/>
      <c r="T734" s="199"/>
      <c r="U734" s="199"/>
      <c r="V734" s="199"/>
      <c r="W734" s="131"/>
      <c r="X734" s="2"/>
    </row>
    <row r="735" spans="2:24" ht="15" thickBot="1">
      <c r="B735" s="2"/>
      <c r="D735" s="266" t="s">
        <v>625</v>
      </c>
      <c r="E735" s="209">
        <v>4.5152999999999999E-3</v>
      </c>
      <c r="F735" s="209">
        <v>1.7648999999999999</v>
      </c>
      <c r="G735" s="209">
        <v>8.6372000000000004E-2</v>
      </c>
      <c r="H735" s="209">
        <v>0.11375</v>
      </c>
      <c r="I735" s="209">
        <v>6.7503000000000002</v>
      </c>
      <c r="J735" s="209">
        <v>0.98736000000000002</v>
      </c>
      <c r="K735" s="209">
        <v>7.8228E-4</v>
      </c>
      <c r="L735" s="209">
        <v>8.4215000000000006E-5</v>
      </c>
      <c r="M735" s="209">
        <v>8.4215000000000006E-5</v>
      </c>
      <c r="N735" s="209">
        <v>0.11297</v>
      </c>
      <c r="O735" s="209">
        <v>0.43758999999999998</v>
      </c>
      <c r="P735" s="209">
        <v>3.6339000000000003E-2</v>
      </c>
      <c r="Q735" s="209">
        <v>2.3071000000000001E-2</v>
      </c>
      <c r="R735" s="209">
        <v>5.1771999999999995E-7</v>
      </c>
      <c r="S735" s="209">
        <v>1.7887999999999999E-3</v>
      </c>
      <c r="T735" s="209">
        <v>3.6235E-3</v>
      </c>
      <c r="U735" s="209">
        <v>4.1980000000000003E-3</v>
      </c>
      <c r="V735" s="209">
        <v>5.4705999999999998E-2</v>
      </c>
      <c r="W735" s="131" t="s">
        <v>624</v>
      </c>
      <c r="X735" s="2"/>
    </row>
    <row r="736" spans="2:24" ht="15" thickBot="1">
      <c r="B736" s="2"/>
      <c r="D736" s="198"/>
      <c r="E736" s="199"/>
      <c r="F736" s="199"/>
      <c r="G736" s="199"/>
      <c r="H736" s="199"/>
      <c r="I736" s="199"/>
      <c r="J736" s="199"/>
      <c r="K736" s="199"/>
      <c r="L736" s="199"/>
      <c r="M736" s="199"/>
      <c r="N736" s="199"/>
      <c r="O736" s="199"/>
      <c r="P736" s="199"/>
      <c r="Q736" s="199"/>
      <c r="R736" s="199"/>
      <c r="S736" s="199"/>
      <c r="T736" s="199"/>
      <c r="U736" s="199"/>
      <c r="V736" s="199"/>
      <c r="W736" s="131"/>
      <c r="X736" s="2"/>
    </row>
    <row r="737" spans="2:24" ht="29.5" thickBot="1">
      <c r="B737" s="2"/>
      <c r="D737" s="198" t="s">
        <v>627</v>
      </c>
      <c r="E737" s="209">
        <v>8.3009999999999994E-3</v>
      </c>
      <c r="F737" s="209">
        <v>2.3165</v>
      </c>
      <c r="G737" s="209">
        <v>0.11811000000000001</v>
      </c>
      <c r="H737" s="209">
        <v>0.15525</v>
      </c>
      <c r="I737" s="209">
        <v>11.243</v>
      </c>
      <c r="J737" s="209">
        <v>0.60516999999999999</v>
      </c>
      <c r="K737" s="209">
        <v>6.7135999999999997E-4</v>
      </c>
      <c r="L737" s="209">
        <v>4.0013000000000002E-3</v>
      </c>
      <c r="M737" s="209">
        <v>0.1196</v>
      </c>
      <c r="N737" s="209">
        <v>2.3628</v>
      </c>
      <c r="O737" s="209">
        <v>9.8003000000000007E-2</v>
      </c>
      <c r="P737" s="209">
        <v>3.8053999999999998E-2</v>
      </c>
      <c r="Q737" s="209">
        <v>7.6587000000000002E-2</v>
      </c>
      <c r="R737" s="209">
        <v>9.5502000000000009E-7</v>
      </c>
      <c r="S737" s="209">
        <v>3.307E-3</v>
      </c>
      <c r="T737" s="209">
        <v>4.0336E-3</v>
      </c>
      <c r="U737" s="209">
        <v>4.2332999999999997E-3</v>
      </c>
      <c r="V737" s="209">
        <v>4.2784000000000003E-2</v>
      </c>
      <c r="W737" s="131" t="s">
        <v>628</v>
      </c>
      <c r="X737" s="2"/>
    </row>
    <row r="738" spans="2:24" ht="15" thickBot="1">
      <c r="B738" s="2"/>
      <c r="D738" s="198"/>
      <c r="E738" s="199"/>
      <c r="F738" s="199"/>
      <c r="G738" s="199"/>
      <c r="H738" s="199"/>
      <c r="I738" s="199"/>
      <c r="J738" s="199"/>
      <c r="K738" s="199"/>
      <c r="L738" s="199"/>
      <c r="M738" s="199"/>
      <c r="N738" s="199"/>
      <c r="O738" s="199"/>
      <c r="P738" s="199"/>
      <c r="Q738" s="199"/>
      <c r="R738" s="199"/>
      <c r="S738" s="199"/>
      <c r="T738" s="199"/>
      <c r="U738" s="199"/>
      <c r="V738" s="199"/>
      <c r="W738" s="131"/>
      <c r="X738" s="2"/>
    </row>
    <row r="739" spans="2:24" ht="15" thickBot="1">
      <c r="B739" s="2"/>
      <c r="D739" s="198" t="s">
        <v>1316</v>
      </c>
      <c r="E739" s="209">
        <v>5.8070999999999999E-3</v>
      </c>
      <c r="F739" s="209">
        <v>2.2692999999999999</v>
      </c>
      <c r="G739" s="209">
        <v>0.11627</v>
      </c>
      <c r="H739" s="209">
        <v>0.15159</v>
      </c>
      <c r="I739" s="209">
        <v>11.558999999999999</v>
      </c>
      <c r="J739" s="209">
        <v>1.1060000000000001</v>
      </c>
      <c r="K739" s="209">
        <v>5.9770000000000005E-4</v>
      </c>
      <c r="L739" s="209">
        <v>5.9718E-5</v>
      </c>
      <c r="M739" s="209">
        <v>0.13074</v>
      </c>
      <c r="N739" s="209">
        <v>2.1374</v>
      </c>
      <c r="O739" s="209">
        <v>0.16631000000000001</v>
      </c>
      <c r="P739" s="209">
        <v>3.4231999999999999E-2</v>
      </c>
      <c r="Q739" s="209">
        <v>2.6877000000000002E-2</v>
      </c>
      <c r="R739" s="209">
        <v>4.2212000000000002E-7</v>
      </c>
      <c r="S739" s="209">
        <v>2.5490000000000001E-3</v>
      </c>
      <c r="T739" s="209">
        <v>4.8113000000000001E-3</v>
      </c>
      <c r="U739" s="209">
        <v>5.3666E-3</v>
      </c>
      <c r="V739" s="209">
        <v>1.9016000000000002E-2</v>
      </c>
      <c r="W739" s="131" t="s">
        <v>1315</v>
      </c>
      <c r="X739" s="2"/>
    </row>
    <row r="740" spans="2:24" ht="15" thickBot="1">
      <c r="B740" s="2"/>
      <c r="D740" s="198"/>
      <c r="E740" s="199"/>
      <c r="F740" s="199"/>
      <c r="G740" s="199"/>
      <c r="H740" s="199"/>
      <c r="I740" s="199"/>
      <c r="J740" s="199"/>
      <c r="K740" s="199"/>
      <c r="L740" s="199"/>
      <c r="M740" s="199"/>
      <c r="N740" s="199"/>
      <c r="O740" s="199"/>
      <c r="P740" s="199"/>
      <c r="Q740" s="199"/>
      <c r="R740" s="199"/>
      <c r="S740" s="199"/>
      <c r="T740" s="199"/>
      <c r="U740" s="199"/>
      <c r="V740" s="199"/>
      <c r="W740" s="131"/>
      <c r="X740" s="2"/>
    </row>
    <row r="741" spans="2:24" ht="15" thickBot="1">
      <c r="B741" s="2"/>
      <c r="D741" s="198" t="s">
        <v>892</v>
      </c>
      <c r="E741" s="209">
        <v>1.7826000000000002E-2</v>
      </c>
      <c r="F741" s="209">
        <v>4.6966000000000001</v>
      </c>
      <c r="G741" s="209">
        <v>0.42438999999999999</v>
      </c>
      <c r="H741" s="209">
        <v>0.62209000000000003</v>
      </c>
      <c r="I741" s="209">
        <v>159</v>
      </c>
      <c r="J741" s="209">
        <v>1.0919000000000001</v>
      </c>
      <c r="K741" s="209">
        <v>1.6887E-3</v>
      </c>
      <c r="L741" s="209">
        <v>1.7742999999999999E-4</v>
      </c>
      <c r="M741" s="209">
        <v>8.4543999999999997</v>
      </c>
      <c r="N741" s="209">
        <v>6.5590999999999999</v>
      </c>
      <c r="O741" s="209">
        <v>0.36183999999999999</v>
      </c>
      <c r="P741" s="209">
        <v>0.16661999999999999</v>
      </c>
      <c r="Q741" s="209">
        <v>0.51624000000000003</v>
      </c>
      <c r="R741" s="209">
        <v>1.1997999999999999E-6</v>
      </c>
      <c r="S741" s="209">
        <v>1.7118000000000001E-2</v>
      </c>
      <c r="T741" s="209">
        <v>1.1572000000000001E-2</v>
      </c>
      <c r="U741" s="209">
        <v>1.2054E-2</v>
      </c>
      <c r="V741" s="209">
        <v>3.0735999999999999E-2</v>
      </c>
      <c r="W741" s="131" t="s">
        <v>891</v>
      </c>
      <c r="X741" s="2"/>
    </row>
    <row r="742" spans="2:24" ht="15" thickBot="1">
      <c r="B742" s="2"/>
      <c r="D742" s="198"/>
      <c r="E742" s="199"/>
      <c r="F742" s="199"/>
      <c r="G742" s="199"/>
      <c r="H742" s="199"/>
      <c r="I742" s="199"/>
      <c r="J742" s="199"/>
      <c r="K742" s="199"/>
      <c r="L742" s="199"/>
      <c r="M742" s="199"/>
      <c r="N742" s="199"/>
      <c r="O742" s="199"/>
      <c r="P742" s="199"/>
      <c r="Q742" s="199"/>
      <c r="R742" s="199"/>
      <c r="S742" s="199"/>
      <c r="T742" s="199"/>
      <c r="U742" s="199"/>
      <c r="V742" s="199"/>
      <c r="W742" s="131"/>
      <c r="X742" s="2"/>
    </row>
    <row r="743" spans="2:24" ht="15" thickBot="1">
      <c r="B743" s="2"/>
      <c r="D743" s="198" t="s">
        <v>893</v>
      </c>
      <c r="E743" s="209">
        <v>4.3046999999999998E-3</v>
      </c>
      <c r="F743" s="209">
        <v>1.6947000000000001</v>
      </c>
      <c r="G743" s="209">
        <v>0.15765999999999999</v>
      </c>
      <c r="H743" s="209">
        <v>0.20979999999999999</v>
      </c>
      <c r="I743" s="209">
        <v>8.8718000000000004</v>
      </c>
      <c r="J743" s="209">
        <v>0.42360999999999999</v>
      </c>
      <c r="K743" s="209">
        <v>7.3957999999999999E-4</v>
      </c>
      <c r="L743" s="209">
        <v>2.0872999999999999E-4</v>
      </c>
      <c r="M743" s="209">
        <v>0.74822</v>
      </c>
      <c r="N743" s="209">
        <v>2.6553</v>
      </c>
      <c r="O743" s="209">
        <v>0.28655999999999998</v>
      </c>
      <c r="P743" s="209">
        <v>5.2422999999999997E-2</v>
      </c>
      <c r="Q743" s="209">
        <v>0.15745000000000001</v>
      </c>
      <c r="R743" s="209">
        <v>4.6156000000000001E-7</v>
      </c>
      <c r="S743" s="209">
        <v>2.0278000000000002E-3</v>
      </c>
      <c r="T743" s="209">
        <v>3.1319999999999998E-3</v>
      </c>
      <c r="U743" s="209">
        <v>3.3866E-3</v>
      </c>
      <c r="V743" s="209">
        <v>1.5403E-2</v>
      </c>
      <c r="W743" s="131" t="s">
        <v>894</v>
      </c>
      <c r="X743" s="2"/>
    </row>
    <row r="744" spans="2:24" ht="15" thickBot="1">
      <c r="B744" s="2"/>
      <c r="D744" s="198"/>
      <c r="E744" s="199"/>
      <c r="F744" s="199"/>
      <c r="G744" s="199"/>
      <c r="H744" s="199"/>
      <c r="I744" s="199"/>
      <c r="J744" s="199"/>
      <c r="K744" s="199"/>
      <c r="L744" s="199"/>
      <c r="M744" s="199"/>
      <c r="N744" s="199"/>
      <c r="O744" s="199"/>
      <c r="P744" s="199"/>
      <c r="Q744" s="199"/>
      <c r="R744" s="199"/>
      <c r="S744" s="199"/>
      <c r="T744" s="199"/>
      <c r="U744" s="199"/>
      <c r="V744" s="199"/>
      <c r="W744" s="131"/>
      <c r="X744" s="2"/>
    </row>
    <row r="745" spans="2:24" ht="15" thickBot="1">
      <c r="B745" s="2"/>
      <c r="D745" s="198" t="s">
        <v>889</v>
      </c>
      <c r="E745" s="209">
        <v>1.9823E-2</v>
      </c>
      <c r="F745" s="209">
        <v>5.4461000000000004</v>
      </c>
      <c r="G745" s="209">
        <v>0.44940999999999998</v>
      </c>
      <c r="H745" s="209">
        <v>0.65673000000000004</v>
      </c>
      <c r="I745" s="209">
        <v>160.94999999999999</v>
      </c>
      <c r="J745" s="209">
        <v>1.2375</v>
      </c>
      <c r="K745" s="209">
        <v>1.9312999999999999E-3</v>
      </c>
      <c r="L745" s="209">
        <v>2.0581000000000001E-4</v>
      </c>
      <c r="M745" s="209">
        <v>8.8236000000000008</v>
      </c>
      <c r="N745" s="209">
        <v>7.0762</v>
      </c>
      <c r="O745" s="209">
        <v>0.28387000000000001</v>
      </c>
      <c r="P745" s="209">
        <v>0.18387999999999999</v>
      </c>
      <c r="Q745" s="209">
        <v>0.55489999999999995</v>
      </c>
      <c r="R745" s="209">
        <v>1.3827999999999999E-6</v>
      </c>
      <c r="S745" s="209">
        <v>1.8446000000000001E-2</v>
      </c>
      <c r="T745" s="209">
        <v>1.3396999999999999E-2</v>
      </c>
      <c r="U745" s="209">
        <v>1.3934999999999999E-2</v>
      </c>
      <c r="V745" s="209">
        <v>4.8052999999999998E-2</v>
      </c>
      <c r="W745" s="131" t="s">
        <v>890</v>
      </c>
      <c r="X745" s="2"/>
    </row>
    <row r="746" spans="2:24" ht="15" thickBot="1">
      <c r="B746" s="2"/>
      <c r="D746" s="198"/>
      <c r="E746" s="199"/>
      <c r="F746" s="199"/>
      <c r="G746" s="199"/>
      <c r="H746" s="199"/>
      <c r="I746" s="199"/>
      <c r="J746" s="199"/>
      <c r="K746" s="199"/>
      <c r="L746" s="199"/>
      <c r="M746" s="199"/>
      <c r="N746" s="199"/>
      <c r="O746" s="199"/>
      <c r="P746" s="199"/>
      <c r="Q746" s="199"/>
      <c r="R746" s="199"/>
      <c r="S746" s="199"/>
      <c r="T746" s="199"/>
      <c r="U746" s="199"/>
      <c r="V746" s="199"/>
      <c r="W746" s="131"/>
      <c r="X746" s="2"/>
    </row>
    <row r="747" spans="2:24" ht="15" thickBot="1">
      <c r="B747" s="2"/>
      <c r="D747" s="198" t="s">
        <v>1317</v>
      </c>
      <c r="E747" s="209">
        <v>1.1361E-6</v>
      </c>
      <c r="F747" s="209">
        <v>3.1449000000000001E-4</v>
      </c>
      <c r="G747" s="209">
        <v>1.6345E-5</v>
      </c>
      <c r="H747" s="209">
        <v>2.2484E-5</v>
      </c>
      <c r="I747" s="209">
        <v>1.1552999999999999E-3</v>
      </c>
      <c r="J747" s="209">
        <v>8.2797E-5</v>
      </c>
      <c r="K747" s="209">
        <v>2.0366000000000001E-7</v>
      </c>
      <c r="L747" s="209">
        <v>2.1222E-8</v>
      </c>
      <c r="M747" s="209">
        <v>2.5997999999999999E-4</v>
      </c>
      <c r="N747" s="209">
        <v>3.7706000000000003E-4</v>
      </c>
      <c r="O747" s="209">
        <v>1.082E-4</v>
      </c>
      <c r="P747" s="209">
        <v>8.2753000000000002E-6</v>
      </c>
      <c r="Q747" s="209">
        <v>3.4751E-5</v>
      </c>
      <c r="R747" s="209">
        <v>1.2082E-10</v>
      </c>
      <c r="S747" s="209">
        <v>5.1620999999999999E-7</v>
      </c>
      <c r="T747" s="209">
        <v>7.4931999999999999E-7</v>
      </c>
      <c r="U747" s="209">
        <v>7.8395999999999999E-7</v>
      </c>
      <c r="V747" s="209">
        <v>3.4526000000000002E-6</v>
      </c>
      <c r="W747" s="131" t="s">
        <v>1012</v>
      </c>
      <c r="X747" s="2"/>
    </row>
    <row r="748" spans="2:24" ht="15" thickBot="1">
      <c r="B748" s="2"/>
      <c r="D748" s="198"/>
      <c r="E748" s="199"/>
      <c r="F748" s="199"/>
      <c r="G748" s="199"/>
      <c r="H748" s="199"/>
      <c r="I748" s="199"/>
      <c r="J748" s="199"/>
      <c r="K748" s="199"/>
      <c r="L748" s="199"/>
      <c r="M748" s="199"/>
      <c r="N748" s="199"/>
      <c r="O748" s="199"/>
      <c r="P748" s="199"/>
      <c r="Q748" s="199"/>
      <c r="R748" s="199"/>
      <c r="S748" s="199"/>
      <c r="T748" s="199"/>
      <c r="U748" s="199"/>
      <c r="V748" s="199"/>
      <c r="W748" s="131"/>
      <c r="X748" s="2"/>
    </row>
    <row r="749" spans="2:24" ht="15" thickBot="1">
      <c r="B749" s="2"/>
      <c r="D749" s="200" t="s">
        <v>1157</v>
      </c>
      <c r="E749" s="209">
        <v>3.4393E-2</v>
      </c>
      <c r="F749" s="209">
        <v>11.315</v>
      </c>
      <c r="G749" s="209">
        <v>0.80081999999999998</v>
      </c>
      <c r="H749" s="209">
        <v>1.0477000000000001</v>
      </c>
      <c r="I749" s="209">
        <v>80.872</v>
      </c>
      <c r="J749" s="209">
        <v>3.2370000000000001</v>
      </c>
      <c r="K749" s="209">
        <v>3.5691999999999998E-3</v>
      </c>
      <c r="L749" s="209">
        <v>6.5253000000000002E-4</v>
      </c>
      <c r="M749" s="209">
        <v>0.74124000000000001</v>
      </c>
      <c r="N749" s="209">
        <v>13.135</v>
      </c>
      <c r="O749" s="209">
        <v>1.1785000000000001</v>
      </c>
      <c r="P749" s="209">
        <v>0.93317000000000005</v>
      </c>
      <c r="Q749" s="209">
        <v>0.62097999999999998</v>
      </c>
      <c r="R749" s="209">
        <v>2.4551999999999998E-6</v>
      </c>
      <c r="S749" s="209">
        <v>1.1173000000000001E-2</v>
      </c>
      <c r="T749" s="209">
        <v>1.8703000000000001E-2</v>
      </c>
      <c r="U749" s="209">
        <v>2.0013E-2</v>
      </c>
      <c r="V749" s="209">
        <v>0.13042999999999999</v>
      </c>
      <c r="W749" s="131" t="s">
        <v>1172</v>
      </c>
      <c r="X749" s="2"/>
    </row>
    <row r="750" spans="2:24" ht="15" thickBot="1">
      <c r="B750" s="2"/>
      <c r="D750" s="200"/>
      <c r="E750" s="199"/>
      <c r="F750" s="199"/>
      <c r="G750" s="199"/>
      <c r="H750" s="199"/>
      <c r="I750" s="199"/>
      <c r="J750" s="199"/>
      <c r="K750" s="199"/>
      <c r="L750" s="199"/>
      <c r="M750" s="199"/>
      <c r="N750" s="199"/>
      <c r="O750" s="199"/>
      <c r="P750" s="199"/>
      <c r="Q750" s="199"/>
      <c r="R750" s="199"/>
      <c r="S750" s="199"/>
      <c r="T750" s="199"/>
      <c r="U750" s="199"/>
      <c r="V750" s="199"/>
      <c r="W750" s="131"/>
      <c r="X750" s="2"/>
    </row>
    <row r="751" spans="2:24" ht="15" thickBot="1">
      <c r="B751" s="2"/>
      <c r="D751" s="198" t="s">
        <v>1481</v>
      </c>
      <c r="E751" s="209">
        <f>E710*G1280</f>
        <v>4.5311875361764438E-5</v>
      </c>
      <c r="F751" s="209">
        <f>F710*'Parameter Inputs'!J1280</f>
        <v>7.9685136292474312E-2</v>
      </c>
      <c r="G751" s="209">
        <f>'Parameter Inputs'!M1280*G710</f>
        <v>6.438486660479522E-3</v>
      </c>
      <c r="H751" s="209">
        <f>H710*'Parameter Inputs'!P1280</f>
        <v>8.0547278616105999E-3</v>
      </c>
      <c r="I751" s="209">
        <f>I710*'Parameter Inputs'!S1280</f>
        <v>0.28620261892127691</v>
      </c>
      <c r="J751" s="209">
        <f>J710*'Parameter Inputs'!V1280</f>
        <v>3.0928680977257598E-2</v>
      </c>
      <c r="K751" s="209">
        <f>Y1280</f>
        <v>0.18661248620947724</v>
      </c>
      <c r="L751" s="209">
        <f>L710*AB1280</f>
        <v>5.2120027099798661E-7</v>
      </c>
      <c r="M751" s="209">
        <f>M710*'Parameter Inputs'!AE1280</f>
        <v>6.8951517078480297E-3</v>
      </c>
      <c r="N751" s="209">
        <f>N710*'Parameter Inputs'!AH1280</f>
        <v>3.4734583542450674E-2</v>
      </c>
      <c r="O751" s="209">
        <f>O710*AK1280</f>
        <v>1.1938471803761116E-2</v>
      </c>
      <c r="P751" s="209">
        <f>P710*AN1280</f>
        <v>9.6201822622925693E-3</v>
      </c>
      <c r="Q751" s="209">
        <f>Q710*'Parameter Inputs'!AQ1280</f>
        <v>2.5186318698041943E-3</v>
      </c>
      <c r="R751" s="209">
        <f>R710*AT1280</f>
        <v>5.6361860983193421E-8</v>
      </c>
      <c r="S751" s="209">
        <f>S710*AW1280</f>
        <v>2.2401108835388514E-5</v>
      </c>
      <c r="T751" s="209">
        <f>T710*AZ1280</f>
        <v>8.6184208278366884E-5</v>
      </c>
      <c r="U751" s="209">
        <f>U710*BC1280</f>
        <v>9.0149808175803562E-5</v>
      </c>
      <c r="V751" s="209">
        <f>V710*'Parameter Inputs'!BF1280</f>
        <v>5.7852546306217246E-4</v>
      </c>
      <c r="X751" s="2"/>
    </row>
    <row r="752" spans="2:24" ht="15" thickBot="1">
      <c r="B752" s="2"/>
      <c r="D752" s="198"/>
      <c r="E752" s="199"/>
      <c r="F752" s="199"/>
      <c r="G752" s="199"/>
      <c r="H752" s="199"/>
      <c r="I752" s="199"/>
      <c r="J752" s="199"/>
      <c r="K752" s="199"/>
      <c r="L752" s="199"/>
      <c r="M752" s="199"/>
      <c r="N752" s="199"/>
      <c r="O752" s="199"/>
      <c r="P752" s="199"/>
      <c r="Q752" s="199"/>
      <c r="R752" s="199"/>
      <c r="S752" s="199"/>
      <c r="T752" s="199"/>
      <c r="U752" s="199"/>
      <c r="V752" s="199"/>
      <c r="X752" s="2"/>
    </row>
    <row r="753" spans="2:34" ht="15" thickBot="1">
      <c r="B753" s="2"/>
      <c r="D753" s="97" t="s">
        <v>1579</v>
      </c>
      <c r="E753" s="209">
        <v>5.5038999999999999E-3</v>
      </c>
      <c r="F753" s="209">
        <v>2.1107999999999998</v>
      </c>
      <c r="G753" s="209">
        <v>0.14909</v>
      </c>
      <c r="H753" s="209">
        <v>0.20946999999999999</v>
      </c>
      <c r="I753" s="209">
        <v>7.1990999999999996</v>
      </c>
      <c r="J753" s="209">
        <v>0.48483999999999999</v>
      </c>
      <c r="K753" s="209">
        <v>9.6557000000000001E-4</v>
      </c>
      <c r="L753" s="209">
        <v>9.8833999999999996E-5</v>
      </c>
      <c r="M753" s="209">
        <v>1.7805</v>
      </c>
      <c r="N753" s="209">
        <v>1.8136000000000001</v>
      </c>
      <c r="O753" s="209">
        <v>7.0640999999999995E-2</v>
      </c>
      <c r="P753" s="209">
        <v>3.5209999999999998E-2</v>
      </c>
      <c r="Q753" s="209">
        <v>0.70682</v>
      </c>
      <c r="R753" s="209">
        <v>3.2712999999999999E-7</v>
      </c>
      <c r="S753" s="209">
        <v>3.6288000000000002E-3</v>
      </c>
      <c r="T753" s="209">
        <v>5.3315999999999997E-3</v>
      </c>
      <c r="U753" s="209">
        <v>5.7884E-3</v>
      </c>
      <c r="V753" s="209">
        <v>2.1451000000000001E-2</v>
      </c>
      <c r="W753" s="5" t="s">
        <v>1581</v>
      </c>
      <c r="X753" s="2"/>
    </row>
    <row r="754" spans="2:34" ht="15" thickBot="1">
      <c r="B754" s="2"/>
      <c r="D754" s="97"/>
      <c r="E754" s="199"/>
      <c r="F754" s="199"/>
      <c r="G754" s="199"/>
      <c r="H754" s="199"/>
      <c r="I754" s="199"/>
      <c r="J754" s="199"/>
      <c r="K754" s="199"/>
      <c r="L754" s="199"/>
      <c r="M754" s="199"/>
      <c r="N754" s="199"/>
      <c r="O754" s="199"/>
      <c r="P754" s="199"/>
      <c r="Q754" s="199"/>
      <c r="R754" s="199"/>
      <c r="S754" s="199"/>
      <c r="T754" s="199"/>
      <c r="U754" s="199"/>
      <c r="V754" s="199"/>
      <c r="X754" s="2"/>
    </row>
    <row r="755" spans="2:34" ht="15" thickBot="1">
      <c r="B755" s="2"/>
      <c r="D755" s="97" t="s">
        <v>1583</v>
      </c>
      <c r="E755" s="209">
        <v>2.6809999999999998E-3</v>
      </c>
      <c r="F755" s="209">
        <v>0.59326000000000001</v>
      </c>
      <c r="G755" s="209">
        <v>3.8899999999999998E-3</v>
      </c>
      <c r="H755" s="209">
        <v>5.9715999999999997E-3</v>
      </c>
      <c r="I755" s="209">
        <v>0.70209999999999995</v>
      </c>
      <c r="J755" s="209">
        <v>0.17316999999999999</v>
      </c>
      <c r="K755" s="209">
        <v>2.7257999999999999E-5</v>
      </c>
      <c r="L755" s="209">
        <v>1.4809E-5</v>
      </c>
      <c r="M755" s="209">
        <v>3.7346999999999998E-2</v>
      </c>
      <c r="N755" s="209">
        <v>7.3114999999999999E-2</v>
      </c>
      <c r="O755" s="209">
        <v>5.2811000000000004E-3</v>
      </c>
      <c r="P755" s="209">
        <v>1.8844000000000001E-3</v>
      </c>
      <c r="Q755" s="209">
        <v>1.2697E-2</v>
      </c>
      <c r="R755" s="209">
        <v>2.1262999999999999E-7</v>
      </c>
      <c r="S755" s="209">
        <v>1.4011E-3</v>
      </c>
      <c r="T755" s="209">
        <v>6.3540000000000003E-3</v>
      </c>
      <c r="U755" s="209">
        <v>6.5298999999999999E-3</v>
      </c>
      <c r="V755" s="209">
        <v>6.3064000000000002E-4</v>
      </c>
      <c r="W755" s="5" t="s">
        <v>1582</v>
      </c>
      <c r="X755" s="2"/>
    </row>
    <row r="756" spans="2:34" ht="15" thickBot="1">
      <c r="B756" s="2"/>
      <c r="D756" s="97"/>
      <c r="E756" s="199"/>
      <c r="F756" s="199"/>
      <c r="G756" s="199"/>
      <c r="H756" s="199"/>
      <c r="I756" s="199"/>
      <c r="J756" s="199"/>
      <c r="K756" s="199"/>
      <c r="L756" s="199"/>
      <c r="M756" s="199"/>
      <c r="N756" s="199"/>
      <c r="O756" s="199"/>
      <c r="P756" s="199"/>
      <c r="Q756" s="199"/>
      <c r="R756" s="199"/>
      <c r="S756" s="199"/>
      <c r="T756" s="199"/>
      <c r="U756" s="199"/>
      <c r="V756" s="199"/>
      <c r="X756" s="2"/>
    </row>
    <row r="757" spans="2:34" ht="15" thickBot="1">
      <c r="B757" s="2"/>
      <c r="D757" s="97" t="s">
        <v>1586</v>
      </c>
      <c r="E757" s="209">
        <v>2.988</v>
      </c>
      <c r="F757" s="209">
        <v>1003.4</v>
      </c>
      <c r="G757" s="209">
        <v>28.172999999999998</v>
      </c>
      <c r="H757" s="209">
        <v>38.978999999999999</v>
      </c>
      <c r="I757" s="209">
        <v>2410.9</v>
      </c>
      <c r="J757" s="209">
        <v>214.44</v>
      </c>
      <c r="K757" s="209">
        <v>0.30997999999999998</v>
      </c>
      <c r="L757" s="209">
        <v>2.7338000000000001E-2</v>
      </c>
      <c r="M757" s="209">
        <v>173.56</v>
      </c>
      <c r="N757" s="209">
        <v>628.14</v>
      </c>
      <c r="O757" s="209">
        <v>67.709999999999994</v>
      </c>
      <c r="P757" s="209">
        <v>21.254000000000001</v>
      </c>
      <c r="Q757" s="209">
        <v>61.457999999999998</v>
      </c>
      <c r="R757" s="209">
        <v>2.3871E-4</v>
      </c>
      <c r="S757" s="209">
        <v>1.6328</v>
      </c>
      <c r="T757" s="209">
        <v>2.5306999999999999</v>
      </c>
      <c r="U757" s="209">
        <v>2.6202000000000001</v>
      </c>
      <c r="V757" s="209">
        <v>6.0583</v>
      </c>
      <c r="W757" s="5" t="s">
        <v>1587</v>
      </c>
      <c r="X757" s="2"/>
    </row>
    <row r="758" spans="2:34" ht="15" thickBot="1">
      <c r="B758" s="2"/>
      <c r="D758" s="97"/>
      <c r="E758" s="199"/>
      <c r="F758" s="199"/>
      <c r="G758" s="199"/>
      <c r="H758" s="199"/>
      <c r="I758" s="199"/>
      <c r="J758" s="199"/>
      <c r="K758" s="199"/>
      <c r="L758" s="199"/>
      <c r="M758" s="199"/>
      <c r="N758" s="199"/>
      <c r="O758" s="199"/>
      <c r="P758" s="199"/>
      <c r="Q758" s="199"/>
      <c r="R758" s="199"/>
      <c r="S758" s="199"/>
      <c r="T758" s="199"/>
      <c r="U758" s="199"/>
      <c r="V758" s="199"/>
      <c r="X758" s="2"/>
    </row>
    <row r="759" spans="2:34" ht="15" thickBot="1">
      <c r="B759" s="2"/>
      <c r="D759" s="97" t="s">
        <v>1590</v>
      </c>
      <c r="E759" s="209">
        <v>3.5180999999999998E-4</v>
      </c>
      <c r="F759" s="209">
        <v>0.14534</v>
      </c>
      <c r="G759" s="209">
        <v>4.6988000000000004E-3</v>
      </c>
      <c r="H759" s="209">
        <v>6.4059E-3</v>
      </c>
      <c r="I759" s="209">
        <v>0.69567999999999997</v>
      </c>
      <c r="J759" s="209">
        <v>2.3643999999999998E-2</v>
      </c>
      <c r="K759" s="209">
        <v>2.2467999999999999E-5</v>
      </c>
      <c r="L759" s="209">
        <v>3.0378E-6</v>
      </c>
      <c r="M759" s="209">
        <v>1.1783E-2</v>
      </c>
      <c r="N759" s="209">
        <v>0.10088999999999999</v>
      </c>
      <c r="O759" s="209">
        <v>2.3559000000000002E-3</v>
      </c>
      <c r="P759" s="209">
        <v>6.5078000000000002E-3</v>
      </c>
      <c r="Q759" s="209">
        <v>2.9784999999999998E-3</v>
      </c>
      <c r="R759" s="209">
        <v>1.9977999999999999E-8</v>
      </c>
      <c r="S759" s="209">
        <v>1.5648999999999999E-4</v>
      </c>
      <c r="T759" s="209">
        <v>4.2377000000000002E-4</v>
      </c>
      <c r="U759" s="209">
        <v>4.3581000000000002E-4</v>
      </c>
      <c r="V759" s="209">
        <v>4.4245999999999999E-4</v>
      </c>
      <c r="W759" s="5" t="s">
        <v>1577</v>
      </c>
      <c r="X759" s="2"/>
    </row>
    <row r="760" spans="2:34" ht="15" thickBot="1">
      <c r="B760" s="2"/>
      <c r="D760" s="97"/>
      <c r="E760" s="199"/>
      <c r="F760" s="199"/>
      <c r="G760" s="199"/>
      <c r="H760" s="199"/>
      <c r="I760" s="199"/>
      <c r="J760" s="199"/>
      <c r="K760" s="199"/>
      <c r="L760" s="199"/>
      <c r="M760" s="199"/>
      <c r="N760" s="199"/>
      <c r="O760" s="199"/>
      <c r="P760" s="199"/>
      <c r="Q760" s="199"/>
      <c r="R760" s="199"/>
      <c r="S760" s="199"/>
      <c r="T760" s="199"/>
      <c r="U760" s="199"/>
      <c r="V760" s="199"/>
      <c r="X760" s="2"/>
    </row>
    <row r="761" spans="2:34" ht="15" thickBot="1">
      <c r="B761" s="2"/>
      <c r="D761" s="97" t="s">
        <v>1591</v>
      </c>
      <c r="E761" s="209">
        <v>5.2579000000000005E-4</v>
      </c>
      <c r="F761" s="209">
        <v>0.13038</v>
      </c>
      <c r="G761" s="209">
        <v>2.8652999999999999E-3</v>
      </c>
      <c r="H761" s="209">
        <v>4.2052000000000001E-3</v>
      </c>
      <c r="I761" s="209">
        <v>0.35099999999999998</v>
      </c>
      <c r="J761" s="209">
        <v>0.10262</v>
      </c>
      <c r="K761" s="209">
        <v>2.2759E-5</v>
      </c>
      <c r="L761" s="209">
        <v>9.6536000000000002E-6</v>
      </c>
      <c r="M761" s="209">
        <v>5.3658999999999998E-3</v>
      </c>
      <c r="N761" s="209">
        <v>0.10105</v>
      </c>
      <c r="O761" s="209">
        <v>2.2512000000000001E-3</v>
      </c>
      <c r="P761" s="209">
        <v>9.2461999999999996E-3</v>
      </c>
      <c r="Q761" s="209">
        <v>1.5958000000000001E-3</v>
      </c>
      <c r="R761" s="209">
        <v>3.2201999999999999E-8</v>
      </c>
      <c r="S761" s="209">
        <v>2.0734E-4</v>
      </c>
      <c r="T761" s="209">
        <v>4.5835E-4</v>
      </c>
      <c r="U761" s="209">
        <v>5.2663000000000005E-4</v>
      </c>
      <c r="V761" s="209">
        <v>4.9987999999999996E-4</v>
      </c>
      <c r="W761" s="5" t="s">
        <v>1592</v>
      </c>
      <c r="X761" s="2"/>
    </row>
    <row r="762" spans="2:34">
      <c r="B762" s="2"/>
      <c r="X762" s="2"/>
    </row>
    <row r="763" spans="2:34">
      <c r="B763" s="2"/>
      <c r="C763" s="2"/>
      <c r="D763" s="2"/>
      <c r="E763" s="2"/>
      <c r="F763" s="2"/>
      <c r="G763" s="2"/>
      <c r="H763" s="2"/>
      <c r="I763" s="2"/>
      <c r="J763" s="2"/>
      <c r="K763" s="2"/>
      <c r="L763" s="2"/>
      <c r="M763" s="2"/>
      <c r="N763" s="2"/>
      <c r="O763" s="2"/>
      <c r="P763" s="2"/>
      <c r="Q763" s="2"/>
      <c r="R763" s="2"/>
      <c r="S763" s="2"/>
      <c r="T763" s="2"/>
      <c r="U763" s="2"/>
      <c r="V763" s="2"/>
      <c r="W763" s="2"/>
      <c r="X763" s="2"/>
    </row>
    <row r="764" spans="2:34">
      <c r="D764" s="324" t="s">
        <v>1027</v>
      </c>
      <c r="E764" s="324"/>
      <c r="F764" s="324"/>
      <c r="G764" s="324"/>
      <c r="H764" s="324"/>
      <c r="I764" s="324"/>
      <c r="J764" s="324"/>
      <c r="K764" s="324"/>
      <c r="L764" s="324"/>
      <c r="M764" s="324"/>
      <c r="N764" s="324"/>
      <c r="O764" s="324"/>
      <c r="P764" s="324"/>
      <c r="Q764" s="324"/>
      <c r="R764" s="324"/>
      <c r="S764" s="324"/>
      <c r="T764" s="324"/>
      <c r="U764" s="324"/>
      <c r="V764" s="324"/>
      <c r="W764" s="324"/>
      <c r="X764" s="324"/>
      <c r="Y764" s="324"/>
      <c r="Z764" s="324"/>
      <c r="AA764" s="324"/>
      <c r="AB764" s="324"/>
      <c r="AC764" s="324"/>
      <c r="AD764" s="324"/>
      <c r="AE764" s="324"/>
      <c r="AF764" s="324"/>
      <c r="AG764" s="324"/>
      <c r="AH764" s="324"/>
    </row>
    <row r="765" spans="2:34">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row>
    <row r="766" spans="2:34">
      <c r="B766" s="2"/>
      <c r="C766" s="2"/>
      <c r="D766" s="230"/>
      <c r="E766" s="230"/>
      <c r="F766" s="230"/>
      <c r="G766" s="230"/>
      <c r="H766" s="230"/>
      <c r="I766" s="230"/>
      <c r="J766" s="230"/>
      <c r="K766" s="230"/>
      <c r="L766" s="230"/>
      <c r="M766" s="230"/>
      <c r="N766" s="230"/>
      <c r="O766" s="230"/>
      <c r="P766" s="230"/>
      <c r="Q766" s="230"/>
      <c r="R766" s="230"/>
      <c r="S766" s="230"/>
      <c r="T766" s="230"/>
      <c r="U766" s="230"/>
      <c r="V766" s="230"/>
      <c r="W766" s="230"/>
      <c r="X766" s="230"/>
      <c r="Y766" s="128"/>
      <c r="Z766" s="128"/>
      <c r="AA766" s="128"/>
      <c r="AB766" s="128"/>
      <c r="AC766" s="128"/>
      <c r="AD766" s="128"/>
      <c r="AE766" s="128"/>
      <c r="AF766" s="128"/>
      <c r="AG766" s="128"/>
      <c r="AH766" s="128"/>
    </row>
    <row r="767" spans="2:34">
      <c r="B767" s="2"/>
      <c r="C767" s="325" t="s">
        <v>1705</v>
      </c>
      <c r="D767" s="325"/>
      <c r="E767" s="325"/>
      <c r="F767" s="325"/>
      <c r="G767" s="325"/>
      <c r="H767" s="325"/>
      <c r="I767" s="325"/>
      <c r="J767" s="325"/>
      <c r="K767" s="325"/>
      <c r="L767" s="325"/>
      <c r="M767" s="325"/>
      <c r="N767" s="325"/>
      <c r="O767" s="325"/>
      <c r="P767" s="325"/>
      <c r="Q767" s="325"/>
      <c r="R767" s="325"/>
      <c r="S767" s="325"/>
      <c r="T767" s="325"/>
      <c r="U767" s="325"/>
      <c r="V767" s="325"/>
      <c r="W767" s="325"/>
      <c r="X767" s="230"/>
      <c r="Y767" s="128"/>
      <c r="Z767" s="128"/>
      <c r="AA767" s="128"/>
      <c r="AB767" s="128"/>
      <c r="AC767" s="128"/>
      <c r="AD767" s="128"/>
      <c r="AE767" s="128"/>
      <c r="AF767" s="128"/>
      <c r="AG767" s="128"/>
      <c r="AH767" s="128"/>
    </row>
    <row r="768" spans="2:34" ht="15" thickBot="1">
      <c r="B768" s="2"/>
      <c r="C768" s="5" t="s">
        <v>1748</v>
      </c>
      <c r="D768" s="128"/>
      <c r="E768" s="128"/>
      <c r="F768" s="128"/>
      <c r="G768" s="128"/>
      <c r="H768" s="128"/>
      <c r="I768" s="128"/>
      <c r="J768" s="128"/>
      <c r="K768" s="128"/>
      <c r="L768" s="128"/>
      <c r="M768" s="128"/>
      <c r="N768" s="128"/>
      <c r="O768" s="128"/>
      <c r="P768" s="128"/>
      <c r="Q768" s="128"/>
      <c r="R768" s="128"/>
      <c r="S768" s="128"/>
      <c r="T768" s="128"/>
      <c r="U768" s="128"/>
      <c r="V768" s="128"/>
      <c r="W768" s="128"/>
      <c r="X768" s="230"/>
      <c r="Y768" s="128"/>
      <c r="Z768" s="128"/>
      <c r="AA768" s="128"/>
      <c r="AB768" s="128"/>
      <c r="AC768" s="128"/>
      <c r="AD768" s="128"/>
      <c r="AE768" s="128"/>
      <c r="AF768" s="128"/>
      <c r="AG768" s="128"/>
      <c r="AH768" s="128"/>
    </row>
    <row r="769" spans="2:62" ht="15" thickBot="1">
      <c r="B769" s="2"/>
      <c r="D769" s="5" t="s">
        <v>1736</v>
      </c>
      <c r="E769" s="231">
        <f ca="1">J1571</f>
        <v>5.972258944258078</v>
      </c>
      <c r="F769" s="128"/>
      <c r="G769" s="128"/>
      <c r="H769" s="128"/>
      <c r="I769" s="128"/>
      <c r="J769" s="128"/>
      <c r="K769" s="128"/>
      <c r="L769" s="128"/>
      <c r="M769" s="128"/>
      <c r="N769" s="128"/>
      <c r="O769" s="128"/>
      <c r="P769" s="128"/>
      <c r="Q769" s="128"/>
      <c r="R769" s="128"/>
      <c r="S769" s="128"/>
      <c r="T769" s="128"/>
      <c r="U769" s="128"/>
      <c r="V769" s="128"/>
      <c r="W769" s="128"/>
      <c r="X769" s="230"/>
      <c r="Y769" s="128"/>
      <c r="Z769" s="128"/>
      <c r="AA769" s="128"/>
      <c r="AB769" s="128"/>
      <c r="AC769" s="128"/>
      <c r="AD769" s="128"/>
      <c r="AE769" s="128"/>
      <c r="AF769" s="128"/>
      <c r="AG769" s="128"/>
      <c r="AH769" s="128"/>
    </row>
    <row r="770" spans="2:62">
      <c r="B770" s="2"/>
      <c r="D770" s="128"/>
      <c r="E770" s="128"/>
      <c r="F770" s="128"/>
      <c r="G770" s="128"/>
      <c r="H770" s="128"/>
      <c r="I770" s="128"/>
      <c r="J770" s="128"/>
      <c r="K770" s="128"/>
      <c r="L770" s="128"/>
      <c r="M770" s="128"/>
      <c r="N770" s="128"/>
      <c r="O770" s="128"/>
      <c r="P770" s="128"/>
      <c r="Q770" s="128"/>
      <c r="R770" s="128"/>
      <c r="S770" s="128"/>
      <c r="T770" s="128"/>
      <c r="U770" s="128"/>
      <c r="V770" s="128"/>
      <c r="W770" s="128"/>
      <c r="X770" s="230"/>
      <c r="Y770" s="128"/>
      <c r="Z770" s="128"/>
      <c r="AA770" s="128"/>
      <c r="AB770" s="128"/>
      <c r="AC770" s="128"/>
      <c r="AD770" s="128"/>
      <c r="AE770" s="128"/>
      <c r="AF770" s="128"/>
      <c r="AG770" s="128"/>
      <c r="AH770" s="128"/>
    </row>
    <row r="771" spans="2:62" ht="15" thickBot="1">
      <c r="B771" s="2"/>
      <c r="D771" s="128"/>
      <c r="E771" s="249" t="str">
        <f>E709</f>
        <v>terrestrial acidification potential (TAP) kg SO2-Eq</v>
      </c>
      <c r="F771" s="249" t="str">
        <f t="shared" ref="F771:V771" si="0">F709</f>
        <v>GWP (kg CO2 eq)</v>
      </c>
      <c r="G771" s="249" t="str">
        <f t="shared" si="0"/>
        <v>Freshewater Ecotoxicity (kg 1,4-DCB-Eq)</v>
      </c>
      <c r="H771" s="249" t="str">
        <f t="shared" si="0"/>
        <v>Marine Ecotoxicity Potential (METP) (kg 1,4-DCB-Eq)</v>
      </c>
      <c r="I771" s="249" t="str">
        <f t="shared" si="0"/>
        <v>Terrestrial Ecotoxicity Potential (TETP) (kg 1,4-DCB-Eq)</v>
      </c>
      <c r="J771" s="249" t="str">
        <f t="shared" si="0"/>
        <v>Fossil Fuel Potential  (kg oil-Eq)</v>
      </c>
      <c r="K771" s="249" t="str">
        <f t="shared" si="0"/>
        <v>Freshwater Eutrophication Potential (FEP) kg P-Eq</v>
      </c>
      <c r="L771" s="249" t="str">
        <f t="shared" si="0"/>
        <v>Marine Eutrophication Potential (MEP) kg N-Eq</v>
      </c>
      <c r="M771" s="249" t="str">
        <f t="shared" si="0"/>
        <v>Human Toxicity Potential (HTPc) (kg 1,4-DCB-Eq)</v>
      </c>
      <c r="N771" s="249" t="str">
        <f t="shared" si="0"/>
        <v>Human Toxicity Potential (HTPnc) (kg 1,4-DCB-Eq)</v>
      </c>
      <c r="O771" s="249" t="str">
        <f t="shared" si="0"/>
        <v>Ionising Radiation Potential (IRP) kBq Co-60-Eq</v>
      </c>
      <c r="P771" s="249" t="str">
        <f t="shared" si="0"/>
        <v>Agricultural Land Occupation (LOP) m2*a crop-Eq</v>
      </c>
      <c r="Q771" s="249" t="str">
        <f t="shared" si="0"/>
        <v>Resource Depletion (metals/minerals) (kg Cu-Eq)</v>
      </c>
      <c r="R771" s="249" t="str">
        <f t="shared" si="0"/>
        <v>Ozone Depletion Potential (ODPinfinite) kg CFC-11-Eq</v>
      </c>
      <c r="S771" s="249" t="str">
        <f t="shared" si="0"/>
        <v>Particulate Matter Formation Potential (PMFP) kg PM2.5-Eq</v>
      </c>
      <c r="T771" s="249" t="str">
        <f t="shared" si="0"/>
        <v>Photochemical Oxidant Formation Potential: Humans (HOFP) kg NOx-Eq</v>
      </c>
      <c r="U771" s="249" t="str">
        <f t="shared" si="0"/>
        <v>Photochemical Oxidant Formation Potential: Ecosystems (EOFP) kg NOx-Eq</v>
      </c>
      <c r="V771" s="249" t="str">
        <f t="shared" si="0"/>
        <v>Water Use (m^3)</v>
      </c>
      <c r="W771" s="128"/>
      <c r="X771" s="230"/>
      <c r="Y771" s="128"/>
      <c r="Z771" s="128"/>
      <c r="AA771" s="128"/>
      <c r="AB771" s="128"/>
      <c r="AC771" s="128"/>
      <c r="AD771" s="128"/>
      <c r="AE771" s="128"/>
      <c r="AF771" s="128"/>
      <c r="AG771" s="128"/>
      <c r="AH771" s="128"/>
    </row>
    <row r="772" spans="2:62" ht="15" thickBot="1">
      <c r="B772" s="2"/>
      <c r="D772" s="5" t="s">
        <v>1737</v>
      </c>
      <c r="E772" s="231">
        <f ca="1">E1648</f>
        <v>1.2259466647855701E-2</v>
      </c>
      <c r="F772" s="231">
        <f t="shared" ref="F772:V772" ca="1" si="1">F1648</f>
        <v>5.5022540531409563</v>
      </c>
      <c r="G772" s="231">
        <f t="shared" ca="1" si="1"/>
        <v>0.1008822124080557</v>
      </c>
      <c r="H772" s="231">
        <f t="shared" ca="1" si="1"/>
        <v>0.1325693449499227</v>
      </c>
      <c r="I772" s="231">
        <f t="shared" ca="1" si="1"/>
        <v>8.4741456970376934</v>
      </c>
      <c r="J772" s="231">
        <f t="shared" ca="1" si="1"/>
        <v>1.7748084410951468</v>
      </c>
      <c r="K772" s="231">
        <f t="shared" ca="1" si="1"/>
        <v>5.6712638588189322E-4</v>
      </c>
      <c r="L772" s="231">
        <f t="shared" ca="1" si="1"/>
        <v>6.1195859671454018E-5</v>
      </c>
      <c r="M772" s="231">
        <f t="shared" ca="1" si="1"/>
        <v>0.25452402741279329</v>
      </c>
      <c r="N772" s="231">
        <f t="shared" ca="1" si="1"/>
        <v>1.8472870525647278</v>
      </c>
      <c r="O772" s="231">
        <f t="shared" ca="1" si="1"/>
        <v>0.24680353358134841</v>
      </c>
      <c r="P772" s="231">
        <f t="shared" ca="1" si="1"/>
        <v>0.11948085344546211</v>
      </c>
      <c r="Q772" s="231">
        <f t="shared" ca="1" si="1"/>
        <v>4.8717945654754298E-2</v>
      </c>
      <c r="R772" s="231">
        <f t="shared" ca="1" si="1"/>
        <v>4.2842984934787228E-6</v>
      </c>
      <c r="S772" s="231">
        <f t="shared" ca="1" si="1"/>
        <v>4.1567976722138049E-3</v>
      </c>
      <c r="T772" s="231">
        <f t="shared" ca="1" si="1"/>
        <v>7.4728190214788087E-3</v>
      </c>
      <c r="U772" s="231">
        <f t="shared" ca="1" si="1"/>
        <v>7.8648424749456856E-3</v>
      </c>
      <c r="V772" s="231">
        <f t="shared" ca="1" si="1"/>
        <v>1.5717662892638703E-2</v>
      </c>
      <c r="W772" s="128"/>
      <c r="X772" s="230"/>
      <c r="Y772" s="128"/>
      <c r="Z772" s="128"/>
      <c r="AA772" s="128"/>
      <c r="AB772" s="128"/>
      <c r="AC772" s="128"/>
      <c r="AD772" s="128"/>
      <c r="AE772" s="128"/>
      <c r="AF772" s="128"/>
      <c r="AG772" s="128"/>
      <c r="AH772" s="128"/>
    </row>
    <row r="773" spans="2:62">
      <c r="B773" s="2"/>
      <c r="D773" s="128"/>
      <c r="E773" s="128"/>
      <c r="F773" s="128"/>
      <c r="G773" s="128"/>
      <c r="H773" s="128"/>
      <c r="I773" s="128"/>
      <c r="J773" s="128"/>
      <c r="K773" s="128"/>
      <c r="L773" s="128"/>
      <c r="M773" s="128"/>
      <c r="N773" s="128"/>
      <c r="O773" s="128"/>
      <c r="P773" s="128"/>
      <c r="Q773" s="128"/>
      <c r="R773" s="128"/>
      <c r="S773" s="128"/>
      <c r="T773" s="128"/>
      <c r="U773" s="128"/>
      <c r="V773" s="128"/>
      <c r="W773" s="128"/>
      <c r="X773" s="230"/>
      <c r="Y773" s="128"/>
      <c r="Z773" s="128"/>
      <c r="AA773" s="128"/>
      <c r="AB773" s="128"/>
      <c r="AC773" s="128"/>
      <c r="AD773" s="128"/>
      <c r="AE773" s="128"/>
      <c r="AF773" s="128"/>
      <c r="AG773" s="128"/>
      <c r="AH773" s="128"/>
    </row>
    <row r="774" spans="2:62">
      <c r="B774" s="2"/>
      <c r="C774" s="2"/>
      <c r="D774" s="230"/>
      <c r="E774" s="230"/>
      <c r="F774" s="230"/>
      <c r="G774" s="230"/>
      <c r="H774" s="230"/>
      <c r="I774" s="230"/>
      <c r="J774" s="230"/>
      <c r="K774" s="230"/>
      <c r="L774" s="230"/>
      <c r="M774" s="230"/>
      <c r="N774" s="230"/>
      <c r="O774" s="230"/>
      <c r="P774" s="230"/>
      <c r="Q774" s="230"/>
      <c r="R774" s="230"/>
      <c r="S774" s="230"/>
      <c r="T774" s="230"/>
      <c r="U774" s="230"/>
      <c r="V774" s="230"/>
      <c r="W774" s="230"/>
      <c r="X774" s="230"/>
      <c r="Z774" s="128"/>
      <c r="AA774" s="128"/>
      <c r="AB774" s="128"/>
      <c r="AC774" s="128"/>
      <c r="AD774" s="128"/>
      <c r="AE774" s="128"/>
      <c r="AF774" s="128"/>
      <c r="AG774" s="128"/>
      <c r="AH774" s="128"/>
    </row>
    <row r="775" spans="2:62">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row>
    <row r="776" spans="2:62">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row>
    <row r="777" spans="2:62">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row>
    <row r="778" spans="2:62">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row>
    <row r="779" spans="2:62">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row>
    <row r="780" spans="2:62">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row>
    <row r="781" spans="2:62">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row>
    <row r="782" spans="2:62" s="214" customFormat="1">
      <c r="D782" s="216" t="s">
        <v>1702</v>
      </c>
      <c r="E782" s="215"/>
      <c r="F782" s="215"/>
      <c r="G782" s="215"/>
      <c r="H782" s="215"/>
      <c r="I782" s="215"/>
      <c r="J782" s="215"/>
      <c r="K782" s="215"/>
      <c r="L782" s="215"/>
      <c r="M782" s="215"/>
      <c r="N782" s="215"/>
      <c r="O782" s="215"/>
      <c r="P782" s="215"/>
      <c r="Q782" s="215"/>
      <c r="R782" s="215"/>
      <c r="S782" s="215"/>
      <c r="T782" s="215"/>
      <c r="U782" s="215"/>
      <c r="V782" s="215"/>
      <c r="W782" s="215"/>
      <c r="X782" s="215"/>
      <c r="Y782" s="215"/>
      <c r="Z782" s="215"/>
      <c r="AA782" s="215"/>
      <c r="AB782" s="215"/>
      <c r="AC782" s="215"/>
      <c r="AD782" s="215"/>
      <c r="AE782" s="215"/>
      <c r="AF782" s="215"/>
      <c r="AG782" s="215"/>
      <c r="AH782" s="215"/>
    </row>
    <row r="783" spans="2:62">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row>
    <row r="784" spans="2:62">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BG784" s="5" t="s">
        <v>128</v>
      </c>
      <c r="BH784" s="5" t="s">
        <v>129</v>
      </c>
      <c r="BI784" s="5" t="s">
        <v>130</v>
      </c>
      <c r="BJ784" s="5" t="s">
        <v>131</v>
      </c>
    </row>
    <row r="785" spans="4:131" ht="16.5">
      <c r="D785" s="42" t="s">
        <v>1023</v>
      </c>
      <c r="E785" s="42" t="s">
        <v>107</v>
      </c>
      <c r="F785" s="42" t="s">
        <v>911</v>
      </c>
      <c r="G785" s="42" t="s">
        <v>116</v>
      </c>
      <c r="H785" s="42" t="s">
        <v>115</v>
      </c>
      <c r="I785" s="42" t="s">
        <v>112</v>
      </c>
      <c r="J785" s="42" t="s">
        <v>108</v>
      </c>
      <c r="K785" s="42" t="s">
        <v>114</v>
      </c>
      <c r="L785" s="42" t="s">
        <v>113</v>
      </c>
      <c r="M785" s="42" t="s">
        <v>1619</v>
      </c>
      <c r="N785" s="42" t="s">
        <v>883</v>
      </c>
      <c r="O785" s="42" t="s">
        <v>884</v>
      </c>
      <c r="P785" s="42" t="s">
        <v>885</v>
      </c>
      <c r="Q785" s="70" t="s">
        <v>886</v>
      </c>
      <c r="R785" s="70" t="s">
        <v>887</v>
      </c>
      <c r="S785" s="70" t="s">
        <v>888</v>
      </c>
      <c r="T785" s="70" t="s">
        <v>1575</v>
      </c>
      <c r="U785" s="70" t="s">
        <v>1576</v>
      </c>
      <c r="V785" s="70" t="s">
        <v>1322</v>
      </c>
      <c r="W785" s="70" t="s">
        <v>1323</v>
      </c>
      <c r="X785" s="70" t="s">
        <v>1324</v>
      </c>
      <c r="Y785" s="71" t="s">
        <v>1578</v>
      </c>
      <c r="Z785" s="42" t="s">
        <v>895</v>
      </c>
      <c r="AA785" s="42" t="s">
        <v>898</v>
      </c>
      <c r="AB785" s="42" t="s">
        <v>896</v>
      </c>
      <c r="AC785" s="42" t="s">
        <v>897</v>
      </c>
      <c r="AD785" s="46" t="s">
        <v>1298</v>
      </c>
      <c r="AE785" s="72" t="s">
        <v>1299</v>
      </c>
      <c r="AF785" s="72" t="s">
        <v>1300</v>
      </c>
      <c r="AG785" s="46" t="s">
        <v>1301</v>
      </c>
      <c r="AH785" s="72" t="s">
        <v>1302</v>
      </c>
      <c r="AI785" s="72" t="s">
        <v>1435</v>
      </c>
      <c r="AJ785" s="72" t="s">
        <v>1434</v>
      </c>
      <c r="AK785" s="72" t="s">
        <v>1433</v>
      </c>
      <c r="AL785" s="72" t="s">
        <v>1432</v>
      </c>
      <c r="AM785" s="72" t="s">
        <v>1431</v>
      </c>
      <c r="AN785" s="72" t="s">
        <v>1430</v>
      </c>
      <c r="AO785" s="72" t="s">
        <v>1429</v>
      </c>
      <c r="AP785" s="72" t="s">
        <v>1428</v>
      </c>
      <c r="AQ785" s="73" t="s">
        <v>1427</v>
      </c>
      <c r="BG785" s="5" t="s">
        <v>127</v>
      </c>
    </row>
    <row r="786" spans="4:131" ht="26.25" customHeight="1">
      <c r="D786" s="8" t="s">
        <v>711</v>
      </c>
      <c r="E786" s="8">
        <f ca="1">'Parameter Inputs'!H1065</f>
        <v>1247.6965896061465</v>
      </c>
      <c r="F786" s="8">
        <f ca="1">E786/1</f>
        <v>1247.6965896061465</v>
      </c>
      <c r="G786" s="49">
        <f ca="1">E786</f>
        <v>1247.6965896061465</v>
      </c>
      <c r="H786" s="8">
        <f ca="1">G786*1.1</f>
        <v>1372.4662485667614</v>
      </c>
      <c r="I786" s="8">
        <v>5</v>
      </c>
      <c r="J786" s="8">
        <v>1</v>
      </c>
      <c r="K786" s="47">
        <f ca="1">((4*H786)/(J786*PI()))^(1/3)</f>
        <v>12.044920298270299</v>
      </c>
      <c r="L786" s="47">
        <f ca="1">K786*J786</f>
        <v>12.044920298270299</v>
      </c>
      <c r="M786" s="47">
        <f ca="1">(2*PI()*(K786/2)*L786)+(2*PI()*(K786/2)^2)</f>
        <v>683.67388803586482</v>
      </c>
      <c r="N786" s="47">
        <v>0.3</v>
      </c>
      <c r="O786" s="47">
        <f ca="1">K786+(N786*2)</f>
        <v>12.644920298270298</v>
      </c>
      <c r="P786" s="47">
        <f ca="1">L786+N786</f>
        <v>12.344920298270299</v>
      </c>
      <c r="Q786" s="8">
        <f ca="1">(PI()*((O786/2)^2)*P786)</f>
        <v>1550.2807855393555</v>
      </c>
      <c r="R786" s="47">
        <f ca="1">Q786-H786+E885</f>
        <v>227.49610923791278</v>
      </c>
      <c r="S786" s="47">
        <v>2400</v>
      </c>
      <c r="T786" s="47">
        <f ca="1">S786*(Q786-H786)</f>
        <v>426754.888734226</v>
      </c>
      <c r="U786" s="47">
        <v>0.05</v>
      </c>
      <c r="V786" s="47">
        <f ca="1">(PI()*(((O786+U786+U786)/2)^2)*(P786+U786))-Q786</f>
        <v>30.99589993780819</v>
      </c>
      <c r="W786" s="47">
        <v>25</v>
      </c>
      <c r="X786" s="47">
        <f ca="1">W786*V786</f>
        <v>774.89749844520475</v>
      </c>
      <c r="Y786" s="8">
        <f ca="1">R786*0.01*8000</f>
        <v>18199.688739033023</v>
      </c>
      <c r="Z786" s="47">
        <f ca="1">(($R786*'Parameter Inputs'!F$729)+($X786*'Parameter Inputs'!F$731)+($Y786*'Parameter Inputs'!F$753))*$I786</f>
        <v>593759.84042426106</v>
      </c>
      <c r="AA786" s="47">
        <f ca="1">(($R786*'Parameter Inputs'!J$729)+($X786*'Parameter Inputs'!J$731)+($Y786*'Parameter Inputs'!J$753))*$I786</f>
        <v>101612.57172164292</v>
      </c>
      <c r="AB786" s="47">
        <f ca="1">(($R786*'Parameter Inputs'!V$729)+($X786*'Parameter Inputs'!V$731)+($Y786*'Parameter Inputs'!V$753))*$I786</f>
        <v>3165.8078932016219</v>
      </c>
      <c r="AC786" s="47">
        <f ca="1">(($R786*'Parameter Inputs'!Q$729)+($X786*'Parameter Inputs'!Q$731)+($Y786*'Parameter Inputs'!Q$753))*$I786</f>
        <v>67697.73369413492</v>
      </c>
      <c r="AD786" s="47">
        <f ca="1">(($R786*'Parameter Inputs'!G$729)+($X786*'Parameter Inputs'!G$731)+($Y786*'Parameter Inputs'!G$753))*$I786</f>
        <v>20764.975711528186</v>
      </c>
      <c r="AE786" s="47">
        <f ca="1">(($R786*'Parameter Inputs'!H$729)+($X786*'Parameter Inputs'!H$731)+($Y786*'Parameter Inputs'!H$753))*$I786</f>
        <v>28882.915528037505</v>
      </c>
      <c r="AF786" s="47">
        <f ca="1">(($R786*'Parameter Inputs'!I$729)+($X786*'Parameter Inputs'!I$731)+($Y786*'Parameter Inputs'!I$753))*$I786</f>
        <v>1594298.4814684221</v>
      </c>
      <c r="AG786" s="47">
        <f ca="1">(($R786*'Parameter Inputs'!M$729)+($X786*'Parameter Inputs'!M$731)+($Y786*'Parameter Inputs'!M$753))*$I786</f>
        <v>172271.42617545676</v>
      </c>
      <c r="AH786" s="47">
        <f ca="1">(($R786*'Parameter Inputs'!N$729)+($X786*'Parameter Inputs'!N$731)+($Y786*'Parameter Inputs'!N$753))*$I786</f>
        <v>343669.60775497626</v>
      </c>
      <c r="AI786" s="47">
        <f ca="1">(($R786*'Parameter Inputs'!E$729)+($X786*'Parameter Inputs'!E$731)+($Y786*'Parameter Inputs'!E$753))*$I786</f>
        <v>1340.5294170449456</v>
      </c>
      <c r="AJ786" s="47">
        <f ca="1">(($R786*'Parameter Inputs'!K$729)+($X786*'Parameter Inputs'!K$731)+($Y786*'Parameter Inputs'!K$753))*$I786</f>
        <v>136.41368690411684</v>
      </c>
      <c r="AK786" s="47">
        <f ca="1">(($R786*'Parameter Inputs'!L$729)+($X786*'Parameter Inputs'!L$731)+($Y786*'Parameter Inputs'!L$753))*$I786</f>
        <v>16.744161523232776</v>
      </c>
      <c r="AL786" s="47">
        <f ca="1">(($R786*'Parameter Inputs'!O$729)+($X786*'Parameter Inputs'!O$731)+($Y786*'Parameter Inputs'!O$753))*$I786</f>
        <v>11524.048210739169</v>
      </c>
      <c r="AM786" s="47">
        <f ca="1">(($R786*'Parameter Inputs'!P$729)+($X786*'Parameter Inputs'!P$731)+($Y786*'Parameter Inputs'!P$753))*$I786</f>
        <v>11481.814128477561</v>
      </c>
      <c r="AN786" s="47">
        <f ca="1">(($R786*'Parameter Inputs'!R$729)+($X786*'Parameter Inputs'!R$731)+($Y786*'Parameter Inputs'!R$753))*$I786</f>
        <v>0.11770203744248191</v>
      </c>
      <c r="AO786" s="47">
        <f ca="1">(($R786*'Parameter Inputs'!S$729)+($X786*'Parameter Inputs'!S$731)+($Y786*'Parameter Inputs'!S$753))*$I786</f>
        <v>680.40820762871499</v>
      </c>
      <c r="AP786" s="47">
        <f ca="1">(($R786*'Parameter Inputs'!T$729)+($X786*'Parameter Inputs'!T$731)+($Y786*'Parameter Inputs'!T$753))*$I786</f>
        <v>1466.4904520681946</v>
      </c>
      <c r="AQ786" s="47">
        <f ca="1">(($R786*'Parameter Inputs'!U$729)+($X786*'Parameter Inputs'!U$731)+($Y786*'Parameter Inputs'!U$753))*$I786</f>
        <v>1530.9293534440117</v>
      </c>
      <c r="BG786" s="5" t="s">
        <v>132</v>
      </c>
      <c r="BH786" s="5">
        <v>4.7</v>
      </c>
      <c r="BI786" s="5">
        <v>5.0999999999999996</v>
      </c>
      <c r="BJ786" s="5">
        <f>(BH786+BI786)/2</f>
        <v>4.9000000000000004</v>
      </c>
    </row>
    <row r="787" spans="4:131" ht="24" customHeight="1">
      <c r="D787" s="8" t="s">
        <v>13</v>
      </c>
      <c r="E787" s="49">
        <f ca="1">'Parameter Inputs'!E1106</f>
        <v>409.52294533443421</v>
      </c>
      <c r="F787" s="49">
        <f ca="1">E787/2</f>
        <v>204.76147266721711</v>
      </c>
      <c r="G787" s="50">
        <f ca="1">(F787*2)/I787</f>
        <v>409.52294533443421</v>
      </c>
      <c r="H787" s="49">
        <f ca="1">G787*1.1</f>
        <v>450.47523986787769</v>
      </c>
      <c r="I787" s="8">
        <v>1</v>
      </c>
      <c r="J787" s="8">
        <v>1</v>
      </c>
      <c r="K787" s="47">
        <f ca="1">((4*H787)/(J787*PI()))^(1/3)</f>
        <v>8.308583993497912</v>
      </c>
      <c r="L787" s="47">
        <f ca="1">K787*J787</f>
        <v>8.308583993497912</v>
      </c>
      <c r="M787" s="47">
        <f ca="1">(2*PI()*(K787/2)*L787)+(2*PI()*(K787/2)^2)</f>
        <v>325.30831262251752</v>
      </c>
      <c r="N787" s="47">
        <v>0.3</v>
      </c>
      <c r="O787" s="47">
        <f ca="1">K787+(N787*2)</f>
        <v>8.9085839934979116</v>
      </c>
      <c r="P787" s="47">
        <f ca="1">L787+N787</f>
        <v>8.6085839934979127</v>
      </c>
      <c r="Q787" s="8">
        <f ca="1">PI()*((O787/2)^2)*P787</f>
        <v>536.58553458358097</v>
      </c>
      <c r="R787" s="47">
        <f ca="1">Q787-H787+G885</f>
        <v>104.44146494898889</v>
      </c>
      <c r="S787" s="47">
        <v>2400</v>
      </c>
      <c r="T787" s="47">
        <f t="shared" ref="T787:T790" ca="1" si="2">S787*(Q787-H787)</f>
        <v>206664.70731768786</v>
      </c>
      <c r="U787" s="47">
        <v>0.05</v>
      </c>
      <c r="V787" s="47">
        <f ca="1">(PI()*(((O787+U787+U787)/2)^2)*(P787+U787))-Q787</f>
        <v>15.301027927635118</v>
      </c>
      <c r="W787" s="47">
        <v>25</v>
      </c>
      <c r="X787" s="47">
        <f ca="1">W787*V787</f>
        <v>382.52569819087796</v>
      </c>
      <c r="Y787" s="8">
        <f t="shared" ref="Y787:Y790" ca="1" si="3">R787*0.01*8000</f>
        <v>8355.3171959191113</v>
      </c>
      <c r="Z787" s="47">
        <f ca="1">(($R787*'Parameter Inputs'!F$729)+($X787*'Parameter Inputs'!F$731)+($Y787*'Parameter Inputs'!F$753))*$I787</f>
        <v>54654.783851387663</v>
      </c>
      <c r="AA787" s="47">
        <f ca="1">(($R787*'Parameter Inputs'!J$729)+($X787*'Parameter Inputs'!J$731)+($Y787*'Parameter Inputs'!J$753))*$I787</f>
        <v>9381.969171345323</v>
      </c>
      <c r="AB787" s="47">
        <f ca="1">(($R787*'Parameter Inputs'!V$729)+($X787*'Parameter Inputs'!V$731)+($Y787*'Parameter Inputs'!V$753))*$I787</f>
        <v>294.04452703372772</v>
      </c>
      <c r="AC787" s="47">
        <f ca="1">(($R787*'Parameter Inputs'!Q$729)+($X787*'Parameter Inputs'!Q$731)+($Y787*'Parameter Inputs'!Q$753))*$I787</f>
        <v>6217.8672726863024</v>
      </c>
      <c r="AD787" s="47">
        <f ca="1">(($R787*'Parameter Inputs'!G$729)+($X787*'Parameter Inputs'!G$731)+($Y787*'Parameter Inputs'!G$753))*$I787</f>
        <v>1913.978520463867</v>
      </c>
      <c r="AE787" s="47">
        <f ca="1">(($R787*'Parameter Inputs'!H$729)+($X787*'Parameter Inputs'!H$731)+($Y787*'Parameter Inputs'!H$753))*$I787</f>
        <v>2661.6094571440326</v>
      </c>
      <c r="AF787" s="47">
        <f ca="1">(($R787*'Parameter Inputs'!I$729)+($X787*'Parameter Inputs'!I$731)+($Y787*'Parameter Inputs'!I$753))*$I787</f>
        <v>147006.8593905853</v>
      </c>
      <c r="AG787" s="47">
        <f ca="1">(($R787*'Parameter Inputs'!M$729)+($X787*'Parameter Inputs'!M$731)+($Y787*'Parameter Inputs'!M$753))*$I787</f>
        <v>15825.388029344867</v>
      </c>
      <c r="AH787" s="47">
        <f ca="1">(($R787*'Parameter Inputs'!N$729)+($X787*'Parameter Inputs'!N$731)+($Y787*'Parameter Inputs'!N$753))*$I787</f>
        <v>31688.02869945189</v>
      </c>
      <c r="AI787" s="47">
        <f ca="1">(($R787*'Parameter Inputs'!E$729)+($X787*'Parameter Inputs'!E$731)+($Y787*'Parameter Inputs'!E$753))*$I787</f>
        <v>123.56848860073809</v>
      </c>
      <c r="AJ787" s="47">
        <f ca="1">(($R787*'Parameter Inputs'!K$729)+($X787*'Parameter Inputs'!K$731)+($Y787*'Parameter Inputs'!K$753))*$I787</f>
        <v>12.559772626483936</v>
      </c>
      <c r="AK787" s="47">
        <f ca="1">(($R787*'Parameter Inputs'!L$729)+($X787*'Parameter Inputs'!L$731)+($Y787*'Parameter Inputs'!L$753))*$I787</f>
        <v>1.5598380500192173</v>
      </c>
      <c r="AL787" s="47">
        <f ca="1">(($R787*'Parameter Inputs'!O$729)+($X787*'Parameter Inputs'!O$731)+($Y787*'Parameter Inputs'!O$753))*$I787</f>
        <v>1066.8605681514482</v>
      </c>
      <c r="AM787" s="47">
        <f ca="1">(($R787*'Parameter Inputs'!P$729)+($X787*'Parameter Inputs'!P$731)+($Y787*'Parameter Inputs'!P$753))*$I787</f>
        <v>1055.9653506225168</v>
      </c>
      <c r="AN787" s="47">
        <f ca="1">(($R787*'Parameter Inputs'!R$729)+($X787*'Parameter Inputs'!R$731)+($Y787*'Parameter Inputs'!R$753))*$I787</f>
        <v>1.1183251350275463E-2</v>
      </c>
      <c r="AO787" s="47">
        <f ca="1">(($R787*'Parameter Inputs'!S$729)+($X787*'Parameter Inputs'!S$731)+($Y787*'Parameter Inputs'!S$753))*$I787</f>
        <v>62.663242691101956</v>
      </c>
      <c r="AP787" s="47">
        <f ca="1">(($R787*'Parameter Inputs'!T$729)+($X787*'Parameter Inputs'!T$731)+($Y787*'Parameter Inputs'!T$753))*$I787</f>
        <v>134.9058822904118</v>
      </c>
      <c r="AQ787" s="47">
        <f ca="1">(($R787*'Parameter Inputs'!U$729)+($X787*'Parameter Inputs'!U$731)+($Y787*'Parameter Inputs'!U$753))*$I787</f>
        <v>140.83659355207425</v>
      </c>
      <c r="BG787" s="5" t="s">
        <v>133</v>
      </c>
      <c r="BH787" s="5">
        <v>1.8</v>
      </c>
      <c r="BI787" s="5">
        <v>2.4</v>
      </c>
      <c r="BJ787" s="5">
        <f>(BH787+BI787)/2</f>
        <v>2.1</v>
      </c>
    </row>
    <row r="788" spans="4:131" ht="22.5" customHeight="1">
      <c r="D788" s="8" t="s">
        <v>25</v>
      </c>
      <c r="E788" s="49">
        <f ca="1">'Parameter Inputs'!K1106+'Parameter Inputs'!K1114+'Parameter Inputs'!F583+'Parameter Inputs'!G583+'Parameter Inputs'!H583</f>
        <v>1015.5656733318957</v>
      </c>
      <c r="F788" s="49">
        <f ca="1">E788/2</f>
        <v>507.78283666594785</v>
      </c>
      <c r="G788" s="50">
        <f ca="1">F788/I788</f>
        <v>507.78283666594785</v>
      </c>
      <c r="H788" s="49">
        <f ca="1">G788*1.1</f>
        <v>558.56112033254271</v>
      </c>
      <c r="I788" s="8">
        <v>1</v>
      </c>
      <c r="J788" s="8">
        <v>1</v>
      </c>
      <c r="K788" s="47">
        <f ca="1">((4*H788)/(J788*PI()))^(1/3)</f>
        <v>8.9260696997031559</v>
      </c>
      <c r="L788" s="47">
        <f ca="1">K788*J788</f>
        <v>8.9260696997031559</v>
      </c>
      <c r="M788" s="47">
        <f ca="1">(2*PI()*(K788/2)*L788)+(2*PI()*(K788/2)^2)</f>
        <v>375.4582738813599</v>
      </c>
      <c r="N788" s="47">
        <v>0.3</v>
      </c>
      <c r="O788" s="47">
        <f ca="1">K788+(N788*2)</f>
        <v>9.5260696997031555</v>
      </c>
      <c r="P788" s="47">
        <f ca="1">L788+N788</f>
        <v>9.2260696997031566</v>
      </c>
      <c r="Q788" s="8">
        <f ca="1">PI()*((O788/2)^2)*P788</f>
        <v>657.5580853034528</v>
      </c>
      <c r="R788" s="47">
        <f ca="1">Q788-H788+I885</f>
        <v>167.00970746951432</v>
      </c>
      <c r="S788" s="47">
        <v>2400</v>
      </c>
      <c r="T788" s="47">
        <f t="shared" ca="1" si="2"/>
        <v>237592.7159301842</v>
      </c>
      <c r="U788" s="47">
        <v>0.05</v>
      </c>
      <c r="V788" s="47">
        <f ca="1">(PI()*(((O788+U788+U788)/2)^2)*(P788+U788))-Q788</f>
        <v>17.516702403043723</v>
      </c>
      <c r="W788" s="47">
        <v>25</v>
      </c>
      <c r="X788" s="47">
        <f ca="1">W788*V788</f>
        <v>437.91756007609308</v>
      </c>
      <c r="Y788" s="8">
        <f t="shared" ca="1" si="3"/>
        <v>13360.776597561147</v>
      </c>
      <c r="Z788" s="47">
        <f ca="1">(($R788*'Parameter Inputs'!F$729)+($X788*'Parameter Inputs'!F$731)+($Y788*'Parameter Inputs'!F$753))*$I788</f>
        <v>86509.329561788865</v>
      </c>
      <c r="AA788" s="47">
        <f ca="1">(($R788*'Parameter Inputs'!J$729)+($X788*'Parameter Inputs'!J$731)+($Y788*'Parameter Inputs'!J$753))*$I788</f>
        <v>14664.487922263146</v>
      </c>
      <c r="AB788" s="47">
        <f ca="1">(($R788*'Parameter Inputs'!V$729)+($X788*'Parameter Inputs'!V$731)+($Y788*'Parameter Inputs'!V$753))*$I788</f>
        <v>448.35806970204385</v>
      </c>
      <c r="AC788" s="47">
        <f ca="1">(($R788*'Parameter Inputs'!Q$729)+($X788*'Parameter Inputs'!Q$731)+($Y788*'Parameter Inputs'!Q$753))*$I788</f>
        <v>9929.9831306632968</v>
      </c>
      <c r="AD788" s="47">
        <f ca="1">(($R788*'Parameter Inputs'!G$729)+($X788*'Parameter Inputs'!G$731)+($Y788*'Parameter Inputs'!G$753))*$I788</f>
        <v>3012.7350596164843</v>
      </c>
      <c r="AE788" s="47">
        <f ca="1">(($R788*'Parameter Inputs'!H$729)+($X788*'Parameter Inputs'!H$731)+($Y788*'Parameter Inputs'!H$753))*$I788</f>
        <v>4193.6127082775747</v>
      </c>
      <c r="AF788" s="47">
        <f ca="1">(($R788*'Parameter Inputs'!I$729)+($X788*'Parameter Inputs'!I$731)+($Y788*'Parameter Inputs'!I$753))*$I788</f>
        <v>231043.84654133522</v>
      </c>
      <c r="AG788" s="47">
        <f ca="1">(($R788*'Parameter Inputs'!M$729)+($X788*'Parameter Inputs'!M$731)+($Y788*'Parameter Inputs'!M$753))*$I788</f>
        <v>25255.82471903383</v>
      </c>
      <c r="AH788" s="47">
        <f ca="1">(($R788*'Parameter Inputs'!N$729)+($X788*'Parameter Inputs'!N$731)+($Y788*'Parameter Inputs'!N$753))*$I788</f>
        <v>49809.142109260269</v>
      </c>
      <c r="AI788" s="47">
        <f ca="1">(($R788*'Parameter Inputs'!E$729)+($X788*'Parameter Inputs'!E$731)+($Y788*'Parameter Inputs'!E$753))*$I788</f>
        <v>194.45801098955093</v>
      </c>
      <c r="AJ788" s="47">
        <f ca="1">(($R788*'Parameter Inputs'!K$729)+($X788*'Parameter Inputs'!K$731)+($Y788*'Parameter Inputs'!K$753))*$I788</f>
        <v>19.860078127692351</v>
      </c>
      <c r="AK788" s="47">
        <f ca="1">(($R788*'Parameter Inputs'!L$729)+($X788*'Parameter Inputs'!L$731)+($Y788*'Parameter Inputs'!L$753))*$I788</f>
        <v>2.3488124730893345</v>
      </c>
      <c r="AL788" s="47">
        <f ca="1">(($R788*'Parameter Inputs'!O$729)+($X788*'Parameter Inputs'!O$731)+($Y788*'Parameter Inputs'!O$753))*$I788</f>
        <v>1649.2539958089917</v>
      </c>
      <c r="AM788" s="47">
        <f ca="1">(($R788*'Parameter Inputs'!P$729)+($X788*'Parameter Inputs'!P$731)+($Y788*'Parameter Inputs'!P$753))*$I788</f>
        <v>1677.3708374444091</v>
      </c>
      <c r="AN788" s="47">
        <f ca="1">(($R788*'Parameter Inputs'!R$729)+($X788*'Parameter Inputs'!R$731)+($Y788*'Parameter Inputs'!R$753))*$I788</f>
        <v>1.5442434131487947E-2</v>
      </c>
      <c r="AO788" s="47">
        <f ca="1">(($R788*'Parameter Inputs'!S$729)+($X788*'Parameter Inputs'!S$731)+($Y788*'Parameter Inputs'!S$753))*$I788</f>
        <v>98.974378720762758</v>
      </c>
      <c r="AP788" s="47">
        <f ca="1">(($R788*'Parameter Inputs'!T$729)+($X788*'Parameter Inputs'!T$731)+($Y788*'Parameter Inputs'!T$753))*$I788</f>
        <v>214.06778101359208</v>
      </c>
      <c r="AQ788" s="47">
        <f ca="1">(($R788*'Parameter Inputs'!U$729)+($X788*'Parameter Inputs'!U$731)+($Y788*'Parameter Inputs'!U$753))*$I788</f>
        <v>223.46028936445941</v>
      </c>
      <c r="BC788" s="5" t="s">
        <v>441</v>
      </c>
      <c r="BG788" s="5" t="s">
        <v>134</v>
      </c>
      <c r="BH788" s="5">
        <v>0.6</v>
      </c>
      <c r="BI788" s="5">
        <v>0.8</v>
      </c>
      <c r="BJ788" s="5">
        <f>(BH788+BI788)/2</f>
        <v>0.7</v>
      </c>
    </row>
    <row r="789" spans="4:131" ht="22.5" customHeight="1">
      <c r="D789" s="8" t="s">
        <v>935</v>
      </c>
      <c r="E789" s="49">
        <f ca="1">E786</f>
        <v>1247.6965896061465</v>
      </c>
      <c r="F789" s="49">
        <f ca="1">E789/2</f>
        <v>623.84829480307326</v>
      </c>
      <c r="G789" s="50">
        <f ca="1">F789/I789</f>
        <v>623.84829480307326</v>
      </c>
      <c r="H789" s="49">
        <f ca="1">G789*1.1</f>
        <v>686.23312428338068</v>
      </c>
      <c r="I789" s="8">
        <v>1</v>
      </c>
      <c r="J789" s="8">
        <v>1</v>
      </c>
      <c r="K789" s="47">
        <f ca="1">((4*H789)/(J789*PI()))^(1/3)</f>
        <v>9.5600595761736926</v>
      </c>
      <c r="L789" s="47">
        <f ca="1">K789*J789</f>
        <v>9.5600595761736926</v>
      </c>
      <c r="M789" s="47">
        <f ca="1">(2*PI()*(K789/2)*L789)+(2*PI()*(K789/2)^2)</f>
        <v>430.68756139992814</v>
      </c>
      <c r="N789" s="47">
        <v>0.3</v>
      </c>
      <c r="O789" s="47">
        <f ca="1">K789+(N789*2)</f>
        <v>10.160059576173692</v>
      </c>
      <c r="P789" s="47">
        <f ca="1">L789+N789</f>
        <v>9.8600595761736933</v>
      </c>
      <c r="Q789" s="8">
        <f ca="1">PI()*((O789/2)^2)*P789</f>
        <v>799.39592396283854</v>
      </c>
      <c r="R789" s="47">
        <f ca="1">Q789-H789+K885</f>
        <v>138.21716087277727</v>
      </c>
      <c r="S789" s="47">
        <v>2400</v>
      </c>
      <c r="T789" s="47">
        <f t="shared" ca="1" si="2"/>
        <v>271590.71923069889</v>
      </c>
      <c r="U789" s="47">
        <v>0.05</v>
      </c>
      <c r="V789" s="47">
        <f ca="1">(PI()*(((O789+U789+U789)/2)^2)*(P789+U789))-Q789</f>
        <v>19.947385682311506</v>
      </c>
      <c r="W789" s="47">
        <v>25</v>
      </c>
      <c r="X789" s="47">
        <f ca="1">W789*V789</f>
        <v>498.68464205778764</v>
      </c>
      <c r="Y789" s="8">
        <f t="shared" ca="1" si="3"/>
        <v>11057.372869822182</v>
      </c>
      <c r="Z789" s="47">
        <f ca="1">(($R789*'Parameter Inputs'!F$729)+($X789*'Parameter Inputs'!F$731)+($Y789*'Parameter Inputs'!F$753))*$I789</f>
        <v>72291.230172782991</v>
      </c>
      <c r="AA789" s="47">
        <f ca="1">(($R789*'Parameter Inputs'!J$729)+($X789*'Parameter Inputs'!J$731)+($Y789*'Parameter Inputs'!J$753))*$I789</f>
        <v>12401.357779378486</v>
      </c>
      <c r="AB789" s="47">
        <f ca="1">(($R789*'Parameter Inputs'!V$729)+($X789*'Parameter Inputs'!V$731)+($Y789*'Parameter Inputs'!V$753))*$I789</f>
        <v>388.18799737367749</v>
      </c>
      <c r="AC789" s="47">
        <f ca="1">(($R789*'Parameter Inputs'!Q$729)+($X789*'Parameter Inputs'!Q$731)+($Y789*'Parameter Inputs'!Q$753))*$I789</f>
        <v>8228.1272564879491</v>
      </c>
      <c r="AD789" s="47">
        <f ca="1">(($R789*'Parameter Inputs'!G$729)+($X789*'Parameter Inputs'!G$731)+($Y789*'Parameter Inputs'!G$753))*$I789</f>
        <v>2530.8681206655274</v>
      </c>
      <c r="AE789" s="47">
        <f ca="1">(($R789*'Parameter Inputs'!H$729)+($X789*'Parameter Inputs'!H$731)+($Y789*'Parameter Inputs'!H$753))*$I789</f>
        <v>3519.6422103052455</v>
      </c>
      <c r="AF789" s="47">
        <f ca="1">(($R789*'Parameter Inputs'!I$729)+($X789*'Parameter Inputs'!I$731)+($Y789*'Parameter Inputs'!I$753))*$I789</f>
        <v>194372.8446908613</v>
      </c>
      <c r="AG789" s="47">
        <f ca="1">(($R789*'Parameter Inputs'!M$729)+($X789*'Parameter Inputs'!M$731)+($Y789*'Parameter Inputs'!M$753))*$I789</f>
        <v>20941.03808471881</v>
      </c>
      <c r="AH789" s="47">
        <f ca="1">(($R789*'Parameter Inputs'!N$729)+($X789*'Parameter Inputs'!N$731)+($Y789*'Parameter Inputs'!N$753))*$I789</f>
        <v>41898.276503024899</v>
      </c>
      <c r="AI789" s="47">
        <f ca="1">(($R789*'Parameter Inputs'!E$729)+($X789*'Parameter Inputs'!E$731)+($Y789*'Parameter Inputs'!E$753))*$I789</f>
        <v>163.39347982853397</v>
      </c>
      <c r="AJ789" s="47">
        <f ca="1">(($R789*'Parameter Inputs'!K$729)+($X789*'Parameter Inputs'!K$731)+($Y789*'Parameter Inputs'!K$753))*$I789</f>
        <v>16.611795727113588</v>
      </c>
      <c r="AK789" s="47">
        <f ca="1">(($R789*'Parameter Inputs'!L$729)+($X789*'Parameter Inputs'!L$731)+($Y789*'Parameter Inputs'!L$753))*$I789</f>
        <v>2.057960702747903</v>
      </c>
      <c r="AL789" s="47">
        <f ca="1">(($R789*'Parameter Inputs'!O$729)+($X789*'Parameter Inputs'!O$731)+($Y789*'Parameter Inputs'!O$753))*$I789</f>
        <v>1409.4121669163158</v>
      </c>
      <c r="AM789" s="47">
        <f ca="1">(($R789*'Parameter Inputs'!P$729)+($X789*'Parameter Inputs'!P$731)+($Y789*'Parameter Inputs'!P$753))*$I789</f>
        <v>1396.971422980678</v>
      </c>
      <c r="AN789" s="47">
        <f ca="1">(($R789*'Parameter Inputs'!R$729)+($X789*'Parameter Inputs'!R$731)+($Y789*'Parameter Inputs'!R$753))*$I789</f>
        <v>1.4693847013724372E-2</v>
      </c>
      <c r="AO789" s="47">
        <f ca="1">(($R789*'Parameter Inputs'!S$729)+($X789*'Parameter Inputs'!S$731)+($Y789*'Parameter Inputs'!S$753))*$I789</f>
        <v>82.87475889726332</v>
      </c>
      <c r="AP789" s="47">
        <f ca="1">(($R789*'Parameter Inputs'!T$729)+($X789*'Parameter Inputs'!T$731)+($Y789*'Parameter Inputs'!T$753))*$I789</f>
        <v>178.46161355545851</v>
      </c>
      <c r="AQ789" s="47">
        <f ca="1">(($R789*'Parameter Inputs'!U$729)+($X789*'Parameter Inputs'!U$731)+($Y789*'Parameter Inputs'!U$753))*$I789</f>
        <v>186.30631996434187</v>
      </c>
      <c r="BG789" s="5" t="s">
        <v>135</v>
      </c>
      <c r="BH789" s="5">
        <v>0.56999999999999995</v>
      </c>
      <c r="BI789" s="5">
        <v>0.68</v>
      </c>
      <c r="BJ789" s="5">
        <f>(BH789+BI789)/2</f>
        <v>0.625</v>
      </c>
    </row>
    <row r="790" spans="4:131" ht="24" customHeight="1">
      <c r="D790" s="8" t="s">
        <v>650</v>
      </c>
      <c r="E790" s="49">
        <f ca="1">'Parameter Inputs'!K1159*'Parameter Inputs'!F647</f>
        <v>134.34508428198296</v>
      </c>
      <c r="F790" s="49">
        <f ca="1">E790/2</f>
        <v>67.172542140991482</v>
      </c>
      <c r="G790" s="50">
        <f ca="1">F790/I790</f>
        <v>67.172542140991482</v>
      </c>
      <c r="H790" s="49">
        <f ca="1">G790*1.1</f>
        <v>73.889796355090638</v>
      </c>
      <c r="I790" s="8">
        <v>1</v>
      </c>
      <c r="J790" s="8">
        <v>1</v>
      </c>
      <c r="K790" s="47">
        <f ca="1">((4*H790)/(J790*PI()))^(1/3)</f>
        <v>4.5481159638769029</v>
      </c>
      <c r="L790" s="47">
        <f ca="1">K790*J790</f>
        <v>4.5481159638769029</v>
      </c>
      <c r="M790" s="47">
        <f ca="1">(2*PI()*(K790/2)*L790)+(2*PI()*(K790/2)^2)</f>
        <v>97.47745696278011</v>
      </c>
      <c r="N790" s="47">
        <v>0.3</v>
      </c>
      <c r="O790" s="47">
        <f ca="1">K790+(N790*2)</f>
        <v>5.1481159638769025</v>
      </c>
      <c r="P790" s="47">
        <f ca="1">L790+N790</f>
        <v>4.8481159638769027</v>
      </c>
      <c r="Q790" s="8">
        <f ca="1">PI()*((O790/2)^2)*P790</f>
        <v>100.91588258339483</v>
      </c>
      <c r="R790" s="47">
        <f ca="1">Q790-H790</f>
        <v>27.026086228304194</v>
      </c>
      <c r="S790" s="47">
        <v>2400</v>
      </c>
      <c r="T790" s="47">
        <f t="shared" ca="1" si="2"/>
        <v>64862.606947930064</v>
      </c>
      <c r="U790" s="47">
        <v>0.05</v>
      </c>
      <c r="V790" s="47">
        <f ca="1">(PI()*(((O790+U790+U790)/2)^2)*(P790+U790))-Q790</f>
        <v>5.0401747906445848</v>
      </c>
      <c r="W790" s="47">
        <v>25</v>
      </c>
      <c r="X790" s="47">
        <f ca="1">W790*V790</f>
        <v>126.00436976611462</v>
      </c>
      <c r="Y790" s="8">
        <f t="shared" ca="1" si="3"/>
        <v>2162.0868982643356</v>
      </c>
      <c r="Z790" s="47">
        <f ca="1">(($R790*'Parameter Inputs'!F$729)+($X790*'Parameter Inputs'!F$731)+($Y790*'Parameter Inputs'!F$753))*$I790</f>
        <v>14280.932078546053</v>
      </c>
      <c r="AA790" s="47">
        <f ca="1">(($R790*'Parameter Inputs'!J$729)+($X790*'Parameter Inputs'!J$731)+($Y790*'Parameter Inputs'!J$753))*$I790</f>
        <v>2480.3033920104654</v>
      </c>
      <c r="AB790" s="47">
        <f ca="1">(($R790*'Parameter Inputs'!V$729)+($X790*'Parameter Inputs'!V$731)+($Y790*'Parameter Inputs'!V$753))*$I790</f>
        <v>79.485273607870738</v>
      </c>
      <c r="AC790" s="47">
        <f ca="1">(($R790*'Parameter Inputs'!Q$729)+($X790*'Parameter Inputs'!Q$731)+($Y790*'Parameter Inputs'!Q$753))*$I790</f>
        <v>1610.9819429701513</v>
      </c>
      <c r="AD790" s="47">
        <f ca="1">(($R790*'Parameter Inputs'!G$729)+($X790*'Parameter Inputs'!G$731)+($Y790*'Parameter Inputs'!G$753))*$I790</f>
        <v>502.71756134514987</v>
      </c>
      <c r="AE790" s="47">
        <f ca="1">(($R790*'Parameter Inputs'!H$729)+($X790*'Parameter Inputs'!H$731)+($Y790*'Parameter Inputs'!H$753))*$I790</f>
        <v>698.45671494458304</v>
      </c>
      <c r="AF790" s="47">
        <f ca="1">(($R790*'Parameter Inputs'!I$729)+($X790*'Parameter Inputs'!I$731)+($Y790*'Parameter Inputs'!I$753))*$I790</f>
        <v>38667.426702354715</v>
      </c>
      <c r="AG790" s="47">
        <f ca="1">(($R790*'Parameter Inputs'!M$729)+($X790*'Parameter Inputs'!M$731)+($Y790*'Parameter Inputs'!M$753))*$I790</f>
        <v>4102.8987951075205</v>
      </c>
      <c r="AH790" s="47">
        <f ca="1">(($R790*'Parameter Inputs'!N$729)+($X790*'Parameter Inputs'!N$731)+($Y790*'Parameter Inputs'!N$753))*$I790</f>
        <v>8333.9310090020226</v>
      </c>
      <c r="AI790" s="47">
        <f ca="1">(($R790*'Parameter Inputs'!E$729)+($X790*'Parameter Inputs'!E$731)+($Y790*'Parameter Inputs'!E$753))*$I790</f>
        <v>32.463345521807959</v>
      </c>
      <c r="AJ790" s="47">
        <f ca="1">(($R790*'Parameter Inputs'!K$729)+($X790*'Parameter Inputs'!K$731)+($Y790*'Parameter Inputs'!K$753))*$I790</f>
        <v>3.2848839454426826</v>
      </c>
      <c r="AK790" s="47">
        <f ca="1">(($R790*'Parameter Inputs'!L$729)+($X790*'Parameter Inputs'!L$731)+($Y790*'Parameter Inputs'!L$753))*$I790</f>
        <v>0.42625698603025985</v>
      </c>
      <c r="AL790" s="47">
        <f ca="1">(($R790*'Parameter Inputs'!O$729)+($X790*'Parameter Inputs'!O$731)+($Y790*'Parameter Inputs'!O$753))*$I790</f>
        <v>284.89086050861022</v>
      </c>
      <c r="AM790" s="47">
        <f ca="1">(($R790*'Parameter Inputs'!P$729)+($X790*'Parameter Inputs'!P$731)+($Y790*'Parameter Inputs'!P$753))*$I790</f>
        <v>274.99075663152246</v>
      </c>
      <c r="AN790" s="47">
        <f ca="1">(($R790*'Parameter Inputs'!R$729)+($X790*'Parameter Inputs'!R$731)+($Y790*'Parameter Inputs'!R$753))*$I790</f>
        <v>3.2733205910864221E-3</v>
      </c>
      <c r="AO790" s="47">
        <f ca="1">(($R790*'Parameter Inputs'!S$729)+($X790*'Parameter Inputs'!S$731)+($Y790*'Parameter Inputs'!S$753))*$I790</f>
        <v>16.40629618752784</v>
      </c>
      <c r="AP790" s="47">
        <f ca="1">(($R790*'Parameter Inputs'!T$729)+($X790*'Parameter Inputs'!T$731)+($Y790*'Parameter Inputs'!T$753))*$I790</f>
        <v>35.166909000508426</v>
      </c>
      <c r="AQ790" s="47">
        <f ca="1">(($R790*'Parameter Inputs'!U$729)+($X790*'Parameter Inputs'!U$731)+($Y790*'Parameter Inputs'!U$753))*$I790</f>
        <v>36.715757487280435</v>
      </c>
      <c r="BG790" s="5" t="s">
        <v>136</v>
      </c>
      <c r="BH790" s="5">
        <v>1.1000000000000001</v>
      </c>
      <c r="BI790" s="5">
        <v>1.4</v>
      </c>
      <c r="BJ790" s="5">
        <f>(BH790+BI790)/2</f>
        <v>1.25</v>
      </c>
    </row>
    <row r="791" spans="4:131">
      <c r="D791" s="8" t="s">
        <v>987</v>
      </c>
      <c r="E791" s="8"/>
      <c r="F791" s="8"/>
      <c r="G791" s="8"/>
      <c r="H791" s="49"/>
      <c r="I791" s="8"/>
      <c r="J791" s="8"/>
      <c r="K791" s="8"/>
      <c r="L791" s="8"/>
      <c r="M791" s="47"/>
      <c r="N791" s="8"/>
      <c r="O791" s="47"/>
      <c r="P791" s="8"/>
      <c r="Q791" s="8"/>
      <c r="R791" s="8"/>
      <c r="S791" s="8"/>
      <c r="T791" s="8"/>
      <c r="U791" s="47"/>
      <c r="V791" s="47"/>
      <c r="W791" s="47"/>
      <c r="X791" s="47"/>
      <c r="Y791" s="8"/>
      <c r="Z791" s="50">
        <f t="shared" ref="Z791:AQ791" ca="1" si="4">SUM(Z786:Z790)</f>
        <v>821496.1160887666</v>
      </c>
      <c r="AA791" s="50">
        <f t="shared" ca="1" si="4"/>
        <v>140540.68998664035</v>
      </c>
      <c r="AB791" s="50">
        <f t="shared" ca="1" si="4"/>
        <v>4375.8837609189422</v>
      </c>
      <c r="AC791" s="50">
        <f t="shared" ca="1" si="4"/>
        <v>93684.693296942613</v>
      </c>
      <c r="AD791" s="50">
        <f t="shared" ca="1" si="4"/>
        <v>28725.274973619216</v>
      </c>
      <c r="AE791" s="50">
        <f t="shared" ca="1" si="4"/>
        <v>39956.236618708943</v>
      </c>
      <c r="AF791" s="50">
        <f t="shared" ca="1" si="4"/>
        <v>2205389.4587935582</v>
      </c>
      <c r="AG791" s="50">
        <f t="shared" ca="1" si="4"/>
        <v>238396.57580366181</v>
      </c>
      <c r="AH791" s="50">
        <f t="shared" ca="1" si="4"/>
        <v>475398.98607571534</v>
      </c>
      <c r="AI791" s="50">
        <f t="shared" ca="1" si="4"/>
        <v>1854.4127419855768</v>
      </c>
      <c r="AJ791" s="50">
        <f t="shared" ca="1" si="4"/>
        <v>188.73021733084943</v>
      </c>
      <c r="AK791" s="50">
        <f t="shared" ca="1" si="4"/>
        <v>23.137029735119491</v>
      </c>
      <c r="AL791" s="50">
        <f t="shared" ca="1" si="4"/>
        <v>15934.465802124536</v>
      </c>
      <c r="AM791" s="50">
        <f t="shared" ca="1" si="4"/>
        <v>15887.112496156687</v>
      </c>
      <c r="AN791" s="50">
        <f t="shared" ca="1" si="4"/>
        <v>0.1622948905290561</v>
      </c>
      <c r="AO791" s="50">
        <f t="shared" ca="1" si="4"/>
        <v>941.32688412537073</v>
      </c>
      <c r="AP791" s="50">
        <f t="shared" ca="1" si="4"/>
        <v>2029.0926379281657</v>
      </c>
      <c r="AQ791" s="50">
        <f t="shared" ca="1" si="4"/>
        <v>2118.2483138121675</v>
      </c>
      <c r="BC791" s="5" t="s">
        <v>440</v>
      </c>
      <c r="BG791" s="5" t="s">
        <v>449</v>
      </c>
      <c r="BJ791" s="5">
        <f>BD809</f>
        <v>2.8432472876917321</v>
      </c>
    </row>
    <row r="792" spans="4:131" ht="30.75" customHeight="1">
      <c r="D792" s="13" t="s">
        <v>1002</v>
      </c>
      <c r="E792" s="51">
        <f ca="1">'Parameter Inputs'!L907</f>
        <v>25.283801978745334</v>
      </c>
      <c r="F792" s="51">
        <f ca="1">E792</f>
        <v>25.283801978745334</v>
      </c>
      <c r="G792" s="51">
        <f ca="1">F792*'Parameter Inputs'!F360</f>
        <v>379.25702968118003</v>
      </c>
      <c r="H792" s="51">
        <f ca="1">G792*1.1</f>
        <v>417.18273264929809</v>
      </c>
      <c r="I792" s="13">
        <v>1</v>
      </c>
      <c r="J792" s="13">
        <v>1</v>
      </c>
      <c r="K792" s="48">
        <f ca="1">((4*H792)/(J792*PI()))^(1/3)</f>
        <v>8.0986409983892624</v>
      </c>
      <c r="L792" s="48">
        <f ca="1">K792*J792</f>
        <v>8.0986409983892624</v>
      </c>
      <c r="M792" s="48">
        <f ca="1">(2*PI()*(K792/2)*L792)+(2*PI()*(K792/2)^2)</f>
        <v>309.0761025700026</v>
      </c>
      <c r="N792" s="48">
        <v>0.3</v>
      </c>
      <c r="O792" s="48">
        <f ca="1">K792+(N792*2)</f>
        <v>8.6986409983892621</v>
      </c>
      <c r="P792" s="48">
        <f ca="1">L792+N792+N792</f>
        <v>8.6986409983892639</v>
      </c>
      <c r="Q792" s="13">
        <f ca="1">PI()*((O792/2)^2)*P792</f>
        <v>516.94471981103493</v>
      </c>
      <c r="R792" s="48">
        <f ca="1">Q792-H792</f>
        <v>99.76198716173684</v>
      </c>
      <c r="S792" s="48">
        <v>2400</v>
      </c>
      <c r="T792" s="48">
        <f ca="1">S792*R792</f>
        <v>239428.76918816843</v>
      </c>
      <c r="U792" s="48">
        <v>0.05</v>
      </c>
      <c r="V792" s="48">
        <f ca="1">(PI()*(((O792+U792+U792)/2)^2)*(P792+U792))-Q792</f>
        <v>14.99408473733331</v>
      </c>
      <c r="W792" s="48">
        <v>25</v>
      </c>
      <c r="X792" s="48">
        <f ca="1">W792*V792</f>
        <v>374.85211843333275</v>
      </c>
      <c r="AE792" s="13"/>
      <c r="AF792" s="13"/>
      <c r="AG792" s="13"/>
      <c r="AH792" s="13"/>
      <c r="AQ792" s="36"/>
      <c r="BG792" s="5" t="s">
        <v>144</v>
      </c>
      <c r="BJ792" s="5" t="s">
        <v>148</v>
      </c>
    </row>
    <row r="793" spans="4:131" ht="21.75" customHeight="1">
      <c r="D793" s="8" t="s">
        <v>1257</v>
      </c>
      <c r="E793" s="49">
        <f ca="1">'Parameter Inputs'!L907</f>
        <v>25.283801978745334</v>
      </c>
      <c r="F793" s="49">
        <f ca="1">E793</f>
        <v>25.283801978745334</v>
      </c>
      <c r="G793" s="50">
        <f ca="1">F793/I793</f>
        <v>25.283801978745334</v>
      </c>
      <c r="H793" s="49">
        <f ca="1">G793*1.1</f>
        <v>27.812182176619871</v>
      </c>
      <c r="I793" s="8">
        <v>1</v>
      </c>
      <c r="J793" s="8">
        <v>1</v>
      </c>
      <c r="K793" s="47">
        <f ca="1">((4*H793)/(J793*PI()))^(1/3)</f>
        <v>3.2838380294557146</v>
      </c>
      <c r="L793" s="47">
        <f ca="1">K793*J793</f>
        <v>3.2838380294557146</v>
      </c>
      <c r="M793" s="47">
        <f ca="1">(2*PI()*(K793/2)*L793)+(2*PI()*(K793/2)^2)</f>
        <v>50.8164810696762</v>
      </c>
      <c r="N793" s="47">
        <v>0.3</v>
      </c>
      <c r="O793" s="47">
        <f ca="1">K793+(N793*2)</f>
        <v>3.8838380294557147</v>
      </c>
      <c r="P793" s="47">
        <f ca="1">L793+N793+N793</f>
        <v>3.8838380294557142</v>
      </c>
      <c r="Q793" s="8">
        <f ca="1">PI()*((O793/2)^2)*P793</f>
        <v>46.012222486624111</v>
      </c>
      <c r="R793" s="47">
        <f ca="1">Q793-H793</f>
        <v>18.20004031000424</v>
      </c>
      <c r="S793" s="47">
        <v>2400</v>
      </c>
      <c r="T793" s="47">
        <f ca="1">S793*R793</f>
        <v>43680.096744010174</v>
      </c>
      <c r="U793" s="47">
        <v>0.05</v>
      </c>
      <c r="V793" s="47">
        <f ca="1">(PI()*(((O793+U793+U793)/2)^2)*(P793+U793))-Q793</f>
        <v>3.0231752039647475</v>
      </c>
      <c r="W793" s="47">
        <v>25</v>
      </c>
      <c r="X793" s="47">
        <f ca="1">W793*V793</f>
        <v>75.57938009911868</v>
      </c>
      <c r="Y793" s="8"/>
      <c r="Z793" s="8"/>
      <c r="AA793" s="8"/>
      <c r="AB793" s="8"/>
      <c r="AC793" s="8"/>
      <c r="AD793" s="8"/>
      <c r="AE793" s="8"/>
      <c r="AF793" s="8"/>
      <c r="AG793" s="8"/>
      <c r="AH793" s="8"/>
      <c r="AI793" s="12"/>
      <c r="AJ793" s="12"/>
      <c r="AK793" s="12"/>
      <c r="AL793" s="12"/>
      <c r="AM793" s="12"/>
      <c r="AN793" s="12"/>
      <c r="AO793" s="12"/>
      <c r="AP793" s="12"/>
      <c r="AQ793" s="22"/>
      <c r="BC793" s="5" t="s">
        <v>442</v>
      </c>
    </row>
    <row r="794" spans="4:131">
      <c r="BC794" s="5" t="s">
        <v>443</v>
      </c>
      <c r="BD794" s="5">
        <v>1.2E-2</v>
      </c>
      <c r="BG794" s="5" t="s">
        <v>137</v>
      </c>
      <c r="BJ794" s="5">
        <v>2.85</v>
      </c>
    </row>
    <row r="795" spans="4:131">
      <c r="I795" s="5" t="s">
        <v>542</v>
      </c>
      <c r="BC795" s="5" t="s">
        <v>444</v>
      </c>
      <c r="BD795" s="5">
        <v>14.4</v>
      </c>
      <c r="BG795" s="5" t="s">
        <v>138</v>
      </c>
      <c r="BJ795" s="5">
        <v>1.7</v>
      </c>
    </row>
    <row r="796" spans="4:131" ht="27.75" customHeight="1">
      <c r="D796" s="74" t="s">
        <v>494</v>
      </c>
      <c r="E796" s="74" t="s">
        <v>803</v>
      </c>
      <c r="F796" s="74" t="s">
        <v>809</v>
      </c>
      <c r="G796" s="74" t="s">
        <v>803</v>
      </c>
      <c r="H796" s="74" t="s">
        <v>378</v>
      </c>
      <c r="I796" s="74" t="s">
        <v>945</v>
      </c>
      <c r="J796" s="74" t="s">
        <v>953</v>
      </c>
      <c r="K796" s="74" t="s">
        <v>954</v>
      </c>
      <c r="L796" s="74" t="s">
        <v>705</v>
      </c>
      <c r="M796" s="74" t="s">
        <v>895</v>
      </c>
      <c r="N796" s="74" t="s">
        <v>1010</v>
      </c>
      <c r="O796" s="74" t="s">
        <v>899</v>
      </c>
      <c r="P796" s="74" t="s">
        <v>900</v>
      </c>
      <c r="Q796" s="75" t="s">
        <v>1298</v>
      </c>
      <c r="R796" s="76" t="s">
        <v>1299</v>
      </c>
      <c r="S796" s="76" t="s">
        <v>1300</v>
      </c>
      <c r="T796" s="75" t="s">
        <v>1301</v>
      </c>
      <c r="U796" s="76" t="s">
        <v>1302</v>
      </c>
      <c r="V796" s="76" t="s">
        <v>1435</v>
      </c>
      <c r="W796" s="76" t="s">
        <v>1434</v>
      </c>
      <c r="X796" s="76" t="s">
        <v>1433</v>
      </c>
      <c r="Y796" s="76" t="s">
        <v>1432</v>
      </c>
      <c r="Z796" s="76" t="s">
        <v>1431</v>
      </c>
      <c r="AA796" s="76" t="s">
        <v>1430</v>
      </c>
      <c r="AB796" s="76" t="s">
        <v>1429</v>
      </c>
      <c r="AC796" s="76" t="s">
        <v>1428</v>
      </c>
      <c r="AD796" s="76" t="s">
        <v>1427</v>
      </c>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t="s">
        <v>445</v>
      </c>
      <c r="BD796" s="97">
        <f>BD794/BD795</f>
        <v>8.3333333333333328E-4</v>
      </c>
      <c r="BE796" s="97"/>
      <c r="BF796" s="97"/>
      <c r="BG796" s="5" t="s">
        <v>449</v>
      </c>
      <c r="BJ796" s="5">
        <f>BD809</f>
        <v>2.8432472876917321</v>
      </c>
      <c r="BK796" s="97"/>
      <c r="BL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row>
    <row r="797" spans="4:131" ht="29">
      <c r="D797" s="8" t="s">
        <v>708</v>
      </c>
      <c r="E797" s="50">
        <f ca="1">'Parameter Inputs'!H1080/22</f>
        <v>56.699593765212192</v>
      </c>
      <c r="F797" s="8" t="s">
        <v>810</v>
      </c>
      <c r="G797" s="8" t="s">
        <v>814</v>
      </c>
      <c r="H797" s="8">
        <v>6500</v>
      </c>
      <c r="I797" s="8">
        <v>5.52</v>
      </c>
      <c r="J797" s="8">
        <v>1.45</v>
      </c>
      <c r="K797" s="8">
        <v>1.7</v>
      </c>
      <c r="L797" s="52" t="s">
        <v>808</v>
      </c>
      <c r="M797" s="47">
        <f>H797*('Parameter Inputs'!F741+'Parameter Inputs'!F743)</f>
        <v>41543.450000000004</v>
      </c>
      <c r="N797" s="47">
        <f>H797*('Parameter Inputs'!J741+'Parameter Inputs'!J743)</f>
        <v>9850.8150000000005</v>
      </c>
      <c r="O797" s="47">
        <f>H797*('Parameter Inputs'!V741+'Parameter Inputs'!V743)</f>
        <v>299.90350000000001</v>
      </c>
      <c r="P797" s="47">
        <f>H797*('Parameter Inputs'!Q741+'Parameter Inputs'!Q743)</f>
        <v>4378.9849999999997</v>
      </c>
      <c r="Q797" s="47">
        <f>H797*('Parameter Inputs'!G741+'Parameter Inputs'!G743)</f>
        <v>3783.3249999999998</v>
      </c>
      <c r="R797" s="47">
        <f>H797*('Parameter Inputs'!H741+'Parameter Inputs'!H743)</f>
        <v>5407.2849999999999</v>
      </c>
      <c r="S797" s="47">
        <f>H797*('Parameter Inputs'!I741+'Parameter Inputs'!I743)</f>
        <v>1091166.7</v>
      </c>
      <c r="T797" s="47">
        <f>H797*('Parameter Inputs'!M741+'Parameter Inputs'!M743)</f>
        <v>59817.03</v>
      </c>
      <c r="U797" s="47">
        <f>H797*('Parameter Inputs'!N741+'Parameter Inputs'!N743)</f>
        <v>59893.599999999999</v>
      </c>
      <c r="V797" s="47">
        <f>H797*('Parameter Inputs'!E741+'Parameter Inputs'!E743)</f>
        <v>143.84955000000002</v>
      </c>
      <c r="W797" s="47">
        <f>H797*('Parameter Inputs'!K741+'Parameter Inputs'!K743)</f>
        <v>15.78382</v>
      </c>
      <c r="X797" s="47">
        <f>H797*('Parameter Inputs'!L741+'Parameter Inputs'!L743)</f>
        <v>2.51004</v>
      </c>
      <c r="Y797" s="47">
        <f>H797*('Parameter Inputs'!O741+'Parameter Inputs'!O743)</f>
        <v>4214.5999999999995</v>
      </c>
      <c r="Z797" s="47">
        <f>H797*('Parameter Inputs'!P741+'Parameter Inputs'!P743)</f>
        <v>1423.7794999999999</v>
      </c>
      <c r="AA797" s="47">
        <f>H797*('Parameter Inputs'!R741+'Parameter Inputs'!R743)</f>
        <v>1.0798840000000001E-2</v>
      </c>
      <c r="AB797" s="47">
        <f>H797*('Parameter Inputs'!S741+'Parameter Inputs'!S743)</f>
        <v>124.44770000000001</v>
      </c>
      <c r="AC797" s="47">
        <f>H797*('Parameter Inputs'!T741+'Parameter Inputs'!T743)</f>
        <v>95.575999999999993</v>
      </c>
      <c r="AD797" s="47">
        <f>H797*('Parameter Inputs'!U741+'Parameter Inputs'!U743)</f>
        <v>100.3639</v>
      </c>
      <c r="AE797" s="86"/>
      <c r="BC797" s="5" t="s">
        <v>446</v>
      </c>
      <c r="BG797" s="97" t="s">
        <v>144</v>
      </c>
      <c r="BH797" s="97"/>
      <c r="BI797" s="97"/>
      <c r="BJ797" s="97" t="s">
        <v>148</v>
      </c>
    </row>
    <row r="798" spans="4:131">
      <c r="D798" s="8" t="s">
        <v>655</v>
      </c>
      <c r="E798" s="50">
        <f ca="1">'Parameter Inputs'!K1129/24</f>
        <v>42.315236388828986</v>
      </c>
      <c r="F798" s="8" t="s">
        <v>812</v>
      </c>
      <c r="G798" s="8" t="s">
        <v>813</v>
      </c>
      <c r="H798" s="8">
        <v>5200</v>
      </c>
      <c r="I798" s="8">
        <v>5.0999999999999996</v>
      </c>
      <c r="J798" s="8">
        <v>1.25</v>
      </c>
      <c r="K798" s="8">
        <v>1.6</v>
      </c>
      <c r="L798" s="52" t="s">
        <v>808</v>
      </c>
      <c r="M798" s="47">
        <f>H798*('Parameter Inputs'!F741+'Parameter Inputs'!F743)</f>
        <v>33234.76</v>
      </c>
      <c r="N798" s="47">
        <f>H798*('Parameter Inputs'!J741+'Parameter Inputs'!J743)</f>
        <v>7880.652000000001</v>
      </c>
      <c r="O798" s="47">
        <f>H798*('Parameter Inputs'!V741+'Parameter Inputs'!V743)</f>
        <v>239.9228</v>
      </c>
      <c r="P798" s="47">
        <f>H798*('Parameter Inputs'!Q741+'Parameter Inputs'!Q743)</f>
        <v>3503.1880000000001</v>
      </c>
      <c r="Q798" s="47">
        <f>H798*('Parameter Inputs'!G741+'Parameter Inputs'!G743)</f>
        <v>3026.66</v>
      </c>
      <c r="R798" s="47">
        <f>H798*('Parameter Inputs'!H741+'Parameter Inputs'!H743)</f>
        <v>4325.8280000000004</v>
      </c>
      <c r="S798" s="47">
        <f>H798*('Parameter Inputs'!I741+'Parameter Inputs'!I743)</f>
        <v>872933.36</v>
      </c>
      <c r="T798" s="47">
        <f>H798*('Parameter Inputs'!M741+'Parameter Inputs'!M743)</f>
        <v>47853.623999999996</v>
      </c>
      <c r="U798" s="47">
        <f>H798*('Parameter Inputs'!N741+'Parameter Inputs'!N743)</f>
        <v>47914.879999999997</v>
      </c>
      <c r="V798" s="47">
        <f>H798*('Parameter Inputs'!E741+'Parameter Inputs'!E743)</f>
        <v>115.07964000000001</v>
      </c>
      <c r="W798" s="47">
        <f>H798*('Parameter Inputs'!K741+'Parameter Inputs'!K743)</f>
        <v>12.627056000000001</v>
      </c>
      <c r="X798" s="47">
        <f>H798*('Parameter Inputs'!L741+'Parameter Inputs'!L743)</f>
        <v>2.008032</v>
      </c>
      <c r="Y798" s="47">
        <f>H798*('Parameter Inputs'!O741+'Parameter Inputs'!O743)</f>
        <v>3371.68</v>
      </c>
      <c r="Z798" s="47">
        <f>H798*('Parameter Inputs'!P741+'Parameter Inputs'!P743)</f>
        <v>1139.0236</v>
      </c>
      <c r="AA798" s="47">
        <f>H798*('Parameter Inputs'!R741+'Parameter Inputs'!R743)</f>
        <v>8.6390720000000011E-3</v>
      </c>
      <c r="AB798" s="47">
        <f>H798*('Parameter Inputs'!S741+'Parameter Inputs'!S743)</f>
        <v>99.558160000000001</v>
      </c>
      <c r="AC798" s="47">
        <f>H798*('Parameter Inputs'!T741+'Parameter Inputs'!T743)</f>
        <v>76.460800000000006</v>
      </c>
      <c r="AD798" s="47">
        <f>H798*('Parameter Inputs'!U741+'Parameter Inputs'!U743)</f>
        <v>80.291120000000006</v>
      </c>
      <c r="AE798" s="86"/>
      <c r="AF798" s="91"/>
      <c r="BC798" s="5" t="s">
        <v>443</v>
      </c>
      <c r="BD798" s="5">
        <v>0.01</v>
      </c>
    </row>
    <row r="799" spans="4:131" ht="15" thickBot="1">
      <c r="D799" s="53" t="s">
        <v>673</v>
      </c>
      <c r="E799" s="54">
        <f ca="1">('Parameter Inputs'!K1165/10)</f>
        <v>6.7172542140991549</v>
      </c>
      <c r="F799" s="53" t="s">
        <v>961</v>
      </c>
      <c r="G799" s="53" t="s">
        <v>962</v>
      </c>
      <c r="H799" s="53">
        <v>2500</v>
      </c>
      <c r="I799" s="53">
        <v>3.7</v>
      </c>
      <c r="J799" s="53">
        <v>1.05</v>
      </c>
      <c r="K799" s="53">
        <v>1.2</v>
      </c>
      <c r="L799" s="55" t="s">
        <v>808</v>
      </c>
      <c r="M799" s="56">
        <f>H799*('Parameter Inputs'!F741+'Parameter Inputs'!F743)</f>
        <v>15978.25</v>
      </c>
      <c r="N799" s="56">
        <f>H799*('Parameter Inputs'!J741+'Parameter Inputs'!J743)</f>
        <v>3788.7750000000005</v>
      </c>
      <c r="O799" s="56">
        <f>H799*('Parameter Inputs'!V741+'Parameter Inputs'!V743)</f>
        <v>115.3475</v>
      </c>
      <c r="P799" s="56">
        <f>H799*('Parameter Inputs'!Q741+'Parameter Inputs'!Q743)</f>
        <v>1684.2250000000001</v>
      </c>
      <c r="Q799" s="56">
        <f>H799*('Parameter Inputs'!G741+'Parameter Inputs'!G743)</f>
        <v>1455.125</v>
      </c>
      <c r="R799" s="56">
        <f>H799*('Parameter Inputs'!H741+'Parameter Inputs'!H743)</f>
        <v>2079.7249999999999</v>
      </c>
      <c r="S799" s="56">
        <f>H799*('Parameter Inputs'!I741+'Parameter Inputs'!I743)</f>
        <v>419679.5</v>
      </c>
      <c r="T799" s="56">
        <f>H799*('Parameter Inputs'!M741+'Parameter Inputs'!M743)</f>
        <v>23006.55</v>
      </c>
      <c r="U799" s="56">
        <f>H799*('Parameter Inputs'!N741+'Parameter Inputs'!N743)</f>
        <v>23036</v>
      </c>
      <c r="V799" s="56">
        <f>H799*('Parameter Inputs'!E741+'Parameter Inputs'!E743)</f>
        <v>55.326750000000011</v>
      </c>
      <c r="W799" s="56">
        <f>H799*('Parameter Inputs'!K741+'Parameter Inputs'!K743)</f>
        <v>6.0707000000000004</v>
      </c>
      <c r="X799" s="56">
        <f>H799*('Parameter Inputs'!L741+'Parameter Inputs'!L743)</f>
        <v>0.96539999999999992</v>
      </c>
      <c r="Y799" s="56">
        <f>H799*('Parameter Inputs'!O741+'Parameter Inputs'!O743)</f>
        <v>1621</v>
      </c>
      <c r="Z799" s="56">
        <f>H799*('Parameter Inputs'!P741+'Parameter Inputs'!P743)</f>
        <v>547.60749999999996</v>
      </c>
      <c r="AA799" s="56">
        <f>H799*('Parameter Inputs'!R741+'Parameter Inputs'!R743)</f>
        <v>4.1533999999999998E-3</v>
      </c>
      <c r="AB799" s="56">
        <f>H799*('Parameter Inputs'!S741+'Parameter Inputs'!S743)</f>
        <v>47.8645</v>
      </c>
      <c r="AC799" s="56">
        <f>H799*('Parameter Inputs'!T741+'Parameter Inputs'!T743)</f>
        <v>36.76</v>
      </c>
      <c r="AD799" s="56">
        <f>H799*('Parameter Inputs'!U741+'Parameter Inputs'!U743)</f>
        <v>38.601500000000001</v>
      </c>
      <c r="AE799" s="86"/>
      <c r="BC799" s="5" t="s">
        <v>444</v>
      </c>
      <c r="BD799" s="5">
        <f>(0.022+0.035)/2</f>
        <v>2.8500000000000001E-2</v>
      </c>
      <c r="BE799" s="5" t="s">
        <v>447</v>
      </c>
      <c r="BG799" s="5" t="s">
        <v>139</v>
      </c>
      <c r="BH799" s="5">
        <v>1.8</v>
      </c>
      <c r="BI799" s="5">
        <v>2</v>
      </c>
      <c r="BJ799" s="5">
        <f>(BH799+BI799)/2</f>
        <v>1.9</v>
      </c>
    </row>
    <row r="800" spans="4:131" ht="15" thickTop="1">
      <c r="D800" s="15" t="s">
        <v>986</v>
      </c>
      <c r="E800" s="15"/>
      <c r="F800" s="15"/>
      <c r="G800" s="15"/>
      <c r="H800" s="15"/>
      <c r="I800" s="15"/>
      <c r="J800" s="15"/>
      <c r="K800" s="15"/>
      <c r="L800" s="15"/>
      <c r="M800" s="39">
        <f>SUM(M797:M799)</f>
        <v>90756.46</v>
      </c>
      <c r="N800" s="39">
        <f t="shared" ref="N800:AD800" si="5">SUM(N797:N799)</f>
        <v>21520.242000000002</v>
      </c>
      <c r="O800" s="39">
        <f t="shared" si="5"/>
        <v>655.17379999999991</v>
      </c>
      <c r="P800" s="39">
        <f t="shared" si="5"/>
        <v>9566.3979999999992</v>
      </c>
      <c r="Q800" s="39">
        <f t="shared" si="5"/>
        <v>8265.11</v>
      </c>
      <c r="R800" s="39">
        <f t="shared" si="5"/>
        <v>11812.838000000002</v>
      </c>
      <c r="S800" s="39">
        <f t="shared" si="5"/>
        <v>2383779.56</v>
      </c>
      <c r="T800" s="39">
        <f t="shared" si="5"/>
        <v>130677.204</v>
      </c>
      <c r="U800" s="39">
        <f t="shared" si="5"/>
        <v>130844.48</v>
      </c>
      <c r="V800" s="39">
        <f t="shared" si="5"/>
        <v>314.25594000000007</v>
      </c>
      <c r="W800" s="39">
        <f t="shared" si="5"/>
        <v>34.481576000000004</v>
      </c>
      <c r="X800" s="39">
        <f t="shared" si="5"/>
        <v>5.4834719999999999</v>
      </c>
      <c r="Y800" s="39">
        <f t="shared" si="5"/>
        <v>9207.2799999999988</v>
      </c>
      <c r="Z800" s="39">
        <f t="shared" si="5"/>
        <v>3110.4106000000002</v>
      </c>
      <c r="AA800" s="39">
        <f t="shared" si="5"/>
        <v>2.3591312000000003E-2</v>
      </c>
      <c r="AB800" s="39">
        <f t="shared" si="5"/>
        <v>271.87036000000001</v>
      </c>
      <c r="AC800" s="39">
        <f t="shared" si="5"/>
        <v>208.79679999999999</v>
      </c>
      <c r="AD800" s="39">
        <f t="shared" si="5"/>
        <v>219.25652000000002</v>
      </c>
      <c r="AE800" s="86"/>
      <c r="BG800" s="5" t="s">
        <v>140</v>
      </c>
      <c r="BH800" s="5">
        <v>0.9</v>
      </c>
      <c r="BI800" s="5">
        <v>1</v>
      </c>
      <c r="BJ800" s="5">
        <f>(BH800+BI800)/2</f>
        <v>0.95</v>
      </c>
    </row>
    <row r="801" spans="4:62">
      <c r="BG801" s="5" t="s">
        <v>141</v>
      </c>
      <c r="BH801" s="5">
        <v>4</v>
      </c>
      <c r="BI801" s="5">
        <v>5</v>
      </c>
      <c r="BJ801" s="5">
        <f>(BH801+BI801)/2</f>
        <v>4.5</v>
      </c>
    </row>
    <row r="802" spans="4:62" ht="378">
      <c r="D802" s="42" t="s">
        <v>656</v>
      </c>
      <c r="E802" s="42" t="s">
        <v>921</v>
      </c>
      <c r="F802" s="42" t="s">
        <v>809</v>
      </c>
      <c r="G802" s="42" t="s">
        <v>923</v>
      </c>
      <c r="H802" s="42" t="s">
        <v>378</v>
      </c>
      <c r="I802" s="42" t="s">
        <v>1029</v>
      </c>
      <c r="J802" s="42" t="s">
        <v>1030</v>
      </c>
      <c r="K802" s="42" t="s">
        <v>550</v>
      </c>
      <c r="L802" s="42" t="s">
        <v>825</v>
      </c>
      <c r="M802" s="42" t="s">
        <v>895</v>
      </c>
      <c r="N802" s="42" t="s">
        <v>1010</v>
      </c>
      <c r="O802" s="42" t="s">
        <v>899</v>
      </c>
      <c r="P802" s="42" t="s">
        <v>900</v>
      </c>
      <c r="Q802" s="16" t="s">
        <v>1298</v>
      </c>
      <c r="R802" s="77" t="s">
        <v>1299</v>
      </c>
      <c r="S802" s="77" t="s">
        <v>1300</v>
      </c>
      <c r="T802" s="16" t="s">
        <v>1301</v>
      </c>
      <c r="U802" s="77" t="s">
        <v>1302</v>
      </c>
      <c r="V802" s="76" t="s">
        <v>1435</v>
      </c>
      <c r="W802" s="76" t="s">
        <v>1434</v>
      </c>
      <c r="X802" s="76" t="s">
        <v>1433</v>
      </c>
      <c r="Y802" s="76" t="s">
        <v>1432</v>
      </c>
      <c r="Z802" s="76" t="s">
        <v>1431</v>
      </c>
      <c r="AA802" s="76" t="s">
        <v>1430</v>
      </c>
      <c r="AB802" s="76" t="s">
        <v>1429</v>
      </c>
      <c r="AC802" s="76" t="s">
        <v>1428</v>
      </c>
      <c r="AD802" s="76" t="s">
        <v>1427</v>
      </c>
      <c r="BC802" s="5" t="s">
        <v>445</v>
      </c>
      <c r="BD802" s="5">
        <f>BD798/BD799</f>
        <v>0.35087719298245612</v>
      </c>
      <c r="BG802" s="97" t="s">
        <v>142</v>
      </c>
      <c r="BH802" s="5">
        <v>1.2</v>
      </c>
      <c r="BI802" s="5">
        <v>1.6</v>
      </c>
      <c r="BJ802" s="5">
        <f>(BH802+BI802)/2</f>
        <v>1.4</v>
      </c>
    </row>
    <row r="803" spans="4:62">
      <c r="D803" s="8" t="s">
        <v>656</v>
      </c>
      <c r="E803" s="49">
        <f ca="1">'Parameter Inputs'!N1151/24</f>
        <v>534.78139948557248</v>
      </c>
      <c r="F803" s="8" t="s">
        <v>922</v>
      </c>
      <c r="G803" s="8">
        <v>675</v>
      </c>
      <c r="H803" s="8">
        <v>12300</v>
      </c>
      <c r="I803" s="8">
        <v>11.3</v>
      </c>
      <c r="J803" s="8">
        <v>3.06</v>
      </c>
      <c r="K803" s="8">
        <v>2.75</v>
      </c>
      <c r="L803" s="8" t="s">
        <v>924</v>
      </c>
      <c r="M803" s="8">
        <f>$H803*('Parameter Inputs'!F$741+'Parameter Inputs'!F$743)</f>
        <v>78612.990000000005</v>
      </c>
      <c r="N803" s="8">
        <f>$H803*('Parameter Inputs'!J$741+'Parameter Inputs'!J$743)</f>
        <v>18640.773000000001</v>
      </c>
      <c r="O803" s="8">
        <f>$H803*('Parameter Inputs'!V$741+'Parameter Inputs'!V$743)</f>
        <v>567.50969999999995</v>
      </c>
      <c r="P803" s="8">
        <f>$H803*('Parameter Inputs'!Q$741+'Parameter Inputs'!Q$743)</f>
        <v>8286.3870000000006</v>
      </c>
      <c r="Q803" s="8">
        <f>$H803*('Parameter Inputs'!G$741+'Parameter Inputs'!G$743)</f>
        <v>7159.2149999999992</v>
      </c>
      <c r="R803" s="8">
        <f>$H803*('Parameter Inputs'!H$741+'Parameter Inputs'!H$743)</f>
        <v>10232.246999999999</v>
      </c>
      <c r="S803" s="8">
        <f>$H803*('Parameter Inputs'!I$741+'Parameter Inputs'!I$743)</f>
        <v>2064823.1400000001</v>
      </c>
      <c r="T803" s="8">
        <f>H803*('Parameter Inputs'!M741+'Parameter Inputs'!M743)</f>
        <v>113192.226</v>
      </c>
      <c r="U803" s="8">
        <f>$H803*('Parameter Inputs'!N$741+'Parameter Inputs'!N$743)</f>
        <v>113337.12</v>
      </c>
      <c r="V803" s="8">
        <f>$H803*('Parameter Inputs'!E$741+'Parameter Inputs'!E$743)</f>
        <v>272.20761000000005</v>
      </c>
      <c r="W803" s="8">
        <f>$H803*('Parameter Inputs'!K$741+'Parameter Inputs'!K$743)</f>
        <v>29.867844000000002</v>
      </c>
      <c r="X803" s="8">
        <f>H803*('Parameter Inputs'!L741+'Parameter Inputs'!L743)</f>
        <v>4.7497679999999995</v>
      </c>
      <c r="Y803" s="8">
        <f>H803*('Parameter Inputs'!O741+'Parameter Inputs'!O743)</f>
        <v>7975.32</v>
      </c>
      <c r="Z803" s="8">
        <f>H803*('Parameter Inputs'!P741+'Parameter Inputs'!P743)</f>
        <v>2694.2289000000001</v>
      </c>
      <c r="AA803" s="8">
        <f>H803*('Parameter Inputs'!R741+'Parameter Inputs'!R743)</f>
        <v>2.0434727999999999E-2</v>
      </c>
      <c r="AB803" s="8">
        <f>H803*('Parameter Inputs'!S741+'Parameter Inputs'!S743)</f>
        <v>235.49334000000002</v>
      </c>
      <c r="AC803" s="8">
        <f>H803*('Parameter Inputs'!T741+'Parameter Inputs'!T743)</f>
        <v>180.85919999999999</v>
      </c>
      <c r="AD803" s="8">
        <f>H803*('Parameter Inputs'!U741+'Parameter Inputs'!U743)</f>
        <v>189.91938000000002</v>
      </c>
      <c r="BG803" s="5" t="s">
        <v>143</v>
      </c>
      <c r="BH803" s="5">
        <v>3</v>
      </c>
      <c r="BI803" s="5">
        <v>3.6</v>
      </c>
      <c r="BJ803" s="5">
        <f>(BH803+BI803)/2</f>
        <v>3.3</v>
      </c>
    </row>
    <row r="804" spans="4:62">
      <c r="E804" s="91"/>
      <c r="BG804" s="5" t="s">
        <v>449</v>
      </c>
      <c r="BJ804" s="5">
        <f>BD809</f>
        <v>2.8432472876917321</v>
      </c>
    </row>
    <row r="805" spans="4:62">
      <c r="D805" s="42" t="s">
        <v>1448</v>
      </c>
      <c r="E805" s="78" t="s">
        <v>1440</v>
      </c>
      <c r="F805" s="42" t="s">
        <v>1441</v>
      </c>
      <c r="G805" s="42" t="s">
        <v>1442</v>
      </c>
      <c r="H805" s="42" t="s">
        <v>1443</v>
      </c>
      <c r="I805" s="42" t="s">
        <v>1029</v>
      </c>
      <c r="J805" s="42" t="s">
        <v>1030</v>
      </c>
      <c r="K805" s="42" t="s">
        <v>550</v>
      </c>
      <c r="L805" s="42" t="s">
        <v>825</v>
      </c>
      <c r="M805" s="42" t="s">
        <v>895</v>
      </c>
      <c r="N805" s="42" t="s">
        <v>1010</v>
      </c>
      <c r="O805" s="42" t="s">
        <v>899</v>
      </c>
      <c r="P805" s="42" t="s">
        <v>900</v>
      </c>
      <c r="Q805" s="42" t="s">
        <v>1298</v>
      </c>
      <c r="R805" s="42" t="s">
        <v>1299</v>
      </c>
      <c r="S805" s="42" t="s">
        <v>1300</v>
      </c>
      <c r="T805" s="42" t="s">
        <v>1301</v>
      </c>
      <c r="U805" s="42" t="s">
        <v>1302</v>
      </c>
      <c r="V805" s="42" t="s">
        <v>1435</v>
      </c>
      <c r="W805" s="42" t="s">
        <v>1434</v>
      </c>
      <c r="X805" s="42" t="s">
        <v>1433</v>
      </c>
      <c r="Y805" s="42" t="s">
        <v>1432</v>
      </c>
      <c r="Z805" s="16" t="s">
        <v>1431</v>
      </c>
      <c r="AA805" s="16" t="s">
        <v>1430</v>
      </c>
      <c r="AB805" s="16" t="s">
        <v>1429</v>
      </c>
      <c r="AC805" s="16" t="s">
        <v>1428</v>
      </c>
      <c r="AD805" s="16" t="s">
        <v>1427</v>
      </c>
      <c r="BG805" s="5" t="s">
        <v>144</v>
      </c>
      <c r="BJ805" s="5" t="s">
        <v>148</v>
      </c>
    </row>
    <row r="806" spans="4:62">
      <c r="D806" s="8" t="s">
        <v>1439</v>
      </c>
      <c r="E806" s="49"/>
      <c r="F806" s="57" t="s">
        <v>1444</v>
      </c>
      <c r="G806" s="8" t="s">
        <v>1445</v>
      </c>
      <c r="H806" s="8">
        <v>4000</v>
      </c>
      <c r="I806" s="8">
        <v>16</v>
      </c>
      <c r="J806" s="8">
        <v>1.4</v>
      </c>
      <c r="K806" s="8">
        <v>1.9</v>
      </c>
      <c r="L806" s="8" t="s">
        <v>1446</v>
      </c>
      <c r="M806" s="8">
        <f>H806*('Parameter Inputs'!F741+'Parameter Inputs'!F743)</f>
        <v>25565.200000000001</v>
      </c>
      <c r="N806" s="8">
        <f>H806*('Parameter Inputs'!J741+'Parameter Inputs'!J743)</f>
        <v>6062.0400000000009</v>
      </c>
      <c r="O806" s="8">
        <f>H806*('Parameter Inputs'!V741+'Parameter Inputs'!V743)</f>
        <v>184.55600000000001</v>
      </c>
      <c r="P806" s="58">
        <f>H806*('Parameter Inputs'!Q741+'Parameter Inputs'!Q743)</f>
        <v>2694.76</v>
      </c>
      <c r="Q806" s="8">
        <f>H806*('Parameter Inputs'!G741+'Parameter Inputs'!G743)</f>
        <v>2328.1999999999998</v>
      </c>
      <c r="R806" s="8">
        <f>H806*('Parameter Inputs'!H741+'Parameter Inputs'!H743)</f>
        <v>3327.56</v>
      </c>
      <c r="S806" s="8">
        <f>H806*('Parameter Inputs'!I741+'Parameter Inputs'!I743)</f>
        <v>671487.20000000007</v>
      </c>
      <c r="T806" s="8">
        <f>H806*('Parameter Inputs'!M741+'Parameter Inputs'!M743)</f>
        <v>36810.479999999996</v>
      </c>
      <c r="U806" s="8">
        <f>H806*('Parameter Inputs'!N741+'Parameter Inputs'!N743)</f>
        <v>36857.599999999999</v>
      </c>
      <c r="V806" s="8">
        <f>H806*('Parameter Inputs'!E$741+'Parameter Inputs'!E743)</f>
        <v>88.522800000000018</v>
      </c>
      <c r="W806" s="8">
        <f>H806*('Parameter Inputs'!K741+'Parameter Inputs'!K743)</f>
        <v>9.71312</v>
      </c>
      <c r="X806" s="8">
        <f>H806*('Parameter Inputs'!L741+'Parameter Inputs'!L743)</f>
        <v>1.5446399999999998</v>
      </c>
      <c r="Y806" s="8">
        <f>H806*('Parameter Inputs'!O741+'Parameter Inputs'!O743)</f>
        <v>2593.6</v>
      </c>
      <c r="Z806" s="17">
        <f>H806*('Parameter Inputs'!P741+'Parameter Inputs'!P743)</f>
        <v>876.17199999999991</v>
      </c>
      <c r="AA806" s="8">
        <f>H806*('Parameter Inputs'!R741+'Parameter Inputs'!R743)</f>
        <v>6.6454399999999999E-3</v>
      </c>
      <c r="AB806" s="8">
        <f>H806*('Parameter Inputs'!S741+'Parameter Inputs'!S743)</f>
        <v>76.583200000000005</v>
      </c>
      <c r="AC806" s="8">
        <f>H806*('Parameter Inputs'!T741+'Parameter Inputs'!T743)</f>
        <v>58.816000000000003</v>
      </c>
      <c r="AD806" s="8">
        <f>H806*('Parameter Inputs'!U741+'Parameter Inputs'!U743)</f>
        <v>61.7624</v>
      </c>
    </row>
    <row r="807" spans="4:62">
      <c r="E807" s="91"/>
    </row>
    <row r="809" spans="4:62">
      <c r="BC809" s="5" t="s">
        <v>448</v>
      </c>
      <c r="BD809" s="5">
        <f>1/(BD796+BD802)</f>
        <v>2.8432472876917321</v>
      </c>
    </row>
    <row r="810" spans="4:62" ht="21.75" customHeight="1">
      <c r="D810" s="42" t="s">
        <v>1024</v>
      </c>
      <c r="E810" s="42" t="s">
        <v>1025</v>
      </c>
      <c r="F810" s="42" t="s">
        <v>1026</v>
      </c>
      <c r="G810" s="42" t="s">
        <v>820</v>
      </c>
      <c r="H810" s="42" t="s">
        <v>821</v>
      </c>
      <c r="I810" s="42" t="s">
        <v>822</v>
      </c>
      <c r="J810" s="42" t="s">
        <v>823</v>
      </c>
      <c r="K810" s="42" t="s">
        <v>811</v>
      </c>
      <c r="L810" s="42" t="s">
        <v>825</v>
      </c>
      <c r="M810" s="42" t="s">
        <v>895</v>
      </c>
      <c r="N810" s="42" t="s">
        <v>1447</v>
      </c>
      <c r="O810" s="42" t="s">
        <v>899</v>
      </c>
      <c r="P810" s="42" t="s">
        <v>900</v>
      </c>
      <c r="Q810" s="16" t="s">
        <v>1298</v>
      </c>
      <c r="R810" s="77" t="s">
        <v>1299</v>
      </c>
      <c r="S810" s="77" t="s">
        <v>1300</v>
      </c>
      <c r="T810" s="16" t="s">
        <v>1301</v>
      </c>
      <c r="U810" s="77" t="s">
        <v>1302</v>
      </c>
      <c r="V810" s="76" t="s">
        <v>1435</v>
      </c>
      <c r="W810" s="76" t="s">
        <v>1434</v>
      </c>
      <c r="X810" s="76" t="s">
        <v>1433</v>
      </c>
      <c r="Y810" s="76" t="s">
        <v>1432</v>
      </c>
      <c r="Z810" s="76" t="s">
        <v>1431</v>
      </c>
      <c r="AA810" s="76" t="s">
        <v>1430</v>
      </c>
      <c r="AB810" s="76" t="s">
        <v>1429</v>
      </c>
      <c r="AC810" s="76" t="s">
        <v>1428</v>
      </c>
      <c r="AD810" s="76" t="s">
        <v>1427</v>
      </c>
      <c r="AM810" s="8"/>
      <c r="AN810" s="8">
        <v>4000</v>
      </c>
    </row>
    <row r="811" spans="4:62">
      <c r="D811" s="8" t="s">
        <v>827</v>
      </c>
      <c r="E811" s="8">
        <f ca="1">('Parameter Inputs'!N1172)/10</f>
        <v>6617.4962717655699</v>
      </c>
      <c r="F811" s="8" t="s">
        <v>815</v>
      </c>
      <c r="G811" s="8">
        <v>4347.8260869565211</v>
      </c>
      <c r="H811" s="8">
        <v>2</v>
      </c>
      <c r="I811" s="8">
        <f>G811*H811</f>
        <v>8695.6521739130421</v>
      </c>
      <c r="J811" s="8">
        <f>19.6*1000</f>
        <v>19600</v>
      </c>
      <c r="K811" s="8" t="s">
        <v>824</v>
      </c>
      <c r="L811" s="52" t="s">
        <v>826</v>
      </c>
      <c r="M811" s="47">
        <f>J811*('Parameter Inputs'!F741+'Parameter Inputs'!F743)*H811</f>
        <v>250538.96000000002</v>
      </c>
      <c r="N811" s="47">
        <f>J811*('Parameter Inputs'!J741+'Parameter Inputs'!J743)*H811</f>
        <v>59407.992000000006</v>
      </c>
      <c r="O811" s="47">
        <f>J811*('Parameter Inputs'!V741+'Parameter Inputs'!V743)*H811</f>
        <v>1808.6487999999999</v>
      </c>
      <c r="P811" s="47">
        <f>J811*('Parameter Inputs'!Q741+'Parameter Inputs'!Q743)*$H$811</f>
        <v>26408.648000000001</v>
      </c>
      <c r="Q811" s="47">
        <f>J811*('Parameter Inputs'!G741+'Parameter Inputs'!G743)*H811</f>
        <v>22816.359999999997</v>
      </c>
      <c r="R811" s="47">
        <f>J811*('Parameter Inputs'!H741+'Parameter Inputs'!H743)*H811</f>
        <v>32610.088</v>
      </c>
      <c r="S811" s="47">
        <f>J811*('Parameter Inputs'!I741+'Parameter Inputs'!I743)*H811</f>
        <v>6580574.5600000005</v>
      </c>
      <c r="T811" s="47">
        <f>J811*('Parameter Inputs'!M741+'Parameter Inputs'!M743)*H811</f>
        <v>360742.70399999997</v>
      </c>
      <c r="U811" s="47">
        <f>J811*('Parameter Inputs'!N741+'Parameter Inputs'!N743)*H811</f>
        <v>361204.47999999998</v>
      </c>
      <c r="V811" s="47">
        <f>J811*('Parameter Inputs'!E741+'Parameter Inputs'!E743)*H811</f>
        <v>867.52344000000016</v>
      </c>
      <c r="W811" s="47">
        <f>J811*('Parameter Inputs'!K741+'Parameter Inputs'!K743)*H811</f>
        <v>95.188575999999998</v>
      </c>
      <c r="X811" s="47">
        <f>J811*('Parameter Inputs'!L741+'Parameter Inputs'!L743)*H811</f>
        <v>15.137471999999999</v>
      </c>
      <c r="Y811" s="47">
        <f>J811*('Parameter Inputs'!O741+'Parameter Inputs'!O743)*H811</f>
        <v>25417.279999999999</v>
      </c>
      <c r="Z811" s="47">
        <f>J811*('Parameter Inputs'!P741+'Parameter Inputs'!P743)*H811</f>
        <v>8586.4856</v>
      </c>
      <c r="AA811" s="47">
        <f>J811*('Parameter Inputs'!R741+'Parameter Inputs'!R743)*H811</f>
        <v>6.5125312000000005E-2</v>
      </c>
      <c r="AB811" s="47">
        <f>J811*('Parameter Inputs'!S741+'Parameter Inputs'!S743)*H811</f>
        <v>750.51535999999999</v>
      </c>
      <c r="AC811" s="47">
        <f>J811*('Parameter Inputs'!T741+'Parameter Inputs'!T743)*H811</f>
        <v>576.39679999999998</v>
      </c>
      <c r="AD811" s="47">
        <f>J811*('Parameter Inputs'!U741+'Parameter Inputs'!U743)*H811</f>
        <v>605.27152000000001</v>
      </c>
      <c r="AM811" s="8" t="s">
        <v>816</v>
      </c>
      <c r="AN811" s="8">
        <v>2.8</v>
      </c>
    </row>
    <row r="812" spans="4:62" ht="15" thickBot="1">
      <c r="D812" s="53" t="s">
        <v>828</v>
      </c>
      <c r="E812" s="53">
        <f ca="1">('Parameter Inputs'!T1161)/10</f>
        <v>211.31138306713083</v>
      </c>
      <c r="F812" s="53" t="s">
        <v>829</v>
      </c>
      <c r="G812" s="53">
        <v>869.56521739130426</v>
      </c>
      <c r="H812" s="53">
        <v>1</v>
      </c>
      <c r="I812" s="53">
        <f>G812*H812</f>
        <v>869.56521739130426</v>
      </c>
      <c r="J812" s="53">
        <v>9500</v>
      </c>
      <c r="K812" s="53" t="s">
        <v>830</v>
      </c>
      <c r="L812" s="59" t="s">
        <v>826</v>
      </c>
      <c r="M812" s="56">
        <f>J812*('Parameter Inputs'!F741+'Parameter Inputs'!F743)</f>
        <v>60717.35</v>
      </c>
      <c r="N812" s="56">
        <f>J812*('Parameter Inputs'!J741+'Parameter Inputs'!J743)</f>
        <v>14397.345000000001</v>
      </c>
      <c r="O812" s="56">
        <f>J812*('Parameter Inputs'!V741+'Parameter Inputs'!V743)</f>
        <v>438.32049999999998</v>
      </c>
      <c r="P812" s="56">
        <f>J812*('Parameter Inputs'!Q741+'Parameter Inputs'!Q743)</f>
        <v>6400.0550000000003</v>
      </c>
      <c r="Q812" s="56">
        <f>J812*('Parameter Inputs'!G741+'Parameter Inputs'!G743)</f>
        <v>5529.4749999999995</v>
      </c>
      <c r="R812" s="56">
        <f>J812*('Parameter Inputs'!H741+'Parameter Inputs'!H743)</f>
        <v>7902.9549999999999</v>
      </c>
      <c r="S812" s="56">
        <f>J812*('Parameter Inputs'!I741+'Parameter Inputs'!I743)</f>
        <v>1594782.1</v>
      </c>
      <c r="T812" s="56">
        <f>J812*('Parameter Inputs'!M741+'Parameter Inputs'!M743)</f>
        <v>87424.89</v>
      </c>
      <c r="U812" s="56">
        <f>J812*('Parameter Inputs'!N741+'Parameter Inputs'!N743)</f>
        <v>87536.799999999988</v>
      </c>
      <c r="V812" s="56">
        <f>J812*('Parameter Inputs'!E741+'Parameter Inputs'!E743)</f>
        <v>210.24165000000002</v>
      </c>
      <c r="W812" s="56">
        <f>J812*('Parameter Inputs'!K741+'Parameter Inputs'!K743)</f>
        <v>23.068660000000001</v>
      </c>
      <c r="X812" s="56">
        <f>J812*('Parameter Inputs'!L741+'Parameter Inputs'!L743)</f>
        <v>3.6685199999999996</v>
      </c>
      <c r="Y812" s="56">
        <f>J812*('Parameter Inputs'!O741+'Parameter Inputs'!O743)</f>
        <v>6159.8</v>
      </c>
      <c r="Z812" s="56">
        <f>J812*('Parameter Inputs'!P741+'Parameter Inputs'!P743)</f>
        <v>2080.9085</v>
      </c>
      <c r="AA812" s="56">
        <f>J812*('Parameter Inputs'!R741+'Parameter Inputs'!R743)</f>
        <v>1.5782919999999999E-2</v>
      </c>
      <c r="AB812" s="56">
        <f>$J812*('Parameter Inputs'!S$741+'Parameter Inputs'!S$743)</f>
        <v>181.88510000000002</v>
      </c>
      <c r="AC812" s="56">
        <f>J812*('Parameter Inputs'!T741+'Parameter Inputs'!T743)</f>
        <v>139.68799999999999</v>
      </c>
      <c r="AD812" s="56">
        <f>J812*('Parameter Inputs'!U741+'Parameter Inputs'!U743)</f>
        <v>146.6857</v>
      </c>
      <c r="AM812" s="8" t="s">
        <v>817</v>
      </c>
      <c r="AN812" s="8">
        <v>3.22</v>
      </c>
    </row>
    <row r="813" spans="4:62" ht="15" thickTop="1">
      <c r="D813" s="15" t="s">
        <v>986</v>
      </c>
      <c r="E813" s="15"/>
      <c r="F813" s="15"/>
      <c r="G813" s="15"/>
      <c r="H813" s="15"/>
      <c r="I813" s="15"/>
      <c r="J813" s="15"/>
      <c r="K813" s="15"/>
      <c r="L813" s="15"/>
      <c r="M813" s="39">
        <f>SUM(M811:M812)</f>
        <v>311256.31</v>
      </c>
      <c r="N813" s="39">
        <f t="shared" ref="N813:AD813" si="6">SUM(N811:N812)</f>
        <v>73805.337</v>
      </c>
      <c r="O813" s="39">
        <f t="shared" si="6"/>
        <v>2246.9692999999997</v>
      </c>
      <c r="P813" s="39">
        <f t="shared" si="6"/>
        <v>32808.703000000001</v>
      </c>
      <c r="Q813" s="39">
        <f t="shared" si="6"/>
        <v>28345.834999999995</v>
      </c>
      <c r="R813" s="39">
        <f t="shared" si="6"/>
        <v>40513.042999999998</v>
      </c>
      <c r="S813" s="39">
        <f t="shared" si="6"/>
        <v>8175356.6600000001</v>
      </c>
      <c r="T813" s="39">
        <f t="shared" si="6"/>
        <v>448167.59399999998</v>
      </c>
      <c r="U813" s="39">
        <f t="shared" si="6"/>
        <v>448741.27999999997</v>
      </c>
      <c r="V813" s="39">
        <f t="shared" si="6"/>
        <v>1077.7650900000001</v>
      </c>
      <c r="W813" s="39">
        <f t="shared" si="6"/>
        <v>118.25723600000001</v>
      </c>
      <c r="X813" s="39">
        <f t="shared" si="6"/>
        <v>18.805992</v>
      </c>
      <c r="Y813" s="39">
        <f t="shared" si="6"/>
        <v>31577.079999999998</v>
      </c>
      <c r="Z813" s="39">
        <f t="shared" si="6"/>
        <v>10667.3941</v>
      </c>
      <c r="AA813" s="39">
        <f t="shared" si="6"/>
        <v>8.0908231999999997E-2</v>
      </c>
      <c r="AB813" s="39">
        <f t="shared" si="6"/>
        <v>932.40046000000007</v>
      </c>
      <c r="AC813" s="39">
        <f t="shared" si="6"/>
        <v>716.08479999999997</v>
      </c>
      <c r="AD813" s="39">
        <f t="shared" si="6"/>
        <v>751.95722000000001</v>
      </c>
      <c r="AM813" s="8" t="s">
        <v>818</v>
      </c>
      <c r="AN813" s="8">
        <f>AN812/AN811</f>
        <v>1.1500000000000001</v>
      </c>
    </row>
    <row r="814" spans="4:62">
      <c r="AM814" s="8" t="s">
        <v>819</v>
      </c>
      <c r="AN814" s="8">
        <f>AN810/AN813</f>
        <v>3478.260869565217</v>
      </c>
    </row>
    <row r="815" spans="4:62" ht="23.25" customHeight="1">
      <c r="D815" s="42" t="s">
        <v>831</v>
      </c>
      <c r="E815" s="42" t="s">
        <v>832</v>
      </c>
      <c r="F815" s="42" t="s">
        <v>833</v>
      </c>
      <c r="G815" s="42" t="s">
        <v>834</v>
      </c>
      <c r="H815" s="42" t="s">
        <v>837</v>
      </c>
      <c r="I815" s="42" t="s">
        <v>901</v>
      </c>
      <c r="J815" s="42" t="s">
        <v>705</v>
      </c>
      <c r="K815" s="42" t="s">
        <v>895</v>
      </c>
      <c r="L815" s="42" t="s">
        <v>1010</v>
      </c>
      <c r="M815" s="42" t="s">
        <v>899</v>
      </c>
      <c r="N815" s="42" t="s">
        <v>900</v>
      </c>
      <c r="O815" s="16" t="s">
        <v>1298</v>
      </c>
      <c r="P815" s="77" t="s">
        <v>1299</v>
      </c>
      <c r="Q815" s="77" t="s">
        <v>1300</v>
      </c>
      <c r="R815" s="16" t="s">
        <v>1301</v>
      </c>
      <c r="S815" s="77" t="s">
        <v>1302</v>
      </c>
      <c r="T815" s="76" t="s">
        <v>1435</v>
      </c>
      <c r="U815" s="76" t="s">
        <v>1434</v>
      </c>
      <c r="V815" s="76" t="s">
        <v>1433</v>
      </c>
      <c r="W815" s="76" t="s">
        <v>1432</v>
      </c>
      <c r="X815" s="76" t="s">
        <v>1431</v>
      </c>
      <c r="Y815" s="76" t="s">
        <v>1430</v>
      </c>
      <c r="Z815" s="76" t="s">
        <v>1429</v>
      </c>
      <c r="AA815" s="76" t="s">
        <v>1428</v>
      </c>
      <c r="AB815" s="76" t="s">
        <v>1427</v>
      </c>
    </row>
    <row r="816" spans="4:62">
      <c r="D816" s="8" t="s">
        <v>915</v>
      </c>
      <c r="E816" s="49">
        <f ca="1">E797</f>
        <v>56.699593765212192</v>
      </c>
      <c r="F816" s="8">
        <f t="shared" ref="F816:F826" ca="1" si="7">(E816*1000)/60</f>
        <v>944.99322942020319</v>
      </c>
      <c r="G816" s="8" t="s">
        <v>836</v>
      </c>
      <c r="H816" s="8">
        <v>2200</v>
      </c>
      <c r="I816" s="8">
        <v>21</v>
      </c>
      <c r="J816" s="60" t="s">
        <v>1034</v>
      </c>
      <c r="K816" s="47">
        <f>$I816*('Parameter Inputs'!F$741+'Parameter Inputs'!F$743)</f>
        <v>134.21729999999999</v>
      </c>
      <c r="L816" s="47">
        <f>$I816*('Parameter Inputs'!J$741+'Parameter Inputs'!J$743)</f>
        <v>31.825710000000004</v>
      </c>
      <c r="M816" s="47">
        <f>$I816*('Parameter Inputs'!V$741+'Parameter Inputs'!V$743)</f>
        <v>0.96891899999999997</v>
      </c>
      <c r="N816" s="47">
        <f>$I816*('Parameter Inputs'!Q$741+'Parameter Inputs'!Q$743)</f>
        <v>14.147489999999999</v>
      </c>
      <c r="O816" s="47">
        <f>$I816*('Parameter Inputs'!G$741+'Parameter Inputs'!G$743)</f>
        <v>12.223049999999999</v>
      </c>
      <c r="P816" s="47">
        <f>$I816*('Parameter Inputs'!H$741+'Parameter Inputs'!H$743)</f>
        <v>17.46969</v>
      </c>
      <c r="Q816" s="47">
        <f>$I816*('Parameter Inputs'!I$741+'Parameter Inputs'!I$743)</f>
        <v>3525.3078</v>
      </c>
      <c r="R816" s="47">
        <f>$I816*('Parameter Inputs'!M$741+'Parameter Inputs'!M$743)</f>
        <v>193.25502</v>
      </c>
      <c r="S816" s="47">
        <f>$I816*('Parameter Inputs'!N$741+'Parameter Inputs'!N$743)</f>
        <v>193.50239999999999</v>
      </c>
      <c r="T816" s="47">
        <f>I816*('Parameter Inputs'!E741+'Parameter Inputs'!E743)</f>
        <v>0.46474470000000007</v>
      </c>
      <c r="U816" s="47">
        <f>$I816*('Parameter Inputs'!K$741+'Parameter Inputs'!K$743)</f>
        <v>5.0993880000000005E-2</v>
      </c>
      <c r="V816" s="47">
        <f>$I816*('Parameter Inputs'!L$741+'Parameter Inputs'!L$743)</f>
        <v>8.1093599999999995E-3</v>
      </c>
      <c r="W816" s="47">
        <f>$I816*('Parameter Inputs'!O$741+'Parameter Inputs'!O$743)</f>
        <v>13.616399999999999</v>
      </c>
      <c r="X816" s="47">
        <f>I816*('Parameter Inputs'!P741+'Parameter Inputs'!P743)</f>
        <v>4.5999029999999994</v>
      </c>
      <c r="Y816" s="47">
        <f>I816*('Parameter Inputs'!R741+'Parameter Inputs'!R743)</f>
        <v>3.4888560000000001E-5</v>
      </c>
      <c r="Z816" s="47">
        <f>I816*('Parameter Inputs'!S741+'Parameter Inputs'!S743)</f>
        <v>0.40206180000000002</v>
      </c>
      <c r="AA816" s="47">
        <f>I816*('Parameter Inputs'!T741+'Parameter Inputs'!T743)</f>
        <v>0.308784</v>
      </c>
      <c r="AB816" s="47">
        <f>I816*('Parameter Inputs'!U741+'Parameter Inputs'!U743)</f>
        <v>0.3242526</v>
      </c>
    </row>
    <row r="817" spans="4:36">
      <c r="D817" s="8" t="s">
        <v>916</v>
      </c>
      <c r="E817" s="49">
        <f ca="1">E797</f>
        <v>56.699593765212192</v>
      </c>
      <c r="F817" s="8">
        <f t="shared" ca="1" si="7"/>
        <v>944.99322942020319</v>
      </c>
      <c r="G817" s="8" t="s">
        <v>836</v>
      </c>
      <c r="H817" s="8">
        <v>2200</v>
      </c>
      <c r="I817" s="8">
        <v>21</v>
      </c>
      <c r="J817" s="60" t="s">
        <v>1034</v>
      </c>
      <c r="K817" s="47">
        <f>$I817*('Parameter Inputs'!F$741+'Parameter Inputs'!F$743)</f>
        <v>134.21729999999999</v>
      </c>
      <c r="L817" s="47">
        <f>$I817*('Parameter Inputs'!J$741+'Parameter Inputs'!J$743)</f>
        <v>31.825710000000004</v>
      </c>
      <c r="M817" s="47">
        <f>$I817*('Parameter Inputs'!V$741+'Parameter Inputs'!V$743)</f>
        <v>0.96891899999999997</v>
      </c>
      <c r="N817" s="47">
        <f>$I817*('Parameter Inputs'!Q$741+'Parameter Inputs'!Q$743)</f>
        <v>14.147489999999999</v>
      </c>
      <c r="O817" s="47">
        <f>$I817*('Parameter Inputs'!G$741+'Parameter Inputs'!G$743)</f>
        <v>12.223049999999999</v>
      </c>
      <c r="P817" s="47">
        <f>$I817*('Parameter Inputs'!H$741+'Parameter Inputs'!H$743)</f>
        <v>17.46969</v>
      </c>
      <c r="Q817" s="47">
        <f>$I817*('Parameter Inputs'!I$741+'Parameter Inputs'!I$743)</f>
        <v>3525.3078</v>
      </c>
      <c r="R817" s="47">
        <f>$I817*('Parameter Inputs'!M$741+'Parameter Inputs'!M$743)</f>
        <v>193.25502</v>
      </c>
      <c r="S817" s="47">
        <f>$I817*('Parameter Inputs'!N$741+'Parameter Inputs'!N$743)</f>
        <v>193.50239999999999</v>
      </c>
      <c r="T817" s="47">
        <f>$I817*('Parameter Inputs'!E$741+'Parameter Inputs'!E$743)</f>
        <v>0.46474470000000007</v>
      </c>
      <c r="U817" s="47">
        <f>$I817*('Parameter Inputs'!K$741+'Parameter Inputs'!K$743)</f>
        <v>5.0993880000000005E-2</v>
      </c>
      <c r="V817" s="47">
        <f>$I817*('Parameter Inputs'!L$741+'Parameter Inputs'!L$743)</f>
        <v>8.1093599999999995E-3</v>
      </c>
      <c r="W817" s="47">
        <f>$I817*('Parameter Inputs'!O$741+'Parameter Inputs'!O$743)</f>
        <v>13.616399999999999</v>
      </c>
      <c r="X817" s="47">
        <f>I817*('Parameter Inputs'!P741+'Parameter Inputs'!P743)</f>
        <v>4.5999029999999994</v>
      </c>
      <c r="Y817" s="47">
        <f>I817*('Parameter Inputs'!R741+'Parameter Inputs'!R743)</f>
        <v>3.4888560000000001E-5</v>
      </c>
      <c r="Z817" s="47">
        <f>I817*('Parameter Inputs'!S741+'Parameter Inputs'!S743)</f>
        <v>0.40206180000000002</v>
      </c>
      <c r="AA817" s="47">
        <f>I817*('Parameter Inputs'!T741+'Parameter Inputs'!T743)</f>
        <v>0.308784</v>
      </c>
      <c r="AB817" s="47">
        <f>I817*('Parameter Inputs'!U741+'Parameter Inputs'!U743)</f>
        <v>0.3242526</v>
      </c>
    </row>
    <row r="818" spans="4:36">
      <c r="D818" s="8" t="s">
        <v>917</v>
      </c>
      <c r="E818" s="49">
        <f ca="1">('Parameter Inputs'!E1108/2)/'Parameter Inputs'!F492</f>
        <v>178.5637976453867</v>
      </c>
      <c r="F818" s="8">
        <f t="shared" ca="1" si="7"/>
        <v>2976.0632940897781</v>
      </c>
      <c r="G818" s="8" t="s">
        <v>973</v>
      </c>
      <c r="H818" s="8">
        <v>9333</v>
      </c>
      <c r="I818" s="8">
        <v>37.200000000000003</v>
      </c>
      <c r="J818" s="61" t="s">
        <v>971</v>
      </c>
      <c r="K818" s="47">
        <f>$I818*('Parameter Inputs'!F$741+'Parameter Inputs'!F$743)</f>
        <v>237.75636000000003</v>
      </c>
      <c r="L818" s="47">
        <f>$I818*('Parameter Inputs'!J$741+'Parameter Inputs'!J$743)</f>
        <v>56.376972000000009</v>
      </c>
      <c r="M818" s="47">
        <f>$I818*('Parameter Inputs'!V$741+'Parameter Inputs'!V$743)</f>
        <v>1.7163708000000002</v>
      </c>
      <c r="N818" s="47">
        <f>$I818*('Parameter Inputs'!Q$741+'Parameter Inputs'!Q$743)</f>
        <v>25.061268000000002</v>
      </c>
      <c r="O818" s="47">
        <f>$I818*('Parameter Inputs'!G$741+'Parameter Inputs'!G$743)</f>
        <v>21.652259999999998</v>
      </c>
      <c r="P818" s="47">
        <f>$I818*('Parameter Inputs'!H$741+'Parameter Inputs'!H$743)</f>
        <v>30.946308000000002</v>
      </c>
      <c r="Q818" s="47">
        <f>$I818*('Parameter Inputs'!I$741+'Parameter Inputs'!I$743)</f>
        <v>6244.8309600000011</v>
      </c>
      <c r="R818" s="47">
        <f>$I818*('Parameter Inputs'!M$741+'Parameter Inputs'!M$743)</f>
        <v>342.33746400000001</v>
      </c>
      <c r="S818" s="47">
        <f>$I818*('Parameter Inputs'!N$741+'Parameter Inputs'!N$743)</f>
        <v>342.77568000000002</v>
      </c>
      <c r="T818" s="47">
        <f>$I818*('Parameter Inputs'!E$741+'Parameter Inputs'!E$743)</f>
        <v>0.82326204000000014</v>
      </c>
      <c r="U818" s="47">
        <f>$I818*('Parameter Inputs'!K$741+'Parameter Inputs'!K$743)</f>
        <v>9.0332016000000015E-2</v>
      </c>
      <c r="V818" s="47">
        <f>$I818*('Parameter Inputs'!L$741+'Parameter Inputs'!L$743)</f>
        <v>1.4365152000000001E-2</v>
      </c>
      <c r="W818" s="47">
        <f>$I818*('Parameter Inputs'!O$741+'Parameter Inputs'!O$743)</f>
        <v>24.120480000000001</v>
      </c>
      <c r="X818" s="47">
        <f>I818*('Parameter Inputs'!P741+'Parameter Inputs'!P743)</f>
        <v>8.1483995999999994</v>
      </c>
      <c r="Y818" s="47">
        <f>I818*('Parameter Inputs'!R741+'Parameter Inputs'!R743)</f>
        <v>6.1802592000000008E-5</v>
      </c>
      <c r="Z818" s="47">
        <f>I818*('Parameter Inputs'!S741+'Parameter Inputs'!S743)</f>
        <v>0.71222376000000009</v>
      </c>
      <c r="AA818" s="47">
        <f>I818*('Parameter Inputs'!T741+'Parameter Inputs'!T743)</f>
        <v>0.54698880000000005</v>
      </c>
      <c r="AB818" s="47">
        <f>I818*('Parameter Inputs'!U741+'Parameter Inputs'!U743)</f>
        <v>0.57439032000000001</v>
      </c>
    </row>
    <row r="819" spans="4:36">
      <c r="D819" s="8" t="s">
        <v>904</v>
      </c>
      <c r="E819" s="49">
        <f ca="1">('Parameter Inputs'!H1117/2)/'Parameter Inputs'!F492</f>
        <v>152.35228621072702</v>
      </c>
      <c r="F819" s="8">
        <f t="shared" ca="1" si="7"/>
        <v>2539.2047701787833</v>
      </c>
      <c r="G819" s="8" t="s">
        <v>973</v>
      </c>
      <c r="H819" s="8">
        <v>9333</v>
      </c>
      <c r="I819" s="8">
        <v>37.200000000000003</v>
      </c>
      <c r="J819" s="8" t="s">
        <v>908</v>
      </c>
      <c r="K819" s="47">
        <f>$I819*('Parameter Inputs'!F$741+'Parameter Inputs'!F$743)</f>
        <v>237.75636000000003</v>
      </c>
      <c r="L819" s="47">
        <f>$I819*('Parameter Inputs'!J$741+'Parameter Inputs'!J$743)</f>
        <v>56.376972000000009</v>
      </c>
      <c r="M819" s="47">
        <f>$I819*('Parameter Inputs'!V$741+'Parameter Inputs'!V$743)</f>
        <v>1.7163708000000002</v>
      </c>
      <c r="N819" s="47">
        <f>$I819*('Parameter Inputs'!Q$741+'Parameter Inputs'!Q$743)</f>
        <v>25.061268000000002</v>
      </c>
      <c r="O819" s="47">
        <f>$I819*('Parameter Inputs'!G$741+'Parameter Inputs'!G$743)</f>
        <v>21.652259999999998</v>
      </c>
      <c r="P819" s="47">
        <f>$I819*('Parameter Inputs'!H$741+'Parameter Inputs'!H$743)</f>
        <v>30.946308000000002</v>
      </c>
      <c r="Q819" s="47">
        <f>$I819*('Parameter Inputs'!I$741+'Parameter Inputs'!I$743)</f>
        <v>6244.8309600000011</v>
      </c>
      <c r="R819" s="47">
        <f>$I819*('Parameter Inputs'!M$741+'Parameter Inputs'!M$743)</f>
        <v>342.33746400000001</v>
      </c>
      <c r="S819" s="47">
        <f>$I819*('Parameter Inputs'!N$741+'Parameter Inputs'!N$743)</f>
        <v>342.77568000000002</v>
      </c>
      <c r="T819" s="47">
        <f>$I819*('Parameter Inputs'!E$741+'Parameter Inputs'!E$743)</f>
        <v>0.82326204000000014</v>
      </c>
      <c r="U819" s="47">
        <f>$I819*('Parameter Inputs'!K$741+'Parameter Inputs'!K$743)</f>
        <v>9.0332016000000015E-2</v>
      </c>
      <c r="V819" s="47">
        <f>$I819*('Parameter Inputs'!L$741+'Parameter Inputs'!L$743)</f>
        <v>1.4365152000000001E-2</v>
      </c>
      <c r="W819" s="47">
        <f>$I819*('Parameter Inputs'!O$741+'Parameter Inputs'!O$743)</f>
        <v>24.120480000000001</v>
      </c>
      <c r="X819" s="47">
        <f>I819*('Parameter Inputs'!P741+'Parameter Inputs'!P743)</f>
        <v>8.1483995999999994</v>
      </c>
      <c r="Y819" s="47">
        <f>I819*('Parameter Inputs'!R741+'Parameter Inputs'!R743)</f>
        <v>6.1802592000000008E-5</v>
      </c>
      <c r="Z819" s="47">
        <f>I819*('Parameter Inputs'!S741+'Parameter Inputs'!S743)</f>
        <v>0.71222376000000009</v>
      </c>
      <c r="AA819" s="47">
        <f>I819*('Parameter Inputs'!T741+'Parameter Inputs'!T743)</f>
        <v>0.54698880000000005</v>
      </c>
      <c r="AB819" s="47">
        <f>I819*('Parameter Inputs'!U741+'Parameter Inputs'!U743)</f>
        <v>0.57439032000000001</v>
      </c>
    </row>
    <row r="820" spans="4:36">
      <c r="D820" s="8" t="s">
        <v>918</v>
      </c>
      <c r="E820" s="49">
        <f ca="1">('Parameter Inputs'!K1114/2)/0.5</f>
        <v>30.530046935683806</v>
      </c>
      <c r="F820" s="8">
        <f t="shared" ca="1" si="7"/>
        <v>508.83411559473012</v>
      </c>
      <c r="G820" s="8" t="s">
        <v>907</v>
      </c>
      <c r="H820" s="8">
        <v>600</v>
      </c>
      <c r="I820" s="8">
        <v>8</v>
      </c>
      <c r="J820" s="60" t="s">
        <v>1028</v>
      </c>
      <c r="K820" s="47">
        <f>$I820*('Parameter Inputs'!F$741+'Parameter Inputs'!F$743)</f>
        <v>51.130400000000002</v>
      </c>
      <c r="L820" s="47">
        <f>$I820*('Parameter Inputs'!J$741+'Parameter Inputs'!J$743)</f>
        <v>12.124080000000001</v>
      </c>
      <c r="M820" s="47">
        <f>$I820*('Parameter Inputs'!V$741+'Parameter Inputs'!V$743)</f>
        <v>0.369112</v>
      </c>
      <c r="N820" s="47">
        <f>$I820*('Parameter Inputs'!Q$741+'Parameter Inputs'!Q$743)</f>
        <v>5.3895200000000001</v>
      </c>
      <c r="O820" s="47">
        <f>$I820*('Parameter Inputs'!G$741+'Parameter Inputs'!G$743)</f>
        <v>4.6563999999999997</v>
      </c>
      <c r="P820" s="47">
        <f>$I820*('Parameter Inputs'!H$741+'Parameter Inputs'!H$743)</f>
        <v>6.6551200000000001</v>
      </c>
      <c r="Q820" s="47">
        <f>$I820*('Parameter Inputs'!I$741+'Parameter Inputs'!I$743)</f>
        <v>1342.9744000000001</v>
      </c>
      <c r="R820" s="47">
        <f>$I820*('Parameter Inputs'!M$741+'Parameter Inputs'!M$743)</f>
        <v>73.620959999999997</v>
      </c>
      <c r="S820" s="47">
        <f>$I820*('Parameter Inputs'!N$741+'Parameter Inputs'!N$743)</f>
        <v>73.715199999999996</v>
      </c>
      <c r="T820" s="47">
        <f>$I820*('Parameter Inputs'!E$741+'Parameter Inputs'!E$743)</f>
        <v>0.17704560000000003</v>
      </c>
      <c r="U820" s="47">
        <f>$I820*('Parameter Inputs'!K$741+'Parameter Inputs'!K$743)</f>
        <v>1.9426240000000001E-2</v>
      </c>
      <c r="V820" s="47">
        <f>$I820*('Parameter Inputs'!L$741+'Parameter Inputs'!L$743)</f>
        <v>3.0892799999999998E-3</v>
      </c>
      <c r="W820" s="47">
        <f>$I820*('Parameter Inputs'!O$741+'Parameter Inputs'!O$743)</f>
        <v>5.1871999999999998</v>
      </c>
      <c r="X820" s="47">
        <f>I820*('Parameter Inputs'!P741+'Parameter Inputs'!P743)</f>
        <v>1.7523439999999999</v>
      </c>
      <c r="Y820" s="47">
        <f>I820*('Parameter Inputs'!R741+'Parameter Inputs'!R743)</f>
        <v>1.329088E-5</v>
      </c>
      <c r="Z820" s="47">
        <f>I820*('Parameter Inputs'!S741+'Parameter Inputs'!S743)</f>
        <v>0.15316640000000001</v>
      </c>
      <c r="AA820" s="47">
        <f>I820*('Parameter Inputs'!T741+'Parameter Inputs'!T743)</f>
        <v>0.117632</v>
      </c>
      <c r="AB820" s="47">
        <f>I820*('Parameter Inputs'!U741+'Parameter Inputs'!U743)</f>
        <v>0.1235248</v>
      </c>
    </row>
    <row r="821" spans="4:36">
      <c r="D821" s="8" t="s">
        <v>919</v>
      </c>
      <c r="E821" s="49">
        <f ca="1">'Parameter Inputs'!K1123/3</f>
        <v>54.462857858657394</v>
      </c>
      <c r="F821" s="8">
        <f t="shared" ca="1" si="7"/>
        <v>907.7142976442899</v>
      </c>
      <c r="G821" s="8" t="s">
        <v>836</v>
      </c>
      <c r="H821" s="8">
        <v>2200</v>
      </c>
      <c r="I821" s="8">
        <v>21</v>
      </c>
      <c r="J821" s="60" t="s">
        <v>1034</v>
      </c>
      <c r="K821" s="47">
        <f>$I821*('Parameter Inputs'!F$741+'Parameter Inputs'!F$743)</f>
        <v>134.21729999999999</v>
      </c>
      <c r="L821" s="47">
        <f>$I821*('Parameter Inputs'!J$741+'Parameter Inputs'!J$743)</f>
        <v>31.825710000000004</v>
      </c>
      <c r="M821" s="47">
        <f>$I821*('Parameter Inputs'!V$741+'Parameter Inputs'!V$743)</f>
        <v>0.96891899999999997</v>
      </c>
      <c r="N821" s="47">
        <f>$I821*('Parameter Inputs'!Q$741+'Parameter Inputs'!Q$743)</f>
        <v>14.147489999999999</v>
      </c>
      <c r="O821" s="47">
        <f>$I821*('Parameter Inputs'!G$741+'Parameter Inputs'!G$743)</f>
        <v>12.223049999999999</v>
      </c>
      <c r="P821" s="47">
        <f>$I821*('Parameter Inputs'!H$741+'Parameter Inputs'!H$743)</f>
        <v>17.46969</v>
      </c>
      <c r="Q821" s="47">
        <f>$I821*('Parameter Inputs'!I$741+'Parameter Inputs'!I$743)</f>
        <v>3525.3078</v>
      </c>
      <c r="R821" s="47">
        <f>$I821*('Parameter Inputs'!M$741+'Parameter Inputs'!M$743)</f>
        <v>193.25502</v>
      </c>
      <c r="S821" s="47">
        <f>$I821*('Parameter Inputs'!N$741+'Parameter Inputs'!N$743)</f>
        <v>193.50239999999999</v>
      </c>
      <c r="T821" s="47">
        <f>$I821*('Parameter Inputs'!E$741+'Parameter Inputs'!E$743)</f>
        <v>0.46474470000000007</v>
      </c>
      <c r="U821" s="47">
        <f>$I821*('Parameter Inputs'!K$741+'Parameter Inputs'!K$743)</f>
        <v>5.0993880000000005E-2</v>
      </c>
      <c r="V821" s="47">
        <f>$I821*('Parameter Inputs'!L$741+'Parameter Inputs'!L$743)</f>
        <v>8.1093599999999995E-3</v>
      </c>
      <c r="W821" s="47">
        <f>$I821*('Parameter Inputs'!O$741+'Parameter Inputs'!O$743)</f>
        <v>13.616399999999999</v>
      </c>
      <c r="X821" s="47">
        <f>I821*('Parameter Inputs'!P741+'Parameter Inputs'!P743)</f>
        <v>4.5999029999999994</v>
      </c>
      <c r="Y821" s="47">
        <f>I821*('Parameter Inputs'!R741+'Parameter Inputs'!R743)</f>
        <v>3.4888560000000001E-5</v>
      </c>
      <c r="Z821" s="47">
        <f>I821*('Parameter Inputs'!S741+'Parameter Inputs'!S743)</f>
        <v>0.40206180000000002</v>
      </c>
      <c r="AA821" s="47">
        <f>I821*('Parameter Inputs'!T741+'Parameter Inputs'!T743)</f>
        <v>0.308784</v>
      </c>
      <c r="AB821" s="47">
        <f>I821*('Parameter Inputs'!U741+'Parameter Inputs'!U743)</f>
        <v>0.3242526</v>
      </c>
    </row>
    <row r="822" spans="4:36">
      <c r="D822" s="8" t="s">
        <v>920</v>
      </c>
      <c r="E822" s="49">
        <f ca="1">E798</f>
        <v>42.315236388828986</v>
      </c>
      <c r="F822" s="8">
        <f t="shared" ca="1" si="7"/>
        <v>705.25393981381637</v>
      </c>
      <c r="G822" s="8" t="s">
        <v>836</v>
      </c>
      <c r="H822" s="8">
        <v>2200</v>
      </c>
      <c r="I822" s="8">
        <v>21</v>
      </c>
      <c r="J822" s="60" t="s">
        <v>1034</v>
      </c>
      <c r="K822" s="47">
        <f>$I822*('Parameter Inputs'!F$741+'Parameter Inputs'!F$743)</f>
        <v>134.21729999999999</v>
      </c>
      <c r="L822" s="47">
        <f>$I822*('Parameter Inputs'!J$741+'Parameter Inputs'!J$743)</f>
        <v>31.825710000000004</v>
      </c>
      <c r="M822" s="47">
        <f>$I822*('Parameter Inputs'!V$741+'Parameter Inputs'!V$743)</f>
        <v>0.96891899999999997</v>
      </c>
      <c r="N822" s="47">
        <f>$I822*('Parameter Inputs'!Q$741+'Parameter Inputs'!Q$743)</f>
        <v>14.147489999999999</v>
      </c>
      <c r="O822" s="47">
        <f>$I822*('Parameter Inputs'!G$741+'Parameter Inputs'!G$743)</f>
        <v>12.223049999999999</v>
      </c>
      <c r="P822" s="47">
        <f>$I822*('Parameter Inputs'!H$741+'Parameter Inputs'!H$743)</f>
        <v>17.46969</v>
      </c>
      <c r="Q822" s="47">
        <f>$I822*('Parameter Inputs'!I$741+'Parameter Inputs'!I$743)</f>
        <v>3525.3078</v>
      </c>
      <c r="R822" s="47">
        <f>$I822*('Parameter Inputs'!M$741+'Parameter Inputs'!M$743)</f>
        <v>193.25502</v>
      </c>
      <c r="S822" s="47">
        <f>$I822*('Parameter Inputs'!N$741+'Parameter Inputs'!N$743)</f>
        <v>193.50239999999999</v>
      </c>
      <c r="T822" s="47">
        <f>$I822*('Parameter Inputs'!E$741+'Parameter Inputs'!E$743)</f>
        <v>0.46474470000000007</v>
      </c>
      <c r="U822" s="47">
        <f>$I822*('Parameter Inputs'!K$741+'Parameter Inputs'!K$743)</f>
        <v>5.0993880000000005E-2</v>
      </c>
      <c r="V822" s="47">
        <f>$I822*('Parameter Inputs'!L$741+'Parameter Inputs'!L$743)</f>
        <v>8.1093599999999995E-3</v>
      </c>
      <c r="W822" s="47">
        <f>$I822*('Parameter Inputs'!O$741+'Parameter Inputs'!O$743)</f>
        <v>13.616399999999999</v>
      </c>
      <c r="X822" s="47">
        <f>I822*('Parameter Inputs'!P741+'Parameter Inputs'!P743)</f>
        <v>4.5999029999999994</v>
      </c>
      <c r="Y822" s="47">
        <f>I822*('Parameter Inputs'!R741+'Parameter Inputs'!R743)</f>
        <v>3.4888560000000001E-5</v>
      </c>
      <c r="Z822" s="47">
        <f>I822*('Parameter Inputs'!S741+'Parameter Inputs'!S743)</f>
        <v>0.40206180000000002</v>
      </c>
      <c r="AA822" s="47">
        <f>I822*('Parameter Inputs'!T741+'Parameter Inputs'!T743)</f>
        <v>0.308784</v>
      </c>
      <c r="AB822" s="47">
        <f>I822*('Parameter Inputs'!U741+'Parameter Inputs'!U743)</f>
        <v>0.3242526</v>
      </c>
    </row>
    <row r="823" spans="4:36">
      <c r="D823" s="8" t="s">
        <v>956</v>
      </c>
      <c r="E823" s="49">
        <f ca="1">E798</f>
        <v>42.315236388828986</v>
      </c>
      <c r="F823" s="8">
        <f t="shared" ca="1" si="7"/>
        <v>705.25393981381637</v>
      </c>
      <c r="G823" s="8" t="s">
        <v>836</v>
      </c>
      <c r="H823" s="8">
        <v>1200</v>
      </c>
      <c r="I823" s="8">
        <v>37.200000000000003</v>
      </c>
      <c r="J823" s="52" t="s">
        <v>835</v>
      </c>
      <c r="K823" s="47">
        <f>$I823*('Parameter Inputs'!F$741+'Parameter Inputs'!F$743)</f>
        <v>237.75636000000003</v>
      </c>
      <c r="L823" s="47">
        <f>$I823*('Parameter Inputs'!J$741+'Parameter Inputs'!J$743)</f>
        <v>56.376972000000009</v>
      </c>
      <c r="M823" s="47">
        <f>$I823*('Parameter Inputs'!V$741+'Parameter Inputs'!V$743)</f>
        <v>1.7163708000000002</v>
      </c>
      <c r="N823" s="47">
        <f>$I823*('Parameter Inputs'!Q$741+'Parameter Inputs'!Q$743)</f>
        <v>25.061268000000002</v>
      </c>
      <c r="O823" s="47">
        <f>$I823*('Parameter Inputs'!G$741+'Parameter Inputs'!G$743)</f>
        <v>21.652259999999998</v>
      </c>
      <c r="P823" s="47">
        <f>$I823*('Parameter Inputs'!H$741+'Parameter Inputs'!H$743)</f>
        <v>30.946308000000002</v>
      </c>
      <c r="Q823" s="47">
        <f>$I823*('Parameter Inputs'!I$741+'Parameter Inputs'!I$743)</f>
        <v>6244.8309600000011</v>
      </c>
      <c r="R823" s="47">
        <f>$I823*('Parameter Inputs'!M$741+'Parameter Inputs'!M$743)</f>
        <v>342.33746400000001</v>
      </c>
      <c r="S823" s="47">
        <f>$I823*('Parameter Inputs'!N$741+'Parameter Inputs'!N$743)</f>
        <v>342.77568000000002</v>
      </c>
      <c r="T823" s="47">
        <f>$I823*('Parameter Inputs'!E$741+'Parameter Inputs'!E$743)</f>
        <v>0.82326204000000014</v>
      </c>
      <c r="U823" s="47">
        <f>$I823*('Parameter Inputs'!K$741+'Parameter Inputs'!K$743)</f>
        <v>9.0332016000000015E-2</v>
      </c>
      <c r="V823" s="47">
        <f>$I823*('Parameter Inputs'!L$741+'Parameter Inputs'!L$743)</f>
        <v>1.4365152000000001E-2</v>
      </c>
      <c r="W823" s="47">
        <f>$I823*('Parameter Inputs'!O$741+'Parameter Inputs'!O$743)</f>
        <v>24.120480000000001</v>
      </c>
      <c r="X823" s="47">
        <f>I823*('Parameter Inputs'!P741+'Parameter Inputs'!P743)</f>
        <v>8.1483995999999994</v>
      </c>
      <c r="Y823" s="47">
        <f>I823*('Parameter Inputs'!R741+'Parameter Inputs'!R743)</f>
        <v>6.1802592000000008E-5</v>
      </c>
      <c r="Z823" s="47">
        <f>I823*('Parameter Inputs'!S741+'Parameter Inputs'!S743)</f>
        <v>0.71222376000000009</v>
      </c>
      <c r="AA823" s="47">
        <f>I823*('Parameter Inputs'!T741+'Parameter Inputs'!T743)</f>
        <v>0.54698880000000005</v>
      </c>
      <c r="AB823" s="47">
        <f>I823*('Parameter Inputs'!U741+'Parameter Inputs'!U743)</f>
        <v>0.57439032000000001</v>
      </c>
    </row>
    <row r="824" spans="4:36">
      <c r="D824" s="8" t="s">
        <v>930</v>
      </c>
      <c r="E824" s="49">
        <f ca="1">E799</f>
        <v>6.7172542140991549</v>
      </c>
      <c r="F824" s="8">
        <f t="shared" ca="1" si="7"/>
        <v>111.95423690165258</v>
      </c>
      <c r="G824" s="8" t="s">
        <v>959</v>
      </c>
      <c r="H824" s="8">
        <v>280</v>
      </c>
      <c r="I824" s="8">
        <v>30</v>
      </c>
      <c r="J824" s="61" t="s">
        <v>960</v>
      </c>
      <c r="K824" s="47">
        <f>$I824*('Parameter Inputs'!F$741+'Parameter Inputs'!F$743)</f>
        <v>191.739</v>
      </c>
      <c r="L824" s="47">
        <f>$I824*('Parameter Inputs'!J$741+'Parameter Inputs'!J$743)</f>
        <v>45.465300000000006</v>
      </c>
      <c r="M824" s="47">
        <f>$I824*('Parameter Inputs'!V$741+'Parameter Inputs'!V$743)</f>
        <v>1.3841699999999999</v>
      </c>
      <c r="N824" s="47">
        <f>$I824*('Parameter Inputs'!Q$741+'Parameter Inputs'!Q$743)</f>
        <v>20.210699999999999</v>
      </c>
      <c r="O824" s="47">
        <f>$I824*('Parameter Inputs'!G$741+'Parameter Inputs'!G$743)</f>
        <v>17.461499999999997</v>
      </c>
      <c r="P824" s="47">
        <f>$I824*('Parameter Inputs'!H$741+'Parameter Inputs'!H$743)</f>
        <v>24.956700000000001</v>
      </c>
      <c r="Q824" s="47">
        <f>$I824*('Parameter Inputs'!I$741+'Parameter Inputs'!I$743)</f>
        <v>5036.1540000000005</v>
      </c>
      <c r="R824" s="47">
        <f>$I824*('Parameter Inputs'!M$741+'Parameter Inputs'!M$743)</f>
        <v>276.07859999999999</v>
      </c>
      <c r="S824" s="47">
        <f>$I824*('Parameter Inputs'!N$741+'Parameter Inputs'!N$743)</f>
        <v>276.43199999999996</v>
      </c>
      <c r="T824" s="47">
        <f>$I824*('Parameter Inputs'!E$741+'Parameter Inputs'!E$743)</f>
        <v>0.66392100000000009</v>
      </c>
      <c r="U824" s="47">
        <f>$I824*('Parameter Inputs'!K$741+'Parameter Inputs'!K$743)</f>
        <v>7.2848400000000008E-2</v>
      </c>
      <c r="V824" s="47">
        <f>$I824*('Parameter Inputs'!L$741+'Parameter Inputs'!L$743)</f>
        <v>1.1584799999999999E-2</v>
      </c>
      <c r="W824" s="47">
        <f>$I824*('Parameter Inputs'!O$741+'Parameter Inputs'!O$743)</f>
        <v>19.451999999999998</v>
      </c>
      <c r="X824" s="47">
        <f>I824*('Parameter Inputs'!P741+'Parameter Inputs'!P743)</f>
        <v>6.5712899999999994</v>
      </c>
      <c r="Y824" s="47">
        <f>I824*('Parameter Inputs'!R741+'Parameter Inputs'!R743)</f>
        <v>4.9840799999999999E-5</v>
      </c>
      <c r="Z824" s="47">
        <f>I824*('Parameter Inputs'!S741+'Parameter Inputs'!S743)</f>
        <v>0.57437400000000005</v>
      </c>
      <c r="AA824" s="47">
        <f>I824*('Parameter Inputs'!T741+'Parameter Inputs'!T743)</f>
        <v>0.44112000000000001</v>
      </c>
      <c r="AB824" s="47">
        <f>I824*('Parameter Inputs'!U741+'Parameter Inputs'!U743)</f>
        <v>0.46321800000000002</v>
      </c>
    </row>
    <row r="825" spans="4:36">
      <c r="D825" s="8" t="s">
        <v>957</v>
      </c>
      <c r="E825" s="49">
        <f ca="1">'Parameter Inputs'!K1165/10</f>
        <v>6.7172542140991549</v>
      </c>
      <c r="F825" s="8">
        <f t="shared" ca="1" si="7"/>
        <v>111.95423690165258</v>
      </c>
      <c r="G825" s="8" t="s">
        <v>959</v>
      </c>
      <c r="H825" s="8">
        <v>280</v>
      </c>
      <c r="I825" s="8">
        <v>30</v>
      </c>
      <c r="J825" s="61" t="s">
        <v>960</v>
      </c>
      <c r="K825" s="47">
        <f>$I825*('Parameter Inputs'!F$741+'Parameter Inputs'!F$743)</f>
        <v>191.739</v>
      </c>
      <c r="L825" s="47">
        <f>$I825*('Parameter Inputs'!J$741+'Parameter Inputs'!J$743)</f>
        <v>45.465300000000006</v>
      </c>
      <c r="M825" s="47">
        <f>$I825*('Parameter Inputs'!V$741+'Parameter Inputs'!V$743)</f>
        <v>1.3841699999999999</v>
      </c>
      <c r="N825" s="47">
        <f>$I825*('Parameter Inputs'!Q$741+'Parameter Inputs'!Q$743)</f>
        <v>20.210699999999999</v>
      </c>
      <c r="O825" s="47">
        <f>$I825*('Parameter Inputs'!G$741+'Parameter Inputs'!G$743)</f>
        <v>17.461499999999997</v>
      </c>
      <c r="P825" s="47">
        <f>$I825*('Parameter Inputs'!H$741+'Parameter Inputs'!H$743)</f>
        <v>24.956700000000001</v>
      </c>
      <c r="Q825" s="47">
        <f>$I825*('Parameter Inputs'!I$741+'Parameter Inputs'!I$743)</f>
        <v>5036.1540000000005</v>
      </c>
      <c r="R825" s="47">
        <f>$I825*('Parameter Inputs'!M$741+'Parameter Inputs'!M$743)</f>
        <v>276.07859999999999</v>
      </c>
      <c r="S825" s="47">
        <f>$I825*('Parameter Inputs'!N$741+'Parameter Inputs'!N$743)</f>
        <v>276.43199999999996</v>
      </c>
      <c r="T825" s="47">
        <f>$I825*('Parameter Inputs'!E$741+'Parameter Inputs'!E$743)</f>
        <v>0.66392100000000009</v>
      </c>
      <c r="U825" s="47">
        <f>$I825*('Parameter Inputs'!K$741+'Parameter Inputs'!K$743)</f>
        <v>7.2848400000000008E-2</v>
      </c>
      <c r="V825" s="47">
        <f>$I825*('Parameter Inputs'!L$741+'Parameter Inputs'!L$743)</f>
        <v>1.1584799999999999E-2</v>
      </c>
      <c r="W825" s="47">
        <f>$I825*('Parameter Inputs'!O$741+'Parameter Inputs'!O$743)</f>
        <v>19.451999999999998</v>
      </c>
      <c r="X825" s="47">
        <f>I825*('Parameter Inputs'!P741+'Parameter Inputs'!P743)</f>
        <v>6.5712899999999994</v>
      </c>
      <c r="Y825" s="47">
        <f>I825*('Parameter Inputs'!R741+'Parameter Inputs'!R743)</f>
        <v>4.9840799999999999E-5</v>
      </c>
      <c r="Z825" s="47">
        <f>I825*('Parameter Inputs'!S741+'Parameter Inputs'!S743)</f>
        <v>0.57437400000000005</v>
      </c>
      <c r="AA825" s="47">
        <f>I825*('Parameter Inputs'!T741+'Parameter Inputs'!T743)</f>
        <v>0.44112000000000001</v>
      </c>
      <c r="AB825" s="47">
        <f>I825*('Parameter Inputs'!U741+'Parameter Inputs'!U743)</f>
        <v>0.46321800000000002</v>
      </c>
    </row>
    <row r="826" spans="4:36" ht="15" thickBot="1">
      <c r="D826" s="53" t="s">
        <v>958</v>
      </c>
      <c r="E826" s="62">
        <f ca="1">'Parameter Inputs'!Q1162/10</f>
        <v>0.47020779498693999</v>
      </c>
      <c r="F826" s="53">
        <f t="shared" ca="1" si="7"/>
        <v>7.8367965831156665</v>
      </c>
      <c r="G826" s="53" t="s">
        <v>959</v>
      </c>
      <c r="H826" s="53">
        <v>280</v>
      </c>
      <c r="I826" s="53">
        <v>30</v>
      </c>
      <c r="J826" s="63" t="s">
        <v>960</v>
      </c>
      <c r="K826" s="56">
        <f>$I826*('Parameter Inputs'!F$741+'Parameter Inputs'!F$743)</f>
        <v>191.739</v>
      </c>
      <c r="L826" s="56">
        <f>$I826*('Parameter Inputs'!J$741+'Parameter Inputs'!J$743)</f>
        <v>45.465300000000006</v>
      </c>
      <c r="M826" s="56">
        <f>$I826*('Parameter Inputs'!V$741+'Parameter Inputs'!V$743)</f>
        <v>1.3841699999999999</v>
      </c>
      <c r="N826" s="56">
        <f>$I826*('Parameter Inputs'!Q$741+'Parameter Inputs'!Q$743)</f>
        <v>20.210699999999999</v>
      </c>
      <c r="O826" s="56">
        <f>$I826*('Parameter Inputs'!G$741+'Parameter Inputs'!G$743)</f>
        <v>17.461499999999997</v>
      </c>
      <c r="P826" s="56">
        <f>$I826*('Parameter Inputs'!H$741+'Parameter Inputs'!H$743)</f>
        <v>24.956700000000001</v>
      </c>
      <c r="Q826" s="56">
        <f>$I826*('Parameter Inputs'!I$741+'Parameter Inputs'!I$743)</f>
        <v>5036.1540000000005</v>
      </c>
      <c r="R826" s="56">
        <f>$I826*('Parameter Inputs'!M$741+'Parameter Inputs'!M$743)</f>
        <v>276.07859999999999</v>
      </c>
      <c r="S826" s="56">
        <f>$I826*('Parameter Inputs'!N$741+'Parameter Inputs'!N$743)</f>
        <v>276.43199999999996</v>
      </c>
      <c r="T826" s="56">
        <f>$I826*('Parameter Inputs'!E$741+'Parameter Inputs'!E$743)</f>
        <v>0.66392100000000009</v>
      </c>
      <c r="U826" s="56">
        <f>$I826*('Parameter Inputs'!K$741+'Parameter Inputs'!K$743)</f>
        <v>7.2848400000000008E-2</v>
      </c>
      <c r="V826" s="56">
        <f>$I826*('Parameter Inputs'!L$741+'Parameter Inputs'!L$743)</f>
        <v>1.1584799999999999E-2</v>
      </c>
      <c r="W826" s="56">
        <f>$I826*('Parameter Inputs'!O$741+'Parameter Inputs'!O$743)</f>
        <v>19.451999999999998</v>
      </c>
      <c r="X826" s="56">
        <f>I826*('Parameter Inputs'!P741+'Parameter Inputs'!P743)</f>
        <v>6.5712899999999994</v>
      </c>
      <c r="Y826" s="56">
        <f>I826*('Parameter Inputs'!R741+'Parameter Inputs'!R743)</f>
        <v>4.9840799999999999E-5</v>
      </c>
      <c r="Z826" s="56">
        <f>I826*('Parameter Inputs'!S741+'Parameter Inputs'!S743)</f>
        <v>0.57437400000000005</v>
      </c>
      <c r="AA826" s="56">
        <f>I826*('Parameter Inputs'!T741+'Parameter Inputs'!T743)</f>
        <v>0.44112000000000001</v>
      </c>
      <c r="AB826" s="56">
        <f>I826*('Parameter Inputs'!U741+'Parameter Inputs'!U743)</f>
        <v>0.46321800000000002</v>
      </c>
    </row>
    <row r="827" spans="4:36" ht="15" thickTop="1">
      <c r="D827" s="15" t="s">
        <v>988</v>
      </c>
      <c r="E827" s="15"/>
      <c r="F827" s="15"/>
      <c r="G827" s="15"/>
      <c r="H827" s="15"/>
      <c r="I827" s="15"/>
      <c r="J827" s="15"/>
      <c r="K827" s="39">
        <f>SUM(K816:K826)</f>
        <v>1876.4856800000002</v>
      </c>
      <c r="L827" s="39">
        <f t="shared" ref="L827:AB827" si="8">SUM(L816:L826)</f>
        <v>444.95373600000011</v>
      </c>
      <c r="M827" s="39">
        <f t="shared" si="8"/>
        <v>13.546410399999997</v>
      </c>
      <c r="N827" s="39">
        <f t="shared" si="8"/>
        <v>197.79538400000004</v>
      </c>
      <c r="O827" s="39">
        <f t="shared" si="8"/>
        <v>170.88988000000001</v>
      </c>
      <c r="P827" s="39">
        <f t="shared" si="8"/>
        <v>244.24290400000001</v>
      </c>
      <c r="Q827" s="39">
        <f t="shared" si="8"/>
        <v>49287.160480000006</v>
      </c>
      <c r="R827" s="39">
        <f t="shared" si="8"/>
        <v>2701.8892319999995</v>
      </c>
      <c r="S827" s="39">
        <f t="shared" si="8"/>
        <v>2705.3478399999999</v>
      </c>
      <c r="T827" s="39">
        <f t="shared" si="8"/>
        <v>6.4975735200000013</v>
      </c>
      <c r="U827" s="39">
        <f t="shared" si="8"/>
        <v>0.7129430080000001</v>
      </c>
      <c r="V827" s="39">
        <f t="shared" si="8"/>
        <v>0.11337657600000001</v>
      </c>
      <c r="W827" s="39">
        <f t="shared" si="8"/>
        <v>190.37024</v>
      </c>
      <c r="X827" s="39">
        <f t="shared" si="8"/>
        <v>64.311024799999984</v>
      </c>
      <c r="Y827" s="39">
        <f t="shared" si="8"/>
        <v>4.8777529600000003E-4</v>
      </c>
      <c r="Z827" s="39">
        <f t="shared" si="8"/>
        <v>5.6212068799999999</v>
      </c>
      <c r="AA827" s="39">
        <f t="shared" si="8"/>
        <v>4.3170944000000002</v>
      </c>
      <c r="AB827" s="39">
        <f t="shared" si="8"/>
        <v>4.53336016</v>
      </c>
    </row>
    <row r="830" spans="4:36" ht="26.25" customHeight="1">
      <c r="D830" s="42" t="s">
        <v>925</v>
      </c>
      <c r="E830" s="42" t="s">
        <v>945</v>
      </c>
      <c r="F830" s="42" t="s">
        <v>947</v>
      </c>
      <c r="G830" s="42" t="s">
        <v>1035</v>
      </c>
      <c r="H830" s="42" t="s">
        <v>969</v>
      </c>
      <c r="I830" s="42" t="s">
        <v>970</v>
      </c>
      <c r="J830" s="42" t="s">
        <v>944</v>
      </c>
      <c r="K830" s="42" t="s">
        <v>946</v>
      </c>
      <c r="L830" s="42" t="s">
        <v>955</v>
      </c>
      <c r="M830" s="42" t="s">
        <v>937</v>
      </c>
      <c r="N830" s="42" t="s">
        <v>936</v>
      </c>
      <c r="O830" s="42" t="s">
        <v>938</v>
      </c>
      <c r="P830" s="42" t="s">
        <v>943</v>
      </c>
      <c r="Q830" s="42" t="s">
        <v>939</v>
      </c>
      <c r="R830" s="42" t="s">
        <v>940</v>
      </c>
      <c r="S830" s="42" t="s">
        <v>895</v>
      </c>
      <c r="T830" s="42" t="s">
        <v>1010</v>
      </c>
      <c r="U830" s="42" t="s">
        <v>899</v>
      </c>
      <c r="V830" s="42" t="s">
        <v>900</v>
      </c>
      <c r="W830" s="16" t="s">
        <v>1298</v>
      </c>
      <c r="X830" s="77" t="s">
        <v>1299</v>
      </c>
      <c r="Y830" s="77" t="s">
        <v>1300</v>
      </c>
      <c r="Z830" s="16" t="s">
        <v>1301</v>
      </c>
      <c r="AA830" s="77" t="s">
        <v>1302</v>
      </c>
      <c r="AB830" s="76" t="s">
        <v>1435</v>
      </c>
      <c r="AC830" s="76" t="s">
        <v>1434</v>
      </c>
      <c r="AD830" s="76" t="s">
        <v>1433</v>
      </c>
      <c r="AE830" s="76" t="s">
        <v>1432</v>
      </c>
      <c r="AF830" s="76" t="s">
        <v>1431</v>
      </c>
      <c r="AG830" s="76" t="s">
        <v>1430</v>
      </c>
      <c r="AH830" s="76" t="s">
        <v>1429</v>
      </c>
      <c r="AI830" s="76" t="s">
        <v>1428</v>
      </c>
      <c r="AJ830" s="76" t="s">
        <v>1427</v>
      </c>
    </row>
    <row r="831" spans="4:36">
      <c r="D831" s="8" t="s">
        <v>948</v>
      </c>
      <c r="E831" s="47">
        <v>20.8</v>
      </c>
      <c r="F831" s="47">
        <v>0.15</v>
      </c>
      <c r="G831" s="49">
        <f t="shared" ref="G831:G845" si="9">(PI()*(F831/2)^2*J831)*3600</f>
        <v>95.425876852789969</v>
      </c>
      <c r="H831" s="47">
        <v>28.3</v>
      </c>
      <c r="I831" s="47">
        <f t="shared" ref="I831:I845" si="10">H831*E831</f>
        <v>588.64</v>
      </c>
      <c r="J831" s="47">
        <v>1.5</v>
      </c>
      <c r="K831" s="47">
        <v>1.4999999999999999E-2</v>
      </c>
      <c r="L831" s="8">
        <f>K797</f>
        <v>1.7</v>
      </c>
      <c r="M831" s="47">
        <f ca="1">E816</f>
        <v>56.699593765212192</v>
      </c>
      <c r="N831" s="47">
        <f>K797+(K831)*((E831)/F831)*((J831^2)/(2*9.86))</f>
        <v>1.9373225152129816</v>
      </c>
      <c r="O831" s="47">
        <f t="shared" ref="O831:O845" ca="1" si="11">(M831*1000*N831*9.81)/0.75</f>
        <v>1436777.8268304595</v>
      </c>
      <c r="P831" s="47">
        <f>24/5</f>
        <v>4.8</v>
      </c>
      <c r="Q831" s="47">
        <f t="shared" ref="Q831:Q845" ca="1" si="12">O831*P831</f>
        <v>6896533.5687862057</v>
      </c>
      <c r="R831" s="47">
        <f t="shared" ref="R831:R845" ca="1" si="13">Q831*0.000000277778</f>
        <v>1.9157053016702945</v>
      </c>
      <c r="S831" s="47">
        <f>$I831*'Parameter Inputs'!F$745</f>
        <v>3205.7923040000001</v>
      </c>
      <c r="T831" s="47">
        <f>$I831*'Parameter Inputs'!J$745</f>
        <v>728.44200000000001</v>
      </c>
      <c r="U831" s="47">
        <f>$I831*'Parameter Inputs'!V$745</f>
        <v>28.285917919999999</v>
      </c>
      <c r="V831" s="47">
        <f>$I831*'Parameter Inputs'!Q$745</f>
        <v>326.63633599999997</v>
      </c>
      <c r="W831" s="47">
        <f>$I831*'Parameter Inputs'!G$745</f>
        <v>264.54070239999999</v>
      </c>
      <c r="X831" s="47">
        <f>$I831*'Parameter Inputs'!H$745</f>
        <v>386.57754720000003</v>
      </c>
      <c r="Y831" s="47">
        <f>$I831*'Parameter Inputs'!I$745</f>
        <v>94741.607999999993</v>
      </c>
      <c r="Z831" s="47">
        <f>$I831*'Parameter Inputs'!M$745</f>
        <v>5193.9239040000002</v>
      </c>
      <c r="AA831" s="47">
        <f>$I831*'Parameter Inputs'!N$745</f>
        <v>4165.3343679999998</v>
      </c>
      <c r="AB831" s="47">
        <f>$I831*'Parameter Inputs'!E$745</f>
        <v>11.66861072</v>
      </c>
      <c r="AC831" s="47">
        <f>$I831*'Parameter Inputs'!K$745</f>
        <v>1.1368404319999998</v>
      </c>
      <c r="AD831" s="47">
        <f>$I831*'Parameter Inputs'!L$745</f>
        <v>0.1211479984</v>
      </c>
      <c r="AE831" s="47">
        <f>$I831*'Parameter Inputs'!O$745</f>
        <v>167.09723679999999</v>
      </c>
      <c r="AF831" s="47">
        <f>$I831*'Parameter Inputs'!P$745</f>
        <v>108.23912319999999</v>
      </c>
      <c r="AG831" s="47">
        <f>$I831*'Parameter Inputs'!R$745</f>
        <v>8.1397139199999998E-4</v>
      </c>
      <c r="AH831" s="47">
        <f>$I831*'Parameter Inputs'!S$745</f>
        <v>10.858053440000001</v>
      </c>
      <c r="AI831" s="47">
        <f>$I831*'Parameter Inputs'!T$745</f>
        <v>7.8860100799999993</v>
      </c>
      <c r="AJ831" s="47">
        <f>$I831*'Parameter Inputs'!U$745</f>
        <v>8.2026983999999992</v>
      </c>
    </row>
    <row r="832" spans="4:36">
      <c r="D832" s="8" t="s">
        <v>949</v>
      </c>
      <c r="E832" s="47">
        <v>20.8</v>
      </c>
      <c r="F832" s="47">
        <v>0.15</v>
      </c>
      <c r="G832" s="49">
        <f t="shared" si="9"/>
        <v>95.425876852789969</v>
      </c>
      <c r="H832" s="47">
        <v>28.3</v>
      </c>
      <c r="I832" s="47">
        <f t="shared" si="10"/>
        <v>588.64</v>
      </c>
      <c r="J832" s="47">
        <v>1.5</v>
      </c>
      <c r="K832" s="47">
        <v>1.4999999999999999E-2</v>
      </c>
      <c r="L832" s="8">
        <f>K797</f>
        <v>1.7</v>
      </c>
      <c r="M832" s="47">
        <f ca="1">E816</f>
        <v>56.699593765212192</v>
      </c>
      <c r="N832" s="47">
        <f>K797+(K832)*((E832)/F832)*((J832^2)/(2*9.86))</f>
        <v>1.9373225152129816</v>
      </c>
      <c r="O832" s="47">
        <f t="shared" ca="1" si="11"/>
        <v>1436777.8268304595</v>
      </c>
      <c r="P832" s="47">
        <f>24/5</f>
        <v>4.8</v>
      </c>
      <c r="Q832" s="47">
        <f t="shared" ca="1" si="12"/>
        <v>6896533.5687862057</v>
      </c>
      <c r="R832" s="47">
        <f t="shared" ca="1" si="13"/>
        <v>1.9157053016702945</v>
      </c>
      <c r="S832" s="47">
        <f>$I832*'Parameter Inputs'!F$745</f>
        <v>3205.7923040000001</v>
      </c>
      <c r="T832" s="47">
        <f>$I832*'Parameter Inputs'!J$745</f>
        <v>728.44200000000001</v>
      </c>
      <c r="U832" s="47">
        <f>$I832*'Parameter Inputs'!V$745</f>
        <v>28.285917919999999</v>
      </c>
      <c r="V832" s="47">
        <f>$I832*'Parameter Inputs'!Q$745</f>
        <v>326.63633599999997</v>
      </c>
      <c r="W832" s="47">
        <f>$I832*'Parameter Inputs'!G$745</f>
        <v>264.54070239999999</v>
      </c>
      <c r="X832" s="47">
        <f>$I832*'Parameter Inputs'!H$745</f>
        <v>386.57754720000003</v>
      </c>
      <c r="Y832" s="47">
        <f>$I832*'Parameter Inputs'!I$745</f>
        <v>94741.607999999993</v>
      </c>
      <c r="Z832" s="47">
        <f>$I832*'Parameter Inputs'!M$745</f>
        <v>5193.9239040000002</v>
      </c>
      <c r="AA832" s="47">
        <f>$I832*'Parameter Inputs'!N$745</f>
        <v>4165.3343679999998</v>
      </c>
      <c r="AB832" s="47">
        <f>$I832*'Parameter Inputs'!E$745</f>
        <v>11.66861072</v>
      </c>
      <c r="AC832" s="47">
        <f>$I832*'Parameter Inputs'!K$745</f>
        <v>1.1368404319999998</v>
      </c>
      <c r="AD832" s="47">
        <f>$I832*'Parameter Inputs'!L$745</f>
        <v>0.1211479984</v>
      </c>
      <c r="AE832" s="47">
        <f>$I832*'Parameter Inputs'!O$745</f>
        <v>167.09723679999999</v>
      </c>
      <c r="AF832" s="47">
        <f>$I832*'Parameter Inputs'!P$745</f>
        <v>108.23912319999999</v>
      </c>
      <c r="AG832" s="47">
        <f>$I832*'Parameter Inputs'!R$745</f>
        <v>8.1397139199999998E-4</v>
      </c>
      <c r="AH832" s="47">
        <f>$I832*'Parameter Inputs'!S$745</f>
        <v>10.858053440000001</v>
      </c>
      <c r="AI832" s="47">
        <f>$I832*'Parameter Inputs'!T$745</f>
        <v>7.8860100799999993</v>
      </c>
      <c r="AJ832" s="47">
        <f>$I832*'Parameter Inputs'!U$745</f>
        <v>8.2026983999999992</v>
      </c>
    </row>
    <row r="833" spans="4:70">
      <c r="D833" s="8" t="s">
        <v>950</v>
      </c>
      <c r="E833" s="47">
        <v>4.45</v>
      </c>
      <c r="F833" s="47">
        <v>0.15</v>
      </c>
      <c r="G833" s="49">
        <f t="shared" si="9"/>
        <v>95.425876852789969</v>
      </c>
      <c r="H833" s="47">
        <v>28.3</v>
      </c>
      <c r="I833" s="47">
        <f t="shared" si="10"/>
        <v>125.935</v>
      </c>
      <c r="J833" s="47">
        <v>1.5</v>
      </c>
      <c r="K833" s="47">
        <v>1.4999999999999999E-2</v>
      </c>
      <c r="L833" s="8">
        <f>K797</f>
        <v>1.7</v>
      </c>
      <c r="M833" s="47">
        <f ca="1">E816</f>
        <v>56.699593765212192</v>
      </c>
      <c r="N833" s="47">
        <f>K797+(K833)*((E833)/F833)*((J833^2)/(2*9.86))</f>
        <v>1.750773326572008</v>
      </c>
      <c r="O833" s="47">
        <f t="shared" ca="1" si="11"/>
        <v>1298427.2240021548</v>
      </c>
      <c r="P833" s="47">
        <f>24/5</f>
        <v>4.8</v>
      </c>
      <c r="Q833" s="47">
        <f t="shared" ca="1" si="12"/>
        <v>6232450.6752103427</v>
      </c>
      <c r="R833" s="47">
        <f t="shared" ca="1" si="13"/>
        <v>1.7312376836585786</v>
      </c>
      <c r="S833" s="47">
        <f>$I833*'Parameter Inputs'!F$745</f>
        <v>685.85460350000005</v>
      </c>
      <c r="T833" s="47">
        <f>$I833*'Parameter Inputs'!J$745</f>
        <v>155.84456249999999</v>
      </c>
      <c r="U833" s="47">
        <f>$I833*'Parameter Inputs'!V$745</f>
        <v>6.0515545550000001</v>
      </c>
      <c r="V833" s="47">
        <f>$I833*'Parameter Inputs'!Q$745</f>
        <v>69.881331500000002</v>
      </c>
      <c r="W833" s="47">
        <f>$I833*'Parameter Inputs'!G$745</f>
        <v>56.596448349999996</v>
      </c>
      <c r="X833" s="47">
        <f>$I833*'Parameter Inputs'!H$745</f>
        <v>82.70529255000001</v>
      </c>
      <c r="Y833" s="47">
        <f>$I833*'Parameter Inputs'!I$745</f>
        <v>20269.238249999999</v>
      </c>
      <c r="Z833" s="47">
        <f>$I833*'Parameter Inputs'!M$745</f>
        <v>1111.2000660000001</v>
      </c>
      <c r="AA833" s="47">
        <f>$I833*'Parameter Inputs'!N$745</f>
        <v>891.14124700000002</v>
      </c>
      <c r="AB833" s="47">
        <f>$I833*'Parameter Inputs'!E$745</f>
        <v>2.4964095049999999</v>
      </c>
      <c r="AC833" s="47">
        <f>$I833*'Parameter Inputs'!K$745</f>
        <v>0.2432182655</v>
      </c>
      <c r="AD833" s="47">
        <f>$I833*'Parameter Inputs'!L$745</f>
        <v>2.5918682350000003E-2</v>
      </c>
      <c r="AE833" s="47">
        <f>$I833*'Parameter Inputs'!O$745</f>
        <v>35.749168449999999</v>
      </c>
      <c r="AF833" s="47">
        <f>$I833*'Parameter Inputs'!P$745</f>
        <v>23.156927799999998</v>
      </c>
      <c r="AG833" s="47">
        <f>$I833*'Parameter Inputs'!R$745</f>
        <v>1.7414291800000001E-4</v>
      </c>
      <c r="AH833" s="47">
        <f>$I833*'Parameter Inputs'!S$745</f>
        <v>2.3229970099999999</v>
      </c>
      <c r="AI833" s="47">
        <f>$I833*'Parameter Inputs'!T$745</f>
        <v>1.687151195</v>
      </c>
      <c r="AJ833" s="47">
        <f>$I833*'Parameter Inputs'!U$745</f>
        <v>1.754904225</v>
      </c>
    </row>
    <row r="834" spans="4:70">
      <c r="D834" s="8" t="s">
        <v>951</v>
      </c>
      <c r="E834" s="47">
        <v>20.8</v>
      </c>
      <c r="F834" s="47">
        <v>0.15</v>
      </c>
      <c r="G834" s="49">
        <f t="shared" si="9"/>
        <v>95.425876852789969</v>
      </c>
      <c r="H834" s="47">
        <v>28.3</v>
      </c>
      <c r="I834" s="47">
        <f t="shared" si="10"/>
        <v>588.64</v>
      </c>
      <c r="J834" s="47">
        <v>1.5</v>
      </c>
      <c r="K834" s="47">
        <v>1.4999999999999999E-2</v>
      </c>
      <c r="L834" s="8">
        <f>K797</f>
        <v>1.7</v>
      </c>
      <c r="M834" s="47">
        <f ca="1">E816</f>
        <v>56.699593765212192</v>
      </c>
      <c r="N834" s="47">
        <f>K797+(K834)*((E834)/F834)*((J834^2)/(2*9.86))</f>
        <v>1.9373225152129816</v>
      </c>
      <c r="O834" s="47">
        <f t="shared" ca="1" si="11"/>
        <v>1436777.8268304595</v>
      </c>
      <c r="P834" s="47">
        <f>24/5</f>
        <v>4.8</v>
      </c>
      <c r="Q834" s="47">
        <f t="shared" ca="1" si="12"/>
        <v>6896533.5687862057</v>
      </c>
      <c r="R834" s="47">
        <f t="shared" ca="1" si="13"/>
        <v>1.9157053016702945</v>
      </c>
      <c r="S834" s="47">
        <f>$I834*'Parameter Inputs'!F$745</f>
        <v>3205.7923040000001</v>
      </c>
      <c r="T834" s="47">
        <f>$I834*'Parameter Inputs'!J$745</f>
        <v>728.44200000000001</v>
      </c>
      <c r="U834" s="47">
        <f>$I834*'Parameter Inputs'!V$745</f>
        <v>28.285917919999999</v>
      </c>
      <c r="V834" s="47">
        <f>$I834*'Parameter Inputs'!Q$745</f>
        <v>326.63633599999997</v>
      </c>
      <c r="W834" s="47">
        <f>$I834*'Parameter Inputs'!G$745</f>
        <v>264.54070239999999</v>
      </c>
      <c r="X834" s="47">
        <f>$I834*'Parameter Inputs'!H$745</f>
        <v>386.57754720000003</v>
      </c>
      <c r="Y834" s="47">
        <f>$I834*'Parameter Inputs'!I$745</f>
        <v>94741.607999999993</v>
      </c>
      <c r="Z834" s="47">
        <f>$I834*'Parameter Inputs'!M$745</f>
        <v>5193.9239040000002</v>
      </c>
      <c r="AA834" s="47">
        <f>$I834*'Parameter Inputs'!N$745</f>
        <v>4165.3343679999998</v>
      </c>
      <c r="AB834" s="47">
        <f>$I834*'Parameter Inputs'!E$745</f>
        <v>11.66861072</v>
      </c>
      <c r="AC834" s="47">
        <f>$I834*'Parameter Inputs'!K$745</f>
        <v>1.1368404319999998</v>
      </c>
      <c r="AD834" s="47">
        <f>$I834*'Parameter Inputs'!L$745</f>
        <v>0.1211479984</v>
      </c>
      <c r="AE834" s="47">
        <f>$I834*'Parameter Inputs'!O$745</f>
        <v>167.09723679999999</v>
      </c>
      <c r="AF834" s="47">
        <f>$I834*'Parameter Inputs'!P$745</f>
        <v>108.23912319999999</v>
      </c>
      <c r="AG834" s="47">
        <f>$I834*'Parameter Inputs'!R$745</f>
        <v>8.1397139199999998E-4</v>
      </c>
      <c r="AH834" s="47">
        <f>$I834*'Parameter Inputs'!S$745</f>
        <v>10.858053440000001</v>
      </c>
      <c r="AI834" s="47">
        <f>$I834*'Parameter Inputs'!T$745</f>
        <v>7.8860100799999993</v>
      </c>
      <c r="AJ834" s="47">
        <f>$I834*'Parameter Inputs'!U$745</f>
        <v>8.2026983999999992</v>
      </c>
    </row>
    <row r="835" spans="4:70">
      <c r="D835" s="8" t="s">
        <v>952</v>
      </c>
      <c r="E835" s="47">
        <v>20.8</v>
      </c>
      <c r="F835" s="47">
        <v>0.15</v>
      </c>
      <c r="G835" s="49">
        <f t="shared" si="9"/>
        <v>95.425876852789969</v>
      </c>
      <c r="H835" s="47">
        <v>28.3</v>
      </c>
      <c r="I835" s="47">
        <f t="shared" si="10"/>
        <v>588.64</v>
      </c>
      <c r="J835" s="47">
        <v>1.5</v>
      </c>
      <c r="K835" s="47">
        <v>1.4999999999999999E-2</v>
      </c>
      <c r="L835" s="8">
        <f>K797</f>
        <v>1.7</v>
      </c>
      <c r="M835" s="47">
        <f ca="1">E816</f>
        <v>56.699593765212192</v>
      </c>
      <c r="N835" s="47">
        <f>K797+(K835)*((E835)/F835)*((J835^2)/(2*9.86))</f>
        <v>1.9373225152129816</v>
      </c>
      <c r="O835" s="47">
        <f t="shared" ca="1" si="11"/>
        <v>1436777.8268304595</v>
      </c>
      <c r="P835" s="47">
        <f>24/5</f>
        <v>4.8</v>
      </c>
      <c r="Q835" s="47">
        <f t="shared" ca="1" si="12"/>
        <v>6896533.5687862057</v>
      </c>
      <c r="R835" s="47">
        <f t="shared" ca="1" si="13"/>
        <v>1.9157053016702945</v>
      </c>
      <c r="S835" s="47">
        <f>$I835*'Parameter Inputs'!F$745</f>
        <v>3205.7923040000001</v>
      </c>
      <c r="T835" s="47">
        <f>$I835*'Parameter Inputs'!J$745</f>
        <v>728.44200000000001</v>
      </c>
      <c r="U835" s="47">
        <f>$I835*'Parameter Inputs'!V$745</f>
        <v>28.285917919999999</v>
      </c>
      <c r="V835" s="47">
        <f>$I835*'Parameter Inputs'!Q$745</f>
        <v>326.63633599999997</v>
      </c>
      <c r="W835" s="47">
        <f>$I835*'Parameter Inputs'!G$745</f>
        <v>264.54070239999999</v>
      </c>
      <c r="X835" s="47">
        <f>$I835*'Parameter Inputs'!H$745</f>
        <v>386.57754720000003</v>
      </c>
      <c r="Y835" s="47">
        <f>$I835*'Parameter Inputs'!I$745</f>
        <v>94741.607999999993</v>
      </c>
      <c r="Z835" s="47">
        <f>$I835*'Parameter Inputs'!M$745</f>
        <v>5193.9239040000002</v>
      </c>
      <c r="AA835" s="47">
        <f>$I835*'Parameter Inputs'!N$745</f>
        <v>4165.3343679999998</v>
      </c>
      <c r="AB835" s="47">
        <f>$I835*'Parameter Inputs'!E$745</f>
        <v>11.66861072</v>
      </c>
      <c r="AC835" s="47">
        <f>$I835*'Parameter Inputs'!K$745</f>
        <v>1.1368404319999998</v>
      </c>
      <c r="AD835" s="47">
        <f>$I835*'Parameter Inputs'!L$745</f>
        <v>0.1211479984</v>
      </c>
      <c r="AE835" s="47">
        <f>$I835*'Parameter Inputs'!O$745</f>
        <v>167.09723679999999</v>
      </c>
      <c r="AF835" s="47">
        <f>$I835*'Parameter Inputs'!P$745</f>
        <v>108.23912319999999</v>
      </c>
      <c r="AG835" s="47">
        <f>$I835*'Parameter Inputs'!R$745</f>
        <v>8.1397139199999998E-4</v>
      </c>
      <c r="AH835" s="47">
        <f>$I835*'Parameter Inputs'!S$745</f>
        <v>10.858053440000001</v>
      </c>
      <c r="AI835" s="47">
        <f>$I835*'Parameter Inputs'!T$745</f>
        <v>7.8860100799999993</v>
      </c>
      <c r="AJ835" s="47">
        <f>$I835*'Parameter Inputs'!U$745</f>
        <v>8.2026983999999992</v>
      </c>
    </row>
    <row r="836" spans="4:70">
      <c r="D836" s="8" t="s">
        <v>926</v>
      </c>
      <c r="E836" s="47">
        <v>2.1</v>
      </c>
      <c r="F836" s="47">
        <v>0.15</v>
      </c>
      <c r="G836" s="49">
        <f t="shared" si="9"/>
        <v>95.425876852789969</v>
      </c>
      <c r="H836" s="47">
        <v>28.3</v>
      </c>
      <c r="I836" s="47">
        <f t="shared" si="10"/>
        <v>59.430000000000007</v>
      </c>
      <c r="J836" s="47">
        <v>1.5</v>
      </c>
      <c r="K836" s="47">
        <v>1.4999999999999999E-2</v>
      </c>
      <c r="L836" s="47">
        <f ca="1">P789</f>
        <v>9.8600595761736933</v>
      </c>
      <c r="M836" s="47">
        <f ca="1">E817</f>
        <v>56.699593765212192</v>
      </c>
      <c r="N836" s="47">
        <f ca="1">K789+(0.235)*((E836)/0.3)*((1.5^2)/(2*9.86))</f>
        <v>9.7477497384454974</v>
      </c>
      <c r="O836" s="47">
        <f t="shared" ca="1" si="11"/>
        <v>7229230.3298561564</v>
      </c>
      <c r="P836" s="47">
        <v>24</v>
      </c>
      <c r="Q836" s="47">
        <f t="shared" ca="1" si="12"/>
        <v>173501527.91654775</v>
      </c>
      <c r="R836" s="47">
        <f t="shared" ca="1" si="13"/>
        <v>48.1949074216028</v>
      </c>
      <c r="S836" s="47">
        <f>$I836*'Parameter Inputs'!F$745</f>
        <v>323.66172300000005</v>
      </c>
      <c r="T836" s="47">
        <f>$I836*'Parameter Inputs'!J$745</f>
        <v>73.544625000000011</v>
      </c>
      <c r="U836" s="47">
        <f>$I836*'Parameter Inputs'!V$745</f>
        <v>2.8557897900000002</v>
      </c>
      <c r="V836" s="47">
        <f>$I836*'Parameter Inputs'!Q$745</f>
        <v>32.977707000000002</v>
      </c>
      <c r="W836" s="47">
        <f>$I836*'Parameter Inputs'!G$745</f>
        <v>26.708436300000002</v>
      </c>
      <c r="X836" s="47">
        <f>$I836*'Parameter Inputs'!H$745</f>
        <v>39.029463900000003</v>
      </c>
      <c r="Y836" s="47">
        <f>$I836*'Parameter Inputs'!I$745</f>
        <v>9565.2584999999999</v>
      </c>
      <c r="Z836" s="47">
        <f>$I836*'Parameter Inputs'!M$745</f>
        <v>524.38654800000006</v>
      </c>
      <c r="AA836" s="47">
        <f>$I836*'Parameter Inputs'!N$745</f>
        <v>420.53856600000006</v>
      </c>
      <c r="AB836" s="47">
        <f>$I836*'Parameter Inputs'!E$745</f>
        <v>1.1780808900000002</v>
      </c>
      <c r="AC836" s="47">
        <f>$I836*'Parameter Inputs'!K$745</f>
        <v>0.114777159</v>
      </c>
      <c r="AD836" s="47">
        <f>$I836*'Parameter Inputs'!L$745</f>
        <v>1.2231288300000002E-2</v>
      </c>
      <c r="AE836" s="47">
        <f>$I836*'Parameter Inputs'!O$745</f>
        <v>16.870394100000002</v>
      </c>
      <c r="AF836" s="47">
        <f>$I836*'Parameter Inputs'!P$745</f>
        <v>10.9279884</v>
      </c>
      <c r="AG836" s="47">
        <f>$I836*'Parameter Inputs'!R$745</f>
        <v>8.2179804E-5</v>
      </c>
      <c r="AH836" s="47">
        <f>$I836*'Parameter Inputs'!S$745</f>
        <v>1.0962457800000001</v>
      </c>
      <c r="AI836" s="47">
        <f>$I836*'Parameter Inputs'!T$745</f>
        <v>0.79618370999999999</v>
      </c>
      <c r="AJ836" s="47">
        <f>$I836*'Parameter Inputs'!U$745</f>
        <v>0.82815705000000006</v>
      </c>
    </row>
    <row r="837" spans="4:70">
      <c r="D837" s="8" t="s">
        <v>941</v>
      </c>
      <c r="E837" s="47">
        <v>9.3000000000000007</v>
      </c>
      <c r="F837" s="47">
        <v>0.2</v>
      </c>
      <c r="G837" s="49">
        <f t="shared" si="9"/>
        <v>180.95573684677211</v>
      </c>
      <c r="H837" s="47">
        <v>42.53</v>
      </c>
      <c r="I837" s="47">
        <f t="shared" si="10"/>
        <v>395.52900000000005</v>
      </c>
      <c r="J837" s="47">
        <v>1.6</v>
      </c>
      <c r="K837" s="47">
        <v>1.4E-2</v>
      </c>
      <c r="L837" s="47">
        <f ca="1">P787</f>
        <v>8.6085839934979127</v>
      </c>
      <c r="M837" s="47">
        <f ca="1">E818</f>
        <v>178.5637976453867</v>
      </c>
      <c r="N837" s="47">
        <f ca="1">L787+(0.235)*((E837)/0.3)*((1.5^2)/(2*9.86))</f>
        <v>9.1397832835587636</v>
      </c>
      <c r="O837" s="47">
        <f t="shared" ca="1" si="11"/>
        <v>21347010.119006421</v>
      </c>
      <c r="P837" s="47">
        <f>'Parameter Inputs'!F492*2</f>
        <v>1.3440000000000001</v>
      </c>
      <c r="Q837" s="47">
        <f t="shared" ca="1" si="12"/>
        <v>28690381.599944633</v>
      </c>
      <c r="R837" s="47">
        <f t="shared" ca="1" si="13"/>
        <v>7.9695568200694193</v>
      </c>
      <c r="S837" s="47">
        <f>$I837*'Parameter Inputs'!F$745</f>
        <v>2154.0904869000005</v>
      </c>
      <c r="T837" s="47">
        <f>$I837*'Parameter Inputs'!J$745</f>
        <v>489.46713750000009</v>
      </c>
      <c r="U837" s="47">
        <f>$I837*'Parameter Inputs'!V$745</f>
        <v>19.006355037000002</v>
      </c>
      <c r="V837" s="47">
        <f>$I837*'Parameter Inputs'!Q$745</f>
        <v>219.47904210000002</v>
      </c>
      <c r="W837" s="47">
        <f>$I837*'Parameter Inputs'!G$745</f>
        <v>177.75468789000001</v>
      </c>
      <c r="X837" s="47">
        <f>$I837*'Parameter Inputs'!H$745</f>
        <v>259.75576017000003</v>
      </c>
      <c r="Y837" s="47">
        <f>$I837*'Parameter Inputs'!I$745</f>
        <v>63660.392550000004</v>
      </c>
      <c r="Z837" s="47">
        <f>$I837*'Parameter Inputs'!M$745</f>
        <v>3489.9896844000009</v>
      </c>
      <c r="AA837" s="47">
        <f>$I837*'Parameter Inputs'!N$745</f>
        <v>2798.8423098000003</v>
      </c>
      <c r="AB837" s="47">
        <f>$I837*'Parameter Inputs'!E$745</f>
        <v>7.8405713670000008</v>
      </c>
      <c r="AC837" s="47">
        <f>$I837*'Parameter Inputs'!K$745</f>
        <v>0.76388515770000009</v>
      </c>
      <c r="AD837" s="47">
        <f>$I837*'Parameter Inputs'!L$745</f>
        <v>8.1403823490000013E-2</v>
      </c>
      <c r="AE837" s="47">
        <f>$I837*'Parameter Inputs'!O$745</f>
        <v>112.27881723000002</v>
      </c>
      <c r="AF837" s="47">
        <f>$I837*'Parameter Inputs'!P$745</f>
        <v>72.729872520000001</v>
      </c>
      <c r="AG837" s="47">
        <f>$I837*'Parameter Inputs'!R$745</f>
        <v>5.4693750120000007E-4</v>
      </c>
      <c r="AH837" s="47">
        <f>$I837*'Parameter Inputs'!S$745</f>
        <v>7.2959279340000016</v>
      </c>
      <c r="AI837" s="47">
        <f>$I837*'Parameter Inputs'!T$745</f>
        <v>5.2989020130000002</v>
      </c>
      <c r="AJ837" s="47">
        <f>$I837*'Parameter Inputs'!U$745</f>
        <v>5.5116966150000009</v>
      </c>
    </row>
    <row r="838" spans="4:70">
      <c r="D838" s="8" t="s">
        <v>942</v>
      </c>
      <c r="E838" s="47">
        <v>9.3000000000000007</v>
      </c>
      <c r="F838" s="47">
        <v>0.2</v>
      </c>
      <c r="G838" s="49">
        <f t="shared" si="9"/>
        <v>169.64600329384885</v>
      </c>
      <c r="H838" s="47">
        <v>42.53</v>
      </c>
      <c r="I838" s="47">
        <f t="shared" si="10"/>
        <v>395.52900000000005</v>
      </c>
      <c r="J838" s="47">
        <v>1.5</v>
      </c>
      <c r="K838" s="47">
        <v>1.4999999999999999E-2</v>
      </c>
      <c r="L838" s="47">
        <f ca="1">P788</f>
        <v>9.2260696997031566</v>
      </c>
      <c r="M838" s="47">
        <f ca="1">E821</f>
        <v>54.462857858657394</v>
      </c>
      <c r="N838" s="47">
        <f ca="1">L788+(0.235)*((E838)/0.3)*((1.5^2)/(2*9.86))</f>
        <v>9.7572689897640075</v>
      </c>
      <c r="O838" s="47">
        <f t="shared" ca="1" si="11"/>
        <v>6950826.503342893</v>
      </c>
      <c r="P838" s="47">
        <v>6</v>
      </c>
      <c r="Q838" s="47">
        <f t="shared" ca="1" si="12"/>
        <v>41704959.020057358</v>
      </c>
      <c r="R838" s="47">
        <f t="shared" ca="1" si="13"/>
        <v>11.584720106673492</v>
      </c>
      <c r="S838" s="47">
        <f>$I838*'Parameter Inputs'!F$745</f>
        <v>2154.0904869000005</v>
      </c>
      <c r="T838" s="47">
        <f>$I838*'Parameter Inputs'!J$745</f>
        <v>489.46713750000009</v>
      </c>
      <c r="U838" s="47">
        <f>$I838*'Parameter Inputs'!V$745</f>
        <v>19.006355037000002</v>
      </c>
      <c r="V838" s="47">
        <f>$I838*'Parameter Inputs'!Q$745</f>
        <v>219.47904210000002</v>
      </c>
      <c r="W838" s="47">
        <f>$I838*'Parameter Inputs'!G$745</f>
        <v>177.75468789000001</v>
      </c>
      <c r="X838" s="47">
        <f>$I838*'Parameter Inputs'!H$745</f>
        <v>259.75576017000003</v>
      </c>
      <c r="Y838" s="47">
        <f>$I838*'Parameter Inputs'!I$745</f>
        <v>63660.392550000004</v>
      </c>
      <c r="Z838" s="47">
        <f>$I838*'Parameter Inputs'!M$745</f>
        <v>3489.9896844000009</v>
      </c>
      <c r="AA838" s="47">
        <f>$I838*'Parameter Inputs'!N$745</f>
        <v>2798.8423098000003</v>
      </c>
      <c r="AB838" s="47">
        <f>$I838*'Parameter Inputs'!E$745</f>
        <v>7.8405713670000008</v>
      </c>
      <c r="AC838" s="47">
        <f>$I838*'Parameter Inputs'!K$745</f>
        <v>0.76388515770000009</v>
      </c>
      <c r="AD838" s="47">
        <f>$I838*'Parameter Inputs'!L$745</f>
        <v>8.1403823490000013E-2</v>
      </c>
      <c r="AE838" s="47">
        <f>$I838*'Parameter Inputs'!O$745</f>
        <v>112.27881723000002</v>
      </c>
      <c r="AF838" s="47">
        <f>$I838*'Parameter Inputs'!P$745</f>
        <v>72.729872520000001</v>
      </c>
      <c r="AG838" s="47">
        <f>$I838*'Parameter Inputs'!R$745</f>
        <v>5.4693750120000007E-4</v>
      </c>
      <c r="AH838" s="47">
        <f>$I838*'Parameter Inputs'!S$745</f>
        <v>7.2959279340000016</v>
      </c>
      <c r="AI838" s="47">
        <f>$I838*'Parameter Inputs'!T$745</f>
        <v>5.2989020130000002</v>
      </c>
      <c r="AJ838" s="47">
        <f>$I838*'Parameter Inputs'!U$745</f>
        <v>5.5116966150000009</v>
      </c>
    </row>
    <row r="839" spans="4:70">
      <c r="D839" s="8" t="s">
        <v>928</v>
      </c>
      <c r="E839" s="47">
        <v>2</v>
      </c>
      <c r="F839" s="47">
        <v>0.15</v>
      </c>
      <c r="G839" s="49">
        <f t="shared" si="9"/>
        <v>95.425876852789969</v>
      </c>
      <c r="H839" s="47">
        <v>28.3</v>
      </c>
      <c r="I839" s="47">
        <f t="shared" si="10"/>
        <v>56.6</v>
      </c>
      <c r="J839" s="47">
        <v>1.5</v>
      </c>
      <c r="K839" s="47">
        <v>1.4999999999999999E-2</v>
      </c>
      <c r="L839" s="47">
        <f ca="1">P788</f>
        <v>9.2260696997031566</v>
      </c>
      <c r="M839" s="47">
        <f ca="1">E820</f>
        <v>30.530046935683806</v>
      </c>
      <c r="N839" s="47">
        <f>0+(0.235)*((E839)/0.3)*((1.5^2)/(2*9.86))</f>
        <v>0.17875253549695741</v>
      </c>
      <c r="O839" s="47">
        <f t="shared" ca="1" si="11"/>
        <v>71381.788745617319</v>
      </c>
      <c r="P839" s="47">
        <v>1</v>
      </c>
      <c r="Q839" s="47">
        <f t="shared" ca="1" si="12"/>
        <v>71381.788745617319</v>
      </c>
      <c r="R839" s="47">
        <f t="shared" ca="1" si="13"/>
        <v>1.9828290514180086E-2</v>
      </c>
      <c r="S839" s="47">
        <f>$I839*'Parameter Inputs'!F$745</f>
        <v>308.24926000000005</v>
      </c>
      <c r="T839" s="47">
        <f>$I839*'Parameter Inputs'!J$745</f>
        <v>70.042500000000004</v>
      </c>
      <c r="U839" s="47">
        <f>$I839*'Parameter Inputs'!V$745</f>
        <v>2.7197998000000001</v>
      </c>
      <c r="V839" s="47">
        <f>$I839*'Parameter Inputs'!Q$745</f>
        <v>31.407339999999998</v>
      </c>
      <c r="W839" s="47">
        <f>$I839*'Parameter Inputs'!G$745</f>
        <v>25.436605999999998</v>
      </c>
      <c r="X839" s="47">
        <f>$I839*'Parameter Inputs'!H$745</f>
        <v>37.170918</v>
      </c>
      <c r="Y839" s="47">
        <f>$I839*'Parameter Inputs'!I$745</f>
        <v>9109.77</v>
      </c>
      <c r="Z839" s="47">
        <f>$I839*'Parameter Inputs'!M$745</f>
        <v>499.41576000000003</v>
      </c>
      <c r="AA839" s="47">
        <f>$I839*'Parameter Inputs'!N$745</f>
        <v>400.51292000000001</v>
      </c>
      <c r="AB839" s="47">
        <f>$I839*'Parameter Inputs'!E$745</f>
        <v>1.1219818000000001</v>
      </c>
      <c r="AC839" s="47">
        <f>$I839*'Parameter Inputs'!K$745</f>
        <v>0.10931158000000001</v>
      </c>
      <c r="AD839" s="47">
        <f>$I839*'Parameter Inputs'!L$745</f>
        <v>1.1648846000000001E-2</v>
      </c>
      <c r="AE839" s="47">
        <f>$I839*'Parameter Inputs'!O$745</f>
        <v>16.067042000000001</v>
      </c>
      <c r="AF839" s="47">
        <f>$I839*'Parameter Inputs'!P$745</f>
        <v>10.407608</v>
      </c>
      <c r="AG839" s="47">
        <f>$I839*'Parameter Inputs'!R$745</f>
        <v>7.8266479999999992E-5</v>
      </c>
      <c r="AH839" s="47">
        <f>$I839*'Parameter Inputs'!S$745</f>
        <v>1.0440436</v>
      </c>
      <c r="AI839" s="47">
        <f>$I839*'Parameter Inputs'!T$745</f>
        <v>0.75827020000000001</v>
      </c>
      <c r="AJ839" s="47">
        <f>$I839*'Parameter Inputs'!U$745</f>
        <v>0.78872100000000001</v>
      </c>
    </row>
    <row r="840" spans="4:70">
      <c r="D840" s="8" t="s">
        <v>927</v>
      </c>
      <c r="E840" s="47">
        <v>1.2</v>
      </c>
      <c r="F840" s="47">
        <v>0.15</v>
      </c>
      <c r="G840" s="49">
        <f t="shared" si="9"/>
        <v>95.425876852789969</v>
      </c>
      <c r="H840" s="47">
        <v>28.3</v>
      </c>
      <c r="I840" s="47">
        <f t="shared" si="10"/>
        <v>33.96</v>
      </c>
      <c r="J840" s="47">
        <v>1.5</v>
      </c>
      <c r="K840" s="47">
        <v>1.4999999999999999E-2</v>
      </c>
      <c r="L840" s="8">
        <f>K798</f>
        <v>1.6</v>
      </c>
      <c r="M840" s="47">
        <f ca="1">E822</f>
        <v>42.315236388828986</v>
      </c>
      <c r="N840" s="47">
        <f>K798+(0.235)*((E840)/0.3)*((1.5^2)/(2*9.86))</f>
        <v>1.7072515212981745</v>
      </c>
      <c r="O840" s="47">
        <f t="shared" ca="1" si="11"/>
        <v>944935.19222187565</v>
      </c>
      <c r="P840" s="47">
        <v>24</v>
      </c>
      <c r="Q840" s="47">
        <f t="shared" ca="1" si="12"/>
        <v>22678444.613325015</v>
      </c>
      <c r="R840" s="47">
        <f t="shared" ca="1" si="13"/>
        <v>6.2995729878001958</v>
      </c>
      <c r="S840" s="47">
        <f>$I840*'Parameter Inputs'!F$745</f>
        <v>184.94955600000003</v>
      </c>
      <c r="T840" s="47">
        <f>$I840*'Parameter Inputs'!J$745</f>
        <v>42.025500000000001</v>
      </c>
      <c r="U840" s="47">
        <f>$I840*'Parameter Inputs'!V$745</f>
        <v>1.6318798800000001</v>
      </c>
      <c r="V840" s="47">
        <f>$I840*'Parameter Inputs'!Q$745</f>
        <v>18.844403999999997</v>
      </c>
      <c r="W840" s="47">
        <f>$I840*'Parameter Inputs'!G$745</f>
        <v>15.2619636</v>
      </c>
      <c r="X840" s="47">
        <f>$I840*'Parameter Inputs'!H$745</f>
        <v>22.302550800000002</v>
      </c>
      <c r="Y840" s="47">
        <f>$I840*'Parameter Inputs'!I$745</f>
        <v>5465.8620000000001</v>
      </c>
      <c r="Z840" s="47">
        <f>$I840*'Parameter Inputs'!M$745</f>
        <v>299.64945600000004</v>
      </c>
      <c r="AA840" s="47">
        <f>$I840*'Parameter Inputs'!N$745</f>
        <v>240.30775199999999</v>
      </c>
      <c r="AB840" s="47">
        <f>$I840*'Parameter Inputs'!E$745</f>
        <v>0.67318908</v>
      </c>
      <c r="AC840" s="47">
        <f>$I840*'Parameter Inputs'!K$745</f>
        <v>6.5586948000000006E-2</v>
      </c>
      <c r="AD840" s="47">
        <f>$I840*'Parameter Inputs'!L$745</f>
        <v>6.9893076000000004E-3</v>
      </c>
      <c r="AE840" s="47">
        <f>$I840*'Parameter Inputs'!O$745</f>
        <v>9.6402252000000015</v>
      </c>
      <c r="AF840" s="47">
        <f>$I840*'Parameter Inputs'!P$745</f>
        <v>6.2445648</v>
      </c>
      <c r="AG840" s="47">
        <f>$I840*'Parameter Inputs'!R$745</f>
        <v>4.6959887999999998E-5</v>
      </c>
      <c r="AH840" s="47">
        <f>$I840*'Parameter Inputs'!S$745</f>
        <v>0.62642616000000007</v>
      </c>
      <c r="AI840" s="47">
        <f>$I840*'Parameter Inputs'!T$745</f>
        <v>0.45496211999999997</v>
      </c>
      <c r="AJ840" s="47">
        <f>$I840*'Parameter Inputs'!U$745</f>
        <v>0.4732326</v>
      </c>
    </row>
    <row r="841" spans="4:70">
      <c r="D841" s="8" t="s">
        <v>929</v>
      </c>
      <c r="E841" s="47">
        <v>3.6</v>
      </c>
      <c r="F841" s="47">
        <v>0.15</v>
      </c>
      <c r="G841" s="49">
        <f t="shared" si="9"/>
        <v>95.425876852789969</v>
      </c>
      <c r="H841" s="47">
        <v>28.3</v>
      </c>
      <c r="I841" s="47">
        <f t="shared" si="10"/>
        <v>101.88000000000001</v>
      </c>
      <c r="J841" s="47">
        <v>1.5</v>
      </c>
      <c r="K841" s="47">
        <v>1.4999999999999999E-2</v>
      </c>
      <c r="L841" s="8">
        <v>0</v>
      </c>
      <c r="M841" s="47">
        <f ca="1">E823</f>
        <v>42.315236388828986</v>
      </c>
      <c r="N841" s="47">
        <f>0+(0.235)*((E841)/0.3)*((1.5^2)/(2*9.86))</f>
        <v>0.32175456389452334</v>
      </c>
      <c r="O841" s="47">
        <f t="shared" ca="1" si="11"/>
        <v>178085.77522938783</v>
      </c>
      <c r="P841" s="47">
        <v>24</v>
      </c>
      <c r="Q841" s="47">
        <f t="shared" ca="1" si="12"/>
        <v>4274058.6055053081</v>
      </c>
      <c r="R841" s="47">
        <f t="shared" ca="1" si="13"/>
        <v>1.1872394513200535</v>
      </c>
      <c r="S841" s="47">
        <f>$I841*'Parameter Inputs'!F$745</f>
        <v>554.84866800000009</v>
      </c>
      <c r="T841" s="47">
        <f>$I841*'Parameter Inputs'!J$745</f>
        <v>126.07650000000001</v>
      </c>
      <c r="U841" s="47">
        <f>$I841*'Parameter Inputs'!V$745</f>
        <v>4.8956396400000006</v>
      </c>
      <c r="V841" s="47">
        <f>$I841*'Parameter Inputs'!Q$745</f>
        <v>56.533211999999999</v>
      </c>
      <c r="W841" s="47">
        <f>$I841*'Parameter Inputs'!G$745</f>
        <v>45.785890800000004</v>
      </c>
      <c r="X841" s="47">
        <f>$I841*'Parameter Inputs'!H$745</f>
        <v>66.907652400000003</v>
      </c>
      <c r="Y841" s="47">
        <f>$I841*'Parameter Inputs'!I$745</f>
        <v>16397.585999999999</v>
      </c>
      <c r="Z841" s="47">
        <f>$I841*'Parameter Inputs'!M$745</f>
        <v>898.94836800000019</v>
      </c>
      <c r="AA841" s="47">
        <f>$I841*'Parameter Inputs'!N$745</f>
        <v>720.92325600000004</v>
      </c>
      <c r="AB841" s="47">
        <f>$I841*'Parameter Inputs'!E$745</f>
        <v>2.0195672400000002</v>
      </c>
      <c r="AC841" s="47">
        <f>$I841*'Parameter Inputs'!K$745</f>
        <v>0.19676084400000002</v>
      </c>
      <c r="AD841" s="47">
        <f>$I841*'Parameter Inputs'!L$745</f>
        <v>2.0967922800000004E-2</v>
      </c>
      <c r="AE841" s="47">
        <f>$I841*'Parameter Inputs'!O$745</f>
        <v>28.920675600000003</v>
      </c>
      <c r="AF841" s="47">
        <f>$I841*'Parameter Inputs'!P$745</f>
        <v>18.733694400000001</v>
      </c>
      <c r="AG841" s="47">
        <f>$I841*'Parameter Inputs'!R$745</f>
        <v>1.4087966400000001E-4</v>
      </c>
      <c r="AH841" s="47">
        <f>$I841*'Parameter Inputs'!S$745</f>
        <v>1.8792784800000002</v>
      </c>
      <c r="AI841" s="47">
        <f>$I841*'Parameter Inputs'!T$745</f>
        <v>1.3648863600000001</v>
      </c>
      <c r="AJ841" s="47">
        <f>$I841*'Parameter Inputs'!U$745</f>
        <v>1.4196978</v>
      </c>
    </row>
    <row r="842" spans="4:70">
      <c r="D842" s="8" t="s">
        <v>930</v>
      </c>
      <c r="E842" s="47">
        <v>1.2</v>
      </c>
      <c r="F842" s="47">
        <v>0.1</v>
      </c>
      <c r="G842" s="49">
        <f t="shared" si="9"/>
        <v>42.411500823462212</v>
      </c>
      <c r="H842" s="47">
        <v>28.3</v>
      </c>
      <c r="I842" s="47">
        <f t="shared" si="10"/>
        <v>33.96</v>
      </c>
      <c r="J842" s="47">
        <v>1.5</v>
      </c>
      <c r="K842" s="47">
        <v>1.4999999999999999E-2</v>
      </c>
      <c r="L842" s="8">
        <f>K799</f>
        <v>1.2</v>
      </c>
      <c r="M842" s="47">
        <f ca="1">E824</f>
        <v>6.7172542140991549</v>
      </c>
      <c r="N842" s="47">
        <f>K799+(0.235)*((E842)/0.3)*((1.5^2)/(2*9.86))</f>
        <v>1.3072515212981743</v>
      </c>
      <c r="O842" s="47">
        <f t="shared" ca="1" si="11"/>
        <v>114857.32153748622</v>
      </c>
      <c r="P842" s="47">
        <v>20</v>
      </c>
      <c r="Q842" s="47">
        <f t="shared" ca="1" si="12"/>
        <v>2297146.4307497246</v>
      </c>
      <c r="R842" s="47">
        <f t="shared" ca="1" si="13"/>
        <v>0.63809674124079696</v>
      </c>
      <c r="S842" s="47">
        <f>$I842*'Parameter Inputs'!F$745</f>
        <v>184.94955600000003</v>
      </c>
      <c r="T842" s="47">
        <f>$I842*'Parameter Inputs'!J$745</f>
        <v>42.025500000000001</v>
      </c>
      <c r="U842" s="47">
        <f>$I842*'Parameter Inputs'!V$745</f>
        <v>1.6318798800000001</v>
      </c>
      <c r="V842" s="47">
        <f>$I842*'Parameter Inputs'!Q$745</f>
        <v>18.844403999999997</v>
      </c>
      <c r="W842" s="47">
        <f>$I842*'Parameter Inputs'!G$745</f>
        <v>15.2619636</v>
      </c>
      <c r="X842" s="47">
        <f>$I842*'Parameter Inputs'!H$745</f>
        <v>22.302550800000002</v>
      </c>
      <c r="Y842" s="47">
        <f>$I842*'Parameter Inputs'!I$745</f>
        <v>5465.8620000000001</v>
      </c>
      <c r="Z842" s="47">
        <f>$I842*'Parameter Inputs'!M$745</f>
        <v>299.64945600000004</v>
      </c>
      <c r="AA842" s="47">
        <f>$I842*'Parameter Inputs'!N$745</f>
        <v>240.30775199999999</v>
      </c>
      <c r="AB842" s="47">
        <f>$I842*'Parameter Inputs'!E$745</f>
        <v>0.67318908</v>
      </c>
      <c r="AC842" s="47">
        <f>$I842*'Parameter Inputs'!K$745</f>
        <v>6.5586948000000006E-2</v>
      </c>
      <c r="AD842" s="47">
        <f>$I842*'Parameter Inputs'!L$745</f>
        <v>6.9893076000000004E-3</v>
      </c>
      <c r="AE842" s="47">
        <f>$I842*'Parameter Inputs'!O$745</f>
        <v>9.6402252000000015</v>
      </c>
      <c r="AF842" s="47">
        <f>$I842*'Parameter Inputs'!P$745</f>
        <v>6.2445648</v>
      </c>
      <c r="AG842" s="47">
        <f>$I842*'Parameter Inputs'!R$745</f>
        <v>4.6959887999999998E-5</v>
      </c>
      <c r="AH842" s="47">
        <f>$I842*'Parameter Inputs'!S$745</f>
        <v>0.62642616000000007</v>
      </c>
      <c r="AI842" s="47">
        <f>$I842*'Parameter Inputs'!T$745</f>
        <v>0.45496211999999997</v>
      </c>
      <c r="AJ842" s="47">
        <f>$I842*'Parameter Inputs'!U$745</f>
        <v>0.4732326</v>
      </c>
    </row>
    <row r="843" spans="4:70">
      <c r="D843" s="8" t="s">
        <v>931</v>
      </c>
      <c r="E843" s="47">
        <v>6.7</v>
      </c>
      <c r="F843" s="47">
        <v>0.1</v>
      </c>
      <c r="G843" s="49">
        <f t="shared" si="9"/>
        <v>42.411500823462212</v>
      </c>
      <c r="H843" s="47">
        <v>28.3</v>
      </c>
      <c r="I843" s="47">
        <f t="shared" si="10"/>
        <v>189.61</v>
      </c>
      <c r="J843" s="47">
        <v>1.5</v>
      </c>
      <c r="K843" s="47">
        <v>1.4999999999999999E-2</v>
      </c>
      <c r="L843" s="8">
        <v>0</v>
      </c>
      <c r="M843" s="47">
        <f ca="1">'Parameter Inputs'!K1165/10</f>
        <v>6.7172542140991549</v>
      </c>
      <c r="N843" s="47">
        <f>0+(0.235)*((E843)/0.3)*((1.5^2)/(2*9.86))</f>
        <v>0.59882099391480736</v>
      </c>
      <c r="O843" s="47">
        <f t="shared" ca="1" si="11"/>
        <v>52613.421610837919</v>
      </c>
      <c r="P843" s="47">
        <v>20</v>
      </c>
      <c r="Q843" s="47">
        <f t="shared" ca="1" si="12"/>
        <v>1052268.4322167584</v>
      </c>
      <c r="R843" s="47">
        <f t="shared" ca="1" si="13"/>
        <v>0.29229702056430668</v>
      </c>
      <c r="S843" s="47">
        <f>$I843*'Parameter Inputs'!F$745</f>
        <v>1032.6350210000001</v>
      </c>
      <c r="T843" s="47">
        <f>$I843*'Parameter Inputs'!J$745</f>
        <v>234.64237500000002</v>
      </c>
      <c r="U843" s="47">
        <f>$I843*'Parameter Inputs'!V$745</f>
        <v>9.1113293300000002</v>
      </c>
      <c r="V843" s="47">
        <f>$I843*'Parameter Inputs'!Q$745</f>
        <v>105.214589</v>
      </c>
      <c r="W843" s="47">
        <f>$I843*'Parameter Inputs'!G$745</f>
        <v>85.212630099999998</v>
      </c>
      <c r="X843" s="47">
        <f>$I843*'Parameter Inputs'!H$745</f>
        <v>124.52257530000001</v>
      </c>
      <c r="Y843" s="47">
        <f>$I843*'Parameter Inputs'!I$745</f>
        <v>30517.729500000001</v>
      </c>
      <c r="Z843" s="47">
        <f>$I843*'Parameter Inputs'!M$745</f>
        <v>1673.0427960000002</v>
      </c>
      <c r="AA843" s="47">
        <f>$I843*'Parameter Inputs'!N$745</f>
        <v>1341.718282</v>
      </c>
      <c r="AB843" s="47">
        <f>$I843*'Parameter Inputs'!E$745</f>
        <v>3.7586390300000003</v>
      </c>
      <c r="AC843" s="47">
        <f>$I843*'Parameter Inputs'!K$745</f>
        <v>0.36619379299999999</v>
      </c>
      <c r="AD843" s="47">
        <f>$I843*'Parameter Inputs'!L$745</f>
        <v>3.9023634100000003E-2</v>
      </c>
      <c r="AE843" s="47">
        <f>$I843*'Parameter Inputs'!O$745</f>
        <v>53.824590700000009</v>
      </c>
      <c r="AF843" s="47">
        <f>$I843*'Parameter Inputs'!P$745</f>
        <v>34.865486799999999</v>
      </c>
      <c r="AG843" s="47">
        <f>$I843*'Parameter Inputs'!R$745</f>
        <v>2.62192708E-4</v>
      </c>
      <c r="AH843" s="47">
        <f>$I843*'Parameter Inputs'!S$745</f>
        <v>3.4975460600000003</v>
      </c>
      <c r="AI843" s="47">
        <f>$I843*'Parameter Inputs'!T$745</f>
        <v>2.5402051700000001</v>
      </c>
      <c r="AJ843" s="47">
        <f>$I843*'Parameter Inputs'!U$745</f>
        <v>2.6422153500000003</v>
      </c>
    </row>
    <row r="844" spans="4:70">
      <c r="D844" s="8" t="s">
        <v>932</v>
      </c>
      <c r="E844" s="47">
        <v>8.9</v>
      </c>
      <c r="F844" s="47">
        <v>0.1</v>
      </c>
      <c r="G844" s="49">
        <f t="shared" si="9"/>
        <v>42.411500823462212</v>
      </c>
      <c r="H844" s="47">
        <v>28.3</v>
      </c>
      <c r="I844" s="47">
        <f t="shared" si="10"/>
        <v>251.87</v>
      </c>
      <c r="J844" s="47">
        <v>1.5</v>
      </c>
      <c r="K844" s="47">
        <v>1.4999999999999999E-2</v>
      </c>
      <c r="L844" s="8">
        <v>0</v>
      </c>
      <c r="M844" s="47">
        <f ca="1">'Parameter Inputs'!Q1162/10</f>
        <v>0.47020779498693999</v>
      </c>
      <c r="N844" s="47">
        <f>0+(0.235)*((E844)/0.3)*((1.5^2)/(2*9.86))</f>
        <v>0.79544878296146049</v>
      </c>
      <c r="O844" s="47">
        <f t="shared" ca="1" si="11"/>
        <v>4892.2629348585024</v>
      </c>
      <c r="P844" s="47">
        <v>20</v>
      </c>
      <c r="Q844" s="47">
        <f t="shared" ca="1" si="12"/>
        <v>97845.258697170051</v>
      </c>
      <c r="R844" s="47">
        <f t="shared" ca="1" si="13"/>
        <v>2.7179260270382501E-2</v>
      </c>
      <c r="S844" s="47">
        <f>$I844*'Parameter Inputs'!F$745</f>
        <v>1371.7092070000001</v>
      </c>
      <c r="T844" s="47">
        <f>$I844*'Parameter Inputs'!J$745</f>
        <v>311.68912499999999</v>
      </c>
      <c r="U844" s="47">
        <f>$I844*'Parameter Inputs'!V$745</f>
        <v>12.10310911</v>
      </c>
      <c r="V844" s="47">
        <f>$I844*'Parameter Inputs'!Q$745</f>
        <v>139.762663</v>
      </c>
      <c r="W844" s="47">
        <f>$I844*'Parameter Inputs'!G$745</f>
        <v>113.19289669999999</v>
      </c>
      <c r="X844" s="47">
        <f>$I844*'Parameter Inputs'!H$745</f>
        <v>165.41058510000002</v>
      </c>
      <c r="Y844" s="47">
        <f>$I844*'Parameter Inputs'!I$745</f>
        <v>40538.476499999997</v>
      </c>
      <c r="Z844" s="47">
        <f>$I844*'Parameter Inputs'!M$745</f>
        <v>2222.4001320000002</v>
      </c>
      <c r="AA844" s="47">
        <f>$I844*'Parameter Inputs'!N$745</f>
        <v>1782.282494</v>
      </c>
      <c r="AB844" s="47">
        <f>$I844*'Parameter Inputs'!E$745</f>
        <v>4.9928190099999998</v>
      </c>
      <c r="AC844" s="47">
        <f>$I844*'Parameter Inputs'!K$745</f>
        <v>0.48643653100000001</v>
      </c>
      <c r="AD844" s="47">
        <f>$I844*'Parameter Inputs'!L$745</f>
        <v>5.1837364700000006E-2</v>
      </c>
      <c r="AE844" s="47">
        <f>$I844*'Parameter Inputs'!O$745</f>
        <v>71.498336899999998</v>
      </c>
      <c r="AF844" s="47">
        <f>$I844*'Parameter Inputs'!P$745</f>
        <v>46.313855599999997</v>
      </c>
      <c r="AG844" s="47">
        <f>$I844*'Parameter Inputs'!R$745</f>
        <v>3.4828583600000001E-4</v>
      </c>
      <c r="AH844" s="47">
        <f>$I844*'Parameter Inputs'!S$745</f>
        <v>4.6459940199999998</v>
      </c>
      <c r="AI844" s="47">
        <f>$I844*'Parameter Inputs'!T$745</f>
        <v>3.37430239</v>
      </c>
      <c r="AJ844" s="47">
        <f>$I844*'Parameter Inputs'!U$745</f>
        <v>3.50980845</v>
      </c>
    </row>
    <row r="845" spans="4:70" ht="15" thickBot="1">
      <c r="D845" s="53" t="s">
        <v>933</v>
      </c>
      <c r="E845" s="56">
        <v>23.44</v>
      </c>
      <c r="F845" s="56">
        <v>0.1</v>
      </c>
      <c r="G845" s="62">
        <f t="shared" si="9"/>
        <v>42.411500823462212</v>
      </c>
      <c r="H845" s="56">
        <v>28.3</v>
      </c>
      <c r="I845" s="56">
        <f t="shared" si="10"/>
        <v>663.35200000000009</v>
      </c>
      <c r="J845" s="56">
        <v>1.5</v>
      </c>
      <c r="K845" s="56">
        <v>1.4999999999999999E-2</v>
      </c>
      <c r="L845" s="56">
        <f ca="1">P790</f>
        <v>4.8481159638769027</v>
      </c>
      <c r="M845" s="56">
        <f ca="1">E826</f>
        <v>0.47020779498693999</v>
      </c>
      <c r="N845" s="56">
        <f ca="1">P790+(0.235)*((E845)/0.3)*((1.5^2)/(2*9.86))</f>
        <v>6.9430956799012442</v>
      </c>
      <c r="O845" s="56">
        <f t="shared" ca="1" si="11"/>
        <v>42702.246047188644</v>
      </c>
      <c r="P845" s="56">
        <v>20</v>
      </c>
      <c r="Q845" s="56">
        <f t="shared" ca="1" si="12"/>
        <v>854044.92094377289</v>
      </c>
      <c r="R845" s="56">
        <f t="shared" ca="1" si="13"/>
        <v>0.23723489004991932</v>
      </c>
      <c r="S845" s="56">
        <f>$I845*'Parameter Inputs'!F$745</f>
        <v>3612.6813272000009</v>
      </c>
      <c r="T845" s="56">
        <f>$I845*'Parameter Inputs'!J$745</f>
        <v>820.89810000000011</v>
      </c>
      <c r="U845" s="56">
        <f>$I845*'Parameter Inputs'!V$745</f>
        <v>31.876053656000003</v>
      </c>
      <c r="V845" s="56">
        <f>$I845*'Parameter Inputs'!Q$745</f>
        <v>368.0940248</v>
      </c>
      <c r="W845" s="56">
        <f>$I845*'Parameter Inputs'!G$745</f>
        <v>298.11702232000005</v>
      </c>
      <c r="X845" s="56">
        <f>$I845*'Parameter Inputs'!H$745</f>
        <v>435.64315896000011</v>
      </c>
      <c r="Y845" s="56">
        <f>$I845*'Parameter Inputs'!I$745</f>
        <v>106766.50440000001</v>
      </c>
      <c r="Z845" s="56">
        <f>$I845*'Parameter Inputs'!M$745</f>
        <v>5853.1527072000017</v>
      </c>
      <c r="AA845" s="56">
        <f>$I845*'Parameter Inputs'!N$745</f>
        <v>4694.0114224000008</v>
      </c>
      <c r="AB845" s="56">
        <f>$I845*'Parameter Inputs'!E$745</f>
        <v>13.149626696000002</v>
      </c>
      <c r="AC845" s="56">
        <f>$I845*'Parameter Inputs'!K$745</f>
        <v>1.2811317176000001</v>
      </c>
      <c r="AD845" s="56">
        <f>$I845*'Parameter Inputs'!L$745</f>
        <v>0.13652447512000002</v>
      </c>
      <c r="AE845" s="56">
        <f>$I845*'Parameter Inputs'!O$745</f>
        <v>188.30573224000003</v>
      </c>
      <c r="AF845" s="56">
        <f>$I845*'Parameter Inputs'!P$745</f>
        <v>121.97716576000001</v>
      </c>
      <c r="AG845" s="56">
        <f>$I845*'Parameter Inputs'!R$745</f>
        <v>9.1728314560000001E-4</v>
      </c>
      <c r="AH845" s="56">
        <f>$I845*'Parameter Inputs'!S$745</f>
        <v>12.236190992000003</v>
      </c>
      <c r="AI845" s="56">
        <f>$I845*'Parameter Inputs'!T$745</f>
        <v>8.8869267440000002</v>
      </c>
      <c r="AJ845" s="56">
        <f>$I845*'Parameter Inputs'!U$745</f>
        <v>9.2438101200000009</v>
      </c>
    </row>
    <row r="846" spans="4:70" ht="15" thickTop="1">
      <c r="D846" s="15" t="s">
        <v>934</v>
      </c>
      <c r="E846" s="15">
        <f>SUM(E831:E845)</f>
        <v>155.38999999999999</v>
      </c>
      <c r="F846" s="39">
        <f>E846-E837-E838</f>
        <v>136.78999999999996</v>
      </c>
      <c r="G846" s="15"/>
      <c r="H846" s="15"/>
      <c r="I846" s="39">
        <f>SUM(I831:I845)</f>
        <v>4662.2150000000001</v>
      </c>
      <c r="J846" s="15"/>
      <c r="K846" s="15"/>
      <c r="L846" s="15"/>
      <c r="M846" s="15"/>
      <c r="N846" s="15"/>
      <c r="O846" s="39">
        <f ca="1">SUM(O831:O845)</f>
        <v>43982073.491856717</v>
      </c>
      <c r="P846" s="39">
        <f>SUM(P831:P845)</f>
        <v>184.34399999999999</v>
      </c>
      <c r="Q846" s="39">
        <f ca="1">SUM(Q831:Q845)</f>
        <v>309040643.53708827</v>
      </c>
      <c r="R846" s="39">
        <f ca="1">SUM(R831:R845)</f>
        <v>85.844691880445296</v>
      </c>
      <c r="S846" s="39">
        <f>SUM(S831:S845)</f>
        <v>25390.889111500001</v>
      </c>
      <c r="T846" s="39">
        <f t="shared" ref="T846:AJ846" si="14">SUM(T831:T845)</f>
        <v>5769.4910625000002</v>
      </c>
      <c r="U846" s="39">
        <f t="shared" si="14"/>
        <v>224.03341739500004</v>
      </c>
      <c r="V846" s="39">
        <f t="shared" si="14"/>
        <v>2587.0631035000001</v>
      </c>
      <c r="W846" s="39">
        <f t="shared" si="14"/>
        <v>2095.2460431499999</v>
      </c>
      <c r="X846" s="39">
        <f t="shared" si="14"/>
        <v>3061.8164569500004</v>
      </c>
      <c r="Y846" s="39">
        <f t="shared" si="14"/>
        <v>750383.50424999988</v>
      </c>
      <c r="Z846" s="39">
        <f t="shared" si="14"/>
        <v>41137.520274000002</v>
      </c>
      <c r="AA846" s="39">
        <f t="shared" si="14"/>
        <v>32990.765783000003</v>
      </c>
      <c r="AB846" s="39">
        <f t="shared" si="14"/>
        <v>92.419087945000001</v>
      </c>
      <c r="AC846" s="39">
        <f t="shared" si="14"/>
        <v>9.0041358294999974</v>
      </c>
      <c r="AD846" s="39">
        <f t="shared" si="14"/>
        <v>0.95953046915000006</v>
      </c>
      <c r="AE846" s="39">
        <f t="shared" si="14"/>
        <v>1323.46297205</v>
      </c>
      <c r="AF846" s="39">
        <f t="shared" si="14"/>
        <v>857.28809420000005</v>
      </c>
      <c r="AG846" s="39">
        <f t="shared" si="14"/>
        <v>6.4469109020000009E-3</v>
      </c>
      <c r="AH846" s="39">
        <f t="shared" si="14"/>
        <v>85.999217890000011</v>
      </c>
      <c r="AI846" s="39">
        <f t="shared" si="14"/>
        <v>62.459694354999996</v>
      </c>
      <c r="AJ846" s="39">
        <f t="shared" si="14"/>
        <v>64.96796602500001</v>
      </c>
    </row>
    <row r="847" spans="4:70">
      <c r="F847" s="86">
        <f>E837+E838</f>
        <v>18.600000000000001</v>
      </c>
      <c r="I847" s="86">
        <f>I846-I838-I837</f>
        <v>3871.1569999999997</v>
      </c>
    </row>
    <row r="848" spans="4:70">
      <c r="D848" s="49"/>
      <c r="E848" s="49"/>
      <c r="F848" s="49" t="s">
        <v>895</v>
      </c>
      <c r="G848" s="49" t="s">
        <v>1010</v>
      </c>
      <c r="H848" s="8" t="s">
        <v>899</v>
      </c>
      <c r="I848" s="8" t="s">
        <v>900</v>
      </c>
      <c r="J848" s="8" t="s">
        <v>1298</v>
      </c>
      <c r="K848" s="8" t="s">
        <v>1299</v>
      </c>
      <c r="L848" s="8" t="s">
        <v>1300</v>
      </c>
      <c r="M848" s="8" t="s">
        <v>1301</v>
      </c>
      <c r="N848" s="8" t="s">
        <v>1302</v>
      </c>
      <c r="O848" s="8" t="s">
        <v>1435</v>
      </c>
      <c r="P848" s="8" t="s">
        <v>1434</v>
      </c>
      <c r="Q848" s="8" t="s">
        <v>1433</v>
      </c>
      <c r="R848" s="8" t="s">
        <v>1432</v>
      </c>
      <c r="S848" s="8" t="s">
        <v>1431</v>
      </c>
      <c r="T848" s="8" t="s">
        <v>1430</v>
      </c>
      <c r="U848" s="8" t="s">
        <v>1429</v>
      </c>
      <c r="V848" s="8" t="s">
        <v>1428</v>
      </c>
      <c r="W848" s="8" t="s">
        <v>1427</v>
      </c>
      <c r="AU848" s="134"/>
      <c r="AV848" s="134"/>
      <c r="AX848" s="134"/>
      <c r="AY848" s="135"/>
      <c r="AZ848" s="135"/>
      <c r="BA848" s="135"/>
      <c r="BB848" s="135"/>
      <c r="BC848" s="135"/>
      <c r="BD848" s="135"/>
      <c r="BE848" s="135"/>
      <c r="BF848" s="135"/>
      <c r="BG848" s="135"/>
      <c r="BJ848" s="5" t="s">
        <v>895</v>
      </c>
      <c r="BK848" s="5" t="s">
        <v>1194</v>
      </c>
      <c r="BL848" s="5" t="s">
        <v>1525</v>
      </c>
      <c r="BM848" s="5" t="s">
        <v>1245</v>
      </c>
      <c r="BN848" s="5" t="s">
        <v>1487</v>
      </c>
      <c r="BO848" s="134" t="s">
        <v>1483</v>
      </c>
      <c r="BP848" s="134" t="s">
        <v>1484</v>
      </c>
      <c r="BQ848" s="5" t="s">
        <v>1485</v>
      </c>
      <c r="BR848" s="134" t="s">
        <v>1486</v>
      </c>
    </row>
    <row r="849" spans="4:70">
      <c r="D849" s="49" t="s">
        <v>1580</v>
      </c>
      <c r="E849" s="49">
        <f>O877*0.225*O874</f>
        <v>255150</v>
      </c>
      <c r="F849" s="8">
        <f>$E$849*'Parameter Inputs'!F759</f>
        <v>37083.500999999997</v>
      </c>
      <c r="G849" s="8">
        <f>$E$849*'Parameter Inputs'!J759</f>
        <v>6032.7665999999999</v>
      </c>
      <c r="H849" s="8">
        <f>$E$849*'Parameter Inputs'!V759</f>
        <v>112.893669</v>
      </c>
      <c r="I849" s="8">
        <f>$E$849*'Parameter Inputs'!Q759</f>
        <v>759.96427499999993</v>
      </c>
      <c r="J849" s="8">
        <f>$E$849*'Parameter Inputs'!G759</f>
        <v>1198.8988200000001</v>
      </c>
      <c r="K849" s="8">
        <f>$E$849*'Parameter Inputs'!H759</f>
        <v>1634.465385</v>
      </c>
      <c r="L849" s="8">
        <f>$E$849*'Parameter Inputs'!I759</f>
        <v>177502.75199999998</v>
      </c>
      <c r="M849" s="8">
        <f>$E$849*'Parameter Inputs'!M759</f>
        <v>3006.4324500000002</v>
      </c>
      <c r="N849" s="8">
        <f>$E$849*'Parameter Inputs'!N759</f>
        <v>25742.083499999997</v>
      </c>
      <c r="O849" s="8">
        <f>$E$849*'Parameter Inputs'!E759</f>
        <v>89.764321499999994</v>
      </c>
      <c r="P849" s="8">
        <f>$E$849*'Parameter Inputs'!K759</f>
        <v>5.7327101999999996</v>
      </c>
      <c r="Q849" s="8">
        <f>$E$849*'Parameter Inputs'!L759</f>
        <v>0.77509466999999999</v>
      </c>
      <c r="R849" s="8">
        <f>$E$849*'Parameter Inputs'!O759</f>
        <v>601.10788500000001</v>
      </c>
      <c r="S849" s="8">
        <f>$E$849*'Parameter Inputs'!P759</f>
        <v>1660.4651699999999</v>
      </c>
      <c r="T849" s="8">
        <f>$E$849*'Parameter Inputs'!R759</f>
        <v>5.0973866999999996E-3</v>
      </c>
      <c r="U849" s="8">
        <f>$E$849*'Parameter Inputs'!S759</f>
        <v>39.928423499999994</v>
      </c>
      <c r="V849" s="8">
        <f>$E$849*'Parameter Inputs'!T759</f>
        <v>108.1249155</v>
      </c>
      <c r="W849" s="8">
        <f>$E$849*'Parameter Inputs'!U759</f>
        <v>111.1969215</v>
      </c>
      <c r="BJ849" s="113" t="e">
        <f t="shared" ref="BJ849:BR861" si="15">AP849/AP$862</f>
        <v>#DIV/0!</v>
      </c>
      <c r="BK849" s="113" t="e">
        <f t="shared" si="15"/>
        <v>#DIV/0!</v>
      </c>
      <c r="BL849" s="113" t="e">
        <f t="shared" si="15"/>
        <v>#DIV/0!</v>
      </c>
      <c r="BM849" s="113" t="e">
        <f t="shared" si="15"/>
        <v>#DIV/0!</v>
      </c>
      <c r="BN849" s="113" t="e">
        <f t="shared" si="15"/>
        <v>#DIV/0!</v>
      </c>
      <c r="BO849" s="113" t="e">
        <f t="shared" si="15"/>
        <v>#DIV/0!</v>
      </c>
      <c r="BP849" s="113" t="e">
        <f t="shared" si="15"/>
        <v>#DIV/0!</v>
      </c>
      <c r="BQ849" s="113" t="e">
        <f t="shared" si="15"/>
        <v>#DIV/0!</v>
      </c>
      <c r="BR849" s="113" t="e">
        <f t="shared" si="15"/>
        <v>#DIV/0!</v>
      </c>
    </row>
    <row r="850" spans="4:70">
      <c r="D850" s="49" t="s">
        <v>1585</v>
      </c>
      <c r="E850" s="49">
        <f>O875*O876*5.4</f>
        <v>2700</v>
      </c>
      <c r="F850" s="49">
        <f>$E$850*'Parameter Inputs'!F761</f>
        <v>352.02600000000001</v>
      </c>
      <c r="G850" s="49">
        <f>$E$850*'Parameter Inputs'!J761</f>
        <v>277.07400000000001</v>
      </c>
      <c r="H850" s="49">
        <f>$E$850*'Parameter Inputs'!V761</f>
        <v>1.3496759999999999</v>
      </c>
      <c r="I850" s="49">
        <f>$E$850*'Parameter Inputs'!Q761</f>
        <v>4.3086600000000006</v>
      </c>
      <c r="J850" s="49">
        <f>$E$850*'Parameter Inputs'!G761</f>
        <v>7.7363099999999996</v>
      </c>
      <c r="K850" s="49">
        <f>$E$850*'Parameter Inputs'!H761</f>
        <v>11.354039999999999</v>
      </c>
      <c r="L850" s="49">
        <f>$E$850*'Parameter Inputs'!I761</f>
        <v>947.69999999999993</v>
      </c>
      <c r="M850" s="49">
        <f>$E$850*'Parameter Inputs'!M761</f>
        <v>14.48793</v>
      </c>
      <c r="N850" s="49">
        <f>$E$850*'Parameter Inputs'!N761</f>
        <v>272.83499999999998</v>
      </c>
      <c r="O850" s="49">
        <f>$E$850*'Parameter Inputs'!E761</f>
        <v>1.4196330000000001</v>
      </c>
      <c r="P850" s="49">
        <f>$E$850*'Parameter Inputs'!K761</f>
        <v>6.1449299999999998E-2</v>
      </c>
      <c r="Q850" s="49">
        <f>$E$850*'Parameter Inputs'!L761</f>
        <v>2.606472E-2</v>
      </c>
      <c r="R850" s="49">
        <f>$E$850*'Parameter Inputs'!O761</f>
        <v>6.0782400000000001</v>
      </c>
      <c r="S850" s="49">
        <f>$E$850*'Parameter Inputs'!P761</f>
        <v>24.964739999999999</v>
      </c>
      <c r="T850" s="49">
        <f>$E$850*'Parameter Inputs'!R761</f>
        <v>8.6945400000000003E-5</v>
      </c>
      <c r="U850" s="49">
        <f>$E$850*'Parameter Inputs'!S761</f>
        <v>0.55981800000000004</v>
      </c>
      <c r="V850" s="49">
        <f>$E$850*'Parameter Inputs'!T761</f>
        <v>1.2375449999999999</v>
      </c>
      <c r="W850" s="49">
        <f>$E$850*'Parameter Inputs'!U761</f>
        <v>1.4219010000000001</v>
      </c>
      <c r="BJ850" s="113" t="e">
        <f t="shared" si="15"/>
        <v>#DIV/0!</v>
      </c>
      <c r="BK850" s="113" t="e">
        <f t="shared" si="15"/>
        <v>#DIV/0!</v>
      </c>
      <c r="BL850" s="113" t="e">
        <f t="shared" si="15"/>
        <v>#DIV/0!</v>
      </c>
      <c r="BM850" s="113" t="e">
        <f t="shared" si="15"/>
        <v>#DIV/0!</v>
      </c>
      <c r="BN850" s="113" t="e">
        <f t="shared" si="15"/>
        <v>#DIV/0!</v>
      </c>
      <c r="BO850" s="113" t="e">
        <f t="shared" si="15"/>
        <v>#DIV/0!</v>
      </c>
      <c r="BP850" s="113" t="e">
        <f t="shared" si="15"/>
        <v>#DIV/0!</v>
      </c>
      <c r="BQ850" s="113" t="e">
        <f t="shared" si="15"/>
        <v>#DIV/0!</v>
      </c>
      <c r="BR850" s="113" t="e">
        <f t="shared" si="15"/>
        <v>#DIV/0!</v>
      </c>
    </row>
    <row r="851" spans="4:70">
      <c r="D851" s="49" t="s">
        <v>1593</v>
      </c>
      <c r="E851" s="49">
        <f>O875*O876*0.15</f>
        <v>75</v>
      </c>
      <c r="F851" s="49">
        <f>$E$851*'Parameter Inputs'!F757</f>
        <v>75255</v>
      </c>
      <c r="G851" s="49">
        <f>$E$851*'Parameter Inputs'!J757</f>
        <v>16083</v>
      </c>
      <c r="H851" s="49">
        <f>$E$851*'Parameter Inputs'!V757</f>
        <v>454.3725</v>
      </c>
      <c r="I851" s="49">
        <f>$E$851*'Parameter Inputs'!Q757</f>
        <v>4609.3499999999995</v>
      </c>
      <c r="J851" s="49">
        <f>$E$851*'Parameter Inputs'!G757</f>
        <v>2112.9749999999999</v>
      </c>
      <c r="K851" s="49">
        <f>$E$851*'Parameter Inputs'!H757</f>
        <v>2923.4249999999997</v>
      </c>
      <c r="L851" s="49">
        <f>$E$851*'Parameter Inputs'!I757</f>
        <v>180817.5</v>
      </c>
      <c r="M851" s="49">
        <f>$E$851*'Parameter Inputs'!M757</f>
        <v>13017</v>
      </c>
      <c r="N851" s="49">
        <f>$E$851*'Parameter Inputs'!N757</f>
        <v>47110.5</v>
      </c>
      <c r="O851" s="49">
        <f>$E$851*'Parameter Inputs'!E757</f>
        <v>224.1</v>
      </c>
      <c r="P851" s="49">
        <f>$E$851*'Parameter Inputs'!K757</f>
        <v>23.2485</v>
      </c>
      <c r="Q851" s="49">
        <f>$E$851*'Parameter Inputs'!L757</f>
        <v>2.0503499999999999</v>
      </c>
      <c r="R851" s="49">
        <f>$E$851*'Parameter Inputs'!O757</f>
        <v>5078.2499999999991</v>
      </c>
      <c r="S851" s="49">
        <f>$E$851*'Parameter Inputs'!P757</f>
        <v>1594.0500000000002</v>
      </c>
      <c r="T851" s="49">
        <f>$E$851*'Parameter Inputs'!R757</f>
        <v>1.7903249999999999E-2</v>
      </c>
      <c r="U851" s="49">
        <f>$E$851*'Parameter Inputs'!S757</f>
        <v>122.46000000000001</v>
      </c>
      <c r="V851" s="49">
        <f>$E$851*'Parameter Inputs'!T757</f>
        <v>189.80250000000001</v>
      </c>
      <c r="W851" s="49">
        <f>$E$851*'Parameter Inputs'!U757</f>
        <v>196.51500000000001</v>
      </c>
      <c r="BJ851" s="113" t="e">
        <f t="shared" si="15"/>
        <v>#DIV/0!</v>
      </c>
      <c r="BK851" s="113" t="e">
        <f t="shared" si="15"/>
        <v>#DIV/0!</v>
      </c>
      <c r="BL851" s="113" t="e">
        <f t="shared" si="15"/>
        <v>#DIV/0!</v>
      </c>
      <c r="BM851" s="113" t="e">
        <f t="shared" si="15"/>
        <v>#DIV/0!</v>
      </c>
      <c r="BN851" s="113" t="e">
        <f t="shared" si="15"/>
        <v>#DIV/0!</v>
      </c>
      <c r="BO851" s="113" t="e">
        <f t="shared" si="15"/>
        <v>#DIV/0!</v>
      </c>
      <c r="BP851" s="113" t="e">
        <f t="shared" si="15"/>
        <v>#DIV/0!</v>
      </c>
      <c r="BQ851" s="113" t="e">
        <f t="shared" si="15"/>
        <v>#DIV/0!</v>
      </c>
      <c r="BR851" s="113" t="e">
        <f t="shared" si="15"/>
        <v>#DIV/0!</v>
      </c>
    </row>
    <row r="852" spans="4:70">
      <c r="D852" s="49" t="s">
        <v>1588</v>
      </c>
      <c r="E852" s="49">
        <f ca="1">O890</f>
        <v>18.099643089261793</v>
      </c>
      <c r="F852" s="49">
        <f ca="1">$E$852*'Parameter Inputs'!F729</f>
        <v>6076.5931743578622</v>
      </c>
      <c r="G852" s="49">
        <f ca="1">$E$852*'Parameter Inputs'!J729</f>
        <v>794.91822483728868</v>
      </c>
      <c r="H852" s="49">
        <f ca="1">$E$852*'Parameter Inputs'!V729</f>
        <v>11.565128944745609</v>
      </c>
      <c r="I852" s="49">
        <f ca="1">$E$852*'Parameter Inputs'!Q729</f>
        <v>49.19482991661355</v>
      </c>
      <c r="J852" s="49">
        <f ca="1">$E$852*'Parameter Inputs'!G729</f>
        <v>97.555266286812142</v>
      </c>
      <c r="K852" s="49">
        <f ca="1">$E$852*'Parameter Inputs'!H729</f>
        <v>134.10568554126741</v>
      </c>
      <c r="L852" s="49">
        <f ca="1">$E$852*'Parameter Inputs'!I729</f>
        <v>13514.279509028211</v>
      </c>
      <c r="M852" s="49">
        <f ca="1">$E$852*'Parameter Inputs'!M729</f>
        <v>145.28402511319547</v>
      </c>
      <c r="N852" s="49">
        <f ca="1">$E$852*'Parameter Inputs'!N729</f>
        <v>2536.4839825291474</v>
      </c>
      <c r="O852" s="49">
        <f ca="1">$E$852*'Parameter Inputs'!E729</f>
        <v>12.248028478503455</v>
      </c>
      <c r="P852" s="49">
        <f ca="1">$E$852*'Parameter Inputs'!K729</f>
        <v>0.6930534335309233</v>
      </c>
      <c r="Q852" s="49">
        <f ca="1">$E$852*'Parameter Inputs'!L729</f>
        <v>7.1708975955346296E-2</v>
      </c>
      <c r="R852" s="49">
        <f ca="1">$E$852*'Parameter Inputs'!O729</f>
        <v>60.955977996015868</v>
      </c>
      <c r="S852" s="49">
        <f ca="1">$E$852*'Parameter Inputs'!P729</f>
        <v>127.74366099539189</v>
      </c>
      <c r="T852" s="49">
        <f ca="1">$E$852*'Parameter Inputs'!R729</f>
        <v>5.333783821974558E-4</v>
      </c>
      <c r="U852" s="49">
        <f ca="1">$E$852*'Parameter Inputs'!S729</f>
        <v>5.136316715870711</v>
      </c>
      <c r="V852" s="49">
        <f ca="1">$E$852*'Parameter Inputs'!T729</f>
        <v>15.02704767842871</v>
      </c>
      <c r="W852" s="49">
        <f ca="1">$E$852*'Parameter Inputs'!U729</f>
        <v>15.358633139823986</v>
      </c>
      <c r="BJ852" s="113" t="e">
        <f t="shared" si="15"/>
        <v>#DIV/0!</v>
      </c>
      <c r="BK852" s="113" t="e">
        <f t="shared" si="15"/>
        <v>#DIV/0!</v>
      </c>
      <c r="BL852" s="113" t="e">
        <f t="shared" si="15"/>
        <v>#DIV/0!</v>
      </c>
      <c r="BM852" s="113" t="e">
        <f t="shared" si="15"/>
        <v>#DIV/0!</v>
      </c>
      <c r="BN852" s="113" t="e">
        <f t="shared" si="15"/>
        <v>#DIV/0!</v>
      </c>
      <c r="BO852" s="113" t="e">
        <f t="shared" si="15"/>
        <v>#DIV/0!</v>
      </c>
      <c r="BP852" s="113" t="e">
        <f t="shared" si="15"/>
        <v>#DIV/0!</v>
      </c>
      <c r="BQ852" s="113" t="e">
        <f t="shared" si="15"/>
        <v>#DIV/0!</v>
      </c>
      <c r="BR852" s="113" t="e">
        <f t="shared" si="15"/>
        <v>#DIV/0!</v>
      </c>
    </row>
    <row r="853" spans="4:70">
      <c r="D853" s="49" t="s">
        <v>1589</v>
      </c>
      <c r="E853" s="49">
        <f ca="1">E852*0.01*8000</f>
        <v>1447.9714471409436</v>
      </c>
      <c r="F853" s="49">
        <f ca="1">$E$853*'Parameter Inputs'!F753</f>
        <v>3056.3781306251035</v>
      </c>
      <c r="G853" s="49">
        <f ca="1">$E$853*'Parameter Inputs'!J753</f>
        <v>702.03447643181505</v>
      </c>
      <c r="H853" s="49">
        <f ca="1">$E$853*'Parameter Inputs'!V753</f>
        <v>31.060435512620383</v>
      </c>
      <c r="I853" s="49">
        <f ca="1">$E$853*'Parameter Inputs'!Q753</f>
        <v>1023.4551782681617</v>
      </c>
      <c r="J853" s="49">
        <f ca="1">$E$853*'Parameter Inputs'!G753</f>
        <v>215.87806305424328</v>
      </c>
      <c r="K853" s="49">
        <f ca="1">$E$853*'Parameter Inputs'!H753</f>
        <v>303.30657903261346</v>
      </c>
      <c r="L853" s="49">
        <f ca="1">$E$853*'Parameter Inputs'!I753</f>
        <v>10424.091245112366</v>
      </c>
      <c r="M853" s="49">
        <f ca="1">$E$853*'Parameter Inputs'!M753</f>
        <v>2578.1131616344501</v>
      </c>
      <c r="N853" s="49">
        <f ca="1">$E$853*'Parameter Inputs'!N753</f>
        <v>2626.0410165348153</v>
      </c>
      <c r="O853" s="49">
        <f ca="1">$E$853*'Parameter Inputs'!E753</f>
        <v>7.9694900479190398</v>
      </c>
      <c r="P853" s="49">
        <f ca="1">$E$853*'Parameter Inputs'!K753</f>
        <v>1.398117790215881</v>
      </c>
      <c r="Q853" s="49">
        <f ca="1">$E$853*'Parameter Inputs'!L753</f>
        <v>0.14310881000672801</v>
      </c>
      <c r="R853" s="49">
        <f ca="1">$E$853*'Parameter Inputs'!O753</f>
        <v>102.28615099748339</v>
      </c>
      <c r="S853" s="49">
        <f ca="1">$E$853*'Parameter Inputs'!P753</f>
        <v>50.983074653832624</v>
      </c>
      <c r="T853" s="49">
        <f ca="1">$E$853*'Parameter Inputs'!R753</f>
        <v>4.7367489950321686E-4</v>
      </c>
      <c r="U853" s="49">
        <f ca="1">$E$853*'Parameter Inputs'!S753</f>
        <v>5.2543987873850568</v>
      </c>
      <c r="V853" s="49">
        <f ca="1">$E$853*'Parameter Inputs'!T753</f>
        <v>7.7200045675766544</v>
      </c>
      <c r="W853" s="49">
        <f ca="1">$E$853*'Parameter Inputs'!U753</f>
        <v>8.3814379246306387</v>
      </c>
      <c r="BJ853" s="113" t="e">
        <f t="shared" si="15"/>
        <v>#DIV/0!</v>
      </c>
      <c r="BK853" s="113" t="e">
        <f t="shared" si="15"/>
        <v>#DIV/0!</v>
      </c>
      <c r="BL853" s="113" t="e">
        <f t="shared" si="15"/>
        <v>#DIV/0!</v>
      </c>
      <c r="BM853" s="113" t="e">
        <f t="shared" si="15"/>
        <v>#DIV/0!</v>
      </c>
      <c r="BN853" s="113" t="e">
        <f t="shared" si="15"/>
        <v>#DIV/0!</v>
      </c>
      <c r="BO853" s="113" t="e">
        <f t="shared" si="15"/>
        <v>#DIV/0!</v>
      </c>
      <c r="BP853" s="113" t="e">
        <f t="shared" si="15"/>
        <v>#DIV/0!</v>
      </c>
      <c r="BQ853" s="113" t="e">
        <f t="shared" si="15"/>
        <v>#DIV/0!</v>
      </c>
      <c r="BR853" s="113" t="e">
        <f t="shared" si="15"/>
        <v>#DIV/0!</v>
      </c>
    </row>
    <row r="854" spans="4:70">
      <c r="D854" s="49" t="s">
        <v>1584</v>
      </c>
      <c r="E854" s="49">
        <f ca="1">E885*5+G885+I885+K885+M885+O890</f>
        <v>381.79030758757557</v>
      </c>
      <c r="F854" s="49">
        <f ca="1">$E$854*'Parameter Inputs'!F755</f>
        <v>226.50091787940508</v>
      </c>
      <c r="G854" s="49">
        <f ca="1">$E$854*'Parameter Inputs'!J755</f>
        <v>66.114627564940463</v>
      </c>
      <c r="H854" s="49">
        <f ca="1">$E$854*'Parameter Inputs'!V755</f>
        <v>0.24077223957702867</v>
      </c>
      <c r="I854" s="49">
        <f ca="1">$E$854*'Parameter Inputs'!Q755</f>
        <v>4.847591535439447</v>
      </c>
      <c r="J854" s="49">
        <f ca="1">$E$854*'Parameter Inputs'!G755</f>
        <v>1.4851642965156688</v>
      </c>
      <c r="K854" s="49">
        <f ca="1">$E$854*'Parameter Inputs'!H755</f>
        <v>2.2798990007899662</v>
      </c>
      <c r="L854" s="49">
        <f ca="1">$E$854*'Parameter Inputs'!I755</f>
        <v>268.05497495723677</v>
      </c>
      <c r="M854" s="49">
        <f ca="1">$E$854*'Parameter Inputs'!M755</f>
        <v>14.258722617473184</v>
      </c>
      <c r="N854" s="49">
        <f ca="1">$E$854*'Parameter Inputs'!N755</f>
        <v>27.914598339265588</v>
      </c>
      <c r="O854" s="49">
        <f ca="1">$E$854*'Parameter Inputs'!E755</f>
        <v>1.0235798146422901</v>
      </c>
      <c r="P854" s="49">
        <f ca="1">$E$854*'Parameter Inputs'!K755</f>
        <v>1.0406840204222135E-2</v>
      </c>
      <c r="Q854" s="49">
        <f ca="1">$E$854*'Parameter Inputs'!L755</f>
        <v>5.6539326650644067E-3</v>
      </c>
      <c r="R854" s="49">
        <f ca="1">$E$854*'Parameter Inputs'!O755</f>
        <v>2.0162727934007454</v>
      </c>
      <c r="S854" s="49">
        <f ca="1">$E$854*'Parameter Inputs'!P755</f>
        <v>0.71944565561802742</v>
      </c>
      <c r="T854" s="49">
        <f ca="1">$E$854*'Parameter Inputs'!R755</f>
        <v>8.118007310234619E-5</v>
      </c>
      <c r="U854" s="49">
        <f ca="1">$E$854*'Parameter Inputs'!S755</f>
        <v>0.53492639996095215</v>
      </c>
      <c r="V854" s="49">
        <f ca="1">$E$854*'Parameter Inputs'!T755</f>
        <v>2.4258956144114552</v>
      </c>
      <c r="W854" s="49">
        <f ca="1">$E$854*'Parameter Inputs'!U755</f>
        <v>2.4930525295161097</v>
      </c>
      <c r="AP854" s="86"/>
      <c r="AQ854" s="86"/>
      <c r="AR854" s="86"/>
      <c r="AS854" s="86"/>
      <c r="AT854" s="86"/>
      <c r="AU854" s="86"/>
      <c r="AV854" s="86"/>
      <c r="AW854" s="86"/>
      <c r="AX854" s="86"/>
      <c r="AY854" s="86"/>
      <c r="AZ854" s="86"/>
      <c r="BA854" s="86"/>
      <c r="BB854" s="86"/>
      <c r="BC854" s="86"/>
      <c r="BD854" s="86"/>
      <c r="BE854" s="86"/>
      <c r="BF854" s="86"/>
      <c r="BG854" s="86"/>
      <c r="BJ854" s="113" t="e">
        <f t="shared" si="15"/>
        <v>#DIV/0!</v>
      </c>
      <c r="BK854" s="113" t="e">
        <f t="shared" si="15"/>
        <v>#DIV/0!</v>
      </c>
      <c r="BL854" s="113" t="e">
        <f t="shared" si="15"/>
        <v>#DIV/0!</v>
      </c>
      <c r="BM854" s="113" t="e">
        <f t="shared" si="15"/>
        <v>#DIV/0!</v>
      </c>
      <c r="BN854" s="113" t="e">
        <f t="shared" si="15"/>
        <v>#DIV/0!</v>
      </c>
      <c r="BO854" s="113" t="e">
        <f t="shared" si="15"/>
        <v>#DIV/0!</v>
      </c>
      <c r="BP854" s="113" t="e">
        <f t="shared" si="15"/>
        <v>#DIV/0!</v>
      </c>
      <c r="BQ854" s="113" t="e">
        <f t="shared" si="15"/>
        <v>#DIV/0!</v>
      </c>
      <c r="BR854" s="113" t="e">
        <f t="shared" si="15"/>
        <v>#DIV/0!</v>
      </c>
    </row>
    <row r="855" spans="4:70">
      <c r="F855" s="5">
        <f ca="1">SUM(F849:F854)</f>
        <v>122049.99922286237</v>
      </c>
      <c r="G855" s="5">
        <f t="shared" ref="G855:W855" ca="1" si="16">SUM(G849:G854)</f>
        <v>23955.907928834044</v>
      </c>
      <c r="H855" s="5">
        <f t="shared" ca="1" si="16"/>
        <v>611.48218169694314</v>
      </c>
      <c r="I855" s="5">
        <f t="shared" ca="1" si="16"/>
        <v>6451.120534720214</v>
      </c>
      <c r="J855" s="5">
        <f t="shared" ca="1" si="16"/>
        <v>3634.5286236375709</v>
      </c>
      <c r="K855" s="5">
        <f t="shared" ca="1" si="16"/>
        <v>5008.9365885746702</v>
      </c>
      <c r="L855" s="5">
        <f t="shared" ca="1" si="16"/>
        <v>383474.37772909779</v>
      </c>
      <c r="M855" s="5">
        <f t="shared" ca="1" si="16"/>
        <v>18775.576289365119</v>
      </c>
      <c r="N855" s="5">
        <f t="shared" ca="1" si="16"/>
        <v>78315.858097403223</v>
      </c>
      <c r="O855" s="5">
        <f t="shared" ca="1" si="16"/>
        <v>336.52505284106479</v>
      </c>
      <c r="P855" s="5">
        <f t="shared" ca="1" si="16"/>
        <v>31.144237563951027</v>
      </c>
      <c r="Q855" s="5">
        <f t="shared" ca="1" si="16"/>
        <v>3.0719811086271389</v>
      </c>
      <c r="R855" s="5">
        <f t="shared" ca="1" si="16"/>
        <v>5850.6945267868996</v>
      </c>
      <c r="S855" s="5">
        <f t="shared" ca="1" si="16"/>
        <v>3458.9260913048429</v>
      </c>
      <c r="T855" s="5">
        <f t="shared" ca="1" si="16"/>
        <v>2.4175815454803014E-2</v>
      </c>
      <c r="U855" s="5">
        <f t="shared" ca="1" si="16"/>
        <v>173.87388340321672</v>
      </c>
      <c r="V855" s="5">
        <f t="shared" ca="1" si="16"/>
        <v>324.3379083604168</v>
      </c>
      <c r="W855" s="5">
        <f t="shared" ca="1" si="16"/>
        <v>335.36694609397074</v>
      </c>
      <c r="BJ855" s="113" t="e">
        <f t="shared" si="15"/>
        <v>#DIV/0!</v>
      </c>
      <c r="BK855" s="113" t="e">
        <f t="shared" si="15"/>
        <v>#DIV/0!</v>
      </c>
      <c r="BL855" s="113" t="e">
        <f t="shared" si="15"/>
        <v>#DIV/0!</v>
      </c>
      <c r="BM855" s="113" t="e">
        <f t="shared" si="15"/>
        <v>#DIV/0!</v>
      </c>
      <c r="BN855" s="113" t="e">
        <f t="shared" si="15"/>
        <v>#DIV/0!</v>
      </c>
      <c r="BO855" s="113" t="e">
        <f t="shared" si="15"/>
        <v>#DIV/0!</v>
      </c>
      <c r="BP855" s="113" t="e">
        <f t="shared" si="15"/>
        <v>#DIV/0!</v>
      </c>
      <c r="BQ855" s="113" t="e">
        <f t="shared" si="15"/>
        <v>#DIV/0!</v>
      </c>
      <c r="BR855" s="113" t="e">
        <f t="shared" si="15"/>
        <v>#DIV/0!</v>
      </c>
    </row>
    <row r="856" spans="4:70">
      <c r="BJ856" s="113" t="e">
        <f t="shared" si="15"/>
        <v>#DIV/0!</v>
      </c>
      <c r="BK856" s="113" t="e">
        <f t="shared" si="15"/>
        <v>#DIV/0!</v>
      </c>
      <c r="BL856" s="113" t="e">
        <f t="shared" si="15"/>
        <v>#DIV/0!</v>
      </c>
      <c r="BM856" s="113" t="e">
        <f t="shared" si="15"/>
        <v>#DIV/0!</v>
      </c>
      <c r="BN856" s="113" t="e">
        <f t="shared" si="15"/>
        <v>#DIV/0!</v>
      </c>
      <c r="BO856" s="113" t="e">
        <f t="shared" si="15"/>
        <v>#DIV/0!</v>
      </c>
      <c r="BP856" s="113" t="e">
        <f t="shared" si="15"/>
        <v>#DIV/0!</v>
      </c>
      <c r="BQ856" s="113" t="e">
        <f t="shared" si="15"/>
        <v>#DIV/0!</v>
      </c>
      <c r="BR856" s="113" t="e">
        <f t="shared" si="15"/>
        <v>#DIV/0!</v>
      </c>
    </row>
    <row r="857" spans="4:70">
      <c r="D857" s="8"/>
      <c r="E857" s="8" t="s">
        <v>1435</v>
      </c>
      <c r="F857" s="49" t="s">
        <v>895</v>
      </c>
      <c r="G857" s="8" t="s">
        <v>1298</v>
      </c>
      <c r="H857" s="8" t="s">
        <v>1299</v>
      </c>
      <c r="I857" s="8" t="s">
        <v>1300</v>
      </c>
      <c r="J857" s="49" t="s">
        <v>1010</v>
      </c>
      <c r="K857" s="8" t="s">
        <v>1434</v>
      </c>
      <c r="L857" s="8" t="s">
        <v>1433</v>
      </c>
      <c r="M857" s="8" t="s">
        <v>1301</v>
      </c>
      <c r="N857" s="8" t="s">
        <v>1302</v>
      </c>
      <c r="O857" s="8" t="s">
        <v>1432</v>
      </c>
      <c r="P857" s="8" t="s">
        <v>1431</v>
      </c>
      <c r="Q857" s="8" t="s">
        <v>900</v>
      </c>
      <c r="R857" s="8" t="s">
        <v>1430</v>
      </c>
      <c r="S857" s="8" t="s">
        <v>1429</v>
      </c>
      <c r="T857" s="8" t="s">
        <v>1428</v>
      </c>
      <c r="U857" s="8" t="s">
        <v>1427</v>
      </c>
      <c r="V857" s="8" t="s">
        <v>899</v>
      </c>
      <c r="BJ857" s="113" t="e">
        <f t="shared" si="15"/>
        <v>#DIV/0!</v>
      </c>
      <c r="BK857" s="113" t="e">
        <f t="shared" si="15"/>
        <v>#DIV/0!</v>
      </c>
      <c r="BL857" s="113" t="e">
        <f t="shared" si="15"/>
        <v>#DIV/0!</v>
      </c>
      <c r="BM857" s="113" t="e">
        <f t="shared" si="15"/>
        <v>#DIV/0!</v>
      </c>
      <c r="BN857" s="113" t="e">
        <f t="shared" si="15"/>
        <v>#DIV/0!</v>
      </c>
      <c r="BO857" s="113" t="e">
        <f t="shared" si="15"/>
        <v>#DIV/0!</v>
      </c>
      <c r="BP857" s="113" t="e">
        <f t="shared" si="15"/>
        <v>#DIV/0!</v>
      </c>
      <c r="BQ857" s="113" t="e">
        <f t="shared" si="15"/>
        <v>#DIV/0!</v>
      </c>
      <c r="BR857" s="113" t="e">
        <f t="shared" si="15"/>
        <v>#DIV/0!</v>
      </c>
    </row>
    <row r="858" spans="4:70">
      <c r="D858" s="8" t="s">
        <v>1622</v>
      </c>
      <c r="E858" s="82">
        <f ca="1">AI791+V800+V803+V806+V813+T827+AB846+O855</f>
        <v>4042.6058962916418</v>
      </c>
      <c r="F858" s="82">
        <f ca="1">Z791+M800+M803+M806+M813+K827+S846+F855</f>
        <v>1477004.4501031288</v>
      </c>
      <c r="G858" s="82">
        <f ca="1">AD791+Q800+Q803+Q806+Q813+O827+W846+J855</f>
        <v>80724.29952040677</v>
      </c>
      <c r="H858" s="82">
        <f ca="1">AE791+R800+R803+R806+R813+P827+X846+K855</f>
        <v>114156.92056823359</v>
      </c>
      <c r="I858" s="82">
        <f ca="1">AF791+S800+S803+S806+S813+Q827+Y846+L855</f>
        <v>16683981.061252657</v>
      </c>
      <c r="J858" s="82">
        <f ca="1">AA791+N800+N803+N806+N813+L827+T846+G855</f>
        <v>290739.43471397442</v>
      </c>
      <c r="K858" s="82">
        <f ca="1">AJ791+W800+W803+W806+W813+U827+AC846+P855</f>
        <v>421.91130973230054</v>
      </c>
      <c r="L858" s="82">
        <f ca="1">AK791+X800+X803+X806+X813+V827+AD846+Q855</f>
        <v>57.865789888896643</v>
      </c>
      <c r="M858" s="82">
        <f ca="1">AG791+T800+T803+T806+T813+R827+Z846+M855</f>
        <v>1029859.0655990267</v>
      </c>
      <c r="N858" s="82">
        <f ca="1">AH791+U800+U803+U806+U813+S827+AA846+N855</f>
        <v>1319191.4377961187</v>
      </c>
      <c r="O858" s="82">
        <f ca="1">AL791+Y800+Y803+Y806+Y813+W827+AE846+R855</f>
        <v>74652.273540961425</v>
      </c>
      <c r="P858" s="82">
        <f ca="1">AM791+Z800+Z803+Z806+Z813+X827+AF846+S855</f>
        <v>37615.843306461524</v>
      </c>
      <c r="Q858" s="82">
        <f ca="1">AC791+P800+P803+P806+P813+N827+V846+I855</f>
        <v>156276.92031916283</v>
      </c>
      <c r="R858" s="82">
        <f ca="1">AN791+AA800+AA803+AA806+AA813+Y827+AG846+T855</f>
        <v>0.32498510418185911</v>
      </c>
      <c r="S858" s="82">
        <f ca="1">AO791+AB800+AB803+AB806+AB813+Z827+AH846+U855</f>
        <v>2723.1685522985881</v>
      </c>
      <c r="T858" s="82">
        <f ca="1">AP791+AC800+AC803+AC806+AC813+AA827+AI846+V855</f>
        <v>3584.764135043582</v>
      </c>
      <c r="U858" s="82">
        <f ca="1">AQ791+AD800+AD803+AD806+AD813+AB827+AJ846+W855</f>
        <v>3746.0121060911379</v>
      </c>
      <c r="V858" s="82">
        <f ca="1">AB791+O800+O803+O806+O813+M827+U846+H855</f>
        <v>8879.1545704108848</v>
      </c>
      <c r="AP858" s="86"/>
      <c r="AQ858" s="86"/>
      <c r="AR858" s="86"/>
      <c r="AS858" s="86"/>
      <c r="AT858" s="86"/>
      <c r="AU858" s="86"/>
      <c r="AV858" s="86"/>
      <c r="AW858" s="86"/>
      <c r="AX858" s="86"/>
      <c r="AY858" s="86"/>
      <c r="AZ858" s="86"/>
      <c r="BA858" s="86"/>
      <c r="BB858" s="86"/>
      <c r="BC858" s="86"/>
      <c r="BD858" s="86"/>
      <c r="BE858" s="86"/>
      <c r="BF858" s="86"/>
      <c r="BG858" s="86"/>
      <c r="BJ858" s="113" t="e">
        <f t="shared" si="15"/>
        <v>#DIV/0!</v>
      </c>
      <c r="BK858" s="113" t="e">
        <f t="shared" si="15"/>
        <v>#DIV/0!</v>
      </c>
      <c r="BL858" s="113" t="e">
        <f t="shared" si="15"/>
        <v>#DIV/0!</v>
      </c>
      <c r="BM858" s="113" t="e">
        <f t="shared" si="15"/>
        <v>#DIV/0!</v>
      </c>
      <c r="BN858" s="113" t="e">
        <f t="shared" si="15"/>
        <v>#DIV/0!</v>
      </c>
      <c r="BO858" s="113" t="e">
        <f t="shared" si="15"/>
        <v>#DIV/0!</v>
      </c>
      <c r="BP858" s="113" t="e">
        <f t="shared" si="15"/>
        <v>#DIV/0!</v>
      </c>
      <c r="BQ858" s="113" t="e">
        <f t="shared" si="15"/>
        <v>#DIV/0!</v>
      </c>
      <c r="BR858" s="113" t="e">
        <f t="shared" si="15"/>
        <v>#DIV/0!</v>
      </c>
    </row>
    <row r="859" spans="4:70">
      <c r="D859" s="8" t="s">
        <v>1623</v>
      </c>
      <c r="E859" s="8">
        <f t="shared" ref="E859:V859" ca="1" si="17">E858/20</f>
        <v>202.1302948145821</v>
      </c>
      <c r="F859" s="8">
        <f t="shared" ca="1" si="17"/>
        <v>73850.222505156446</v>
      </c>
      <c r="G859" s="8">
        <f t="shared" ca="1" si="17"/>
        <v>4036.2149760203383</v>
      </c>
      <c r="H859" s="8">
        <f t="shared" ca="1" si="17"/>
        <v>5707.8460284116791</v>
      </c>
      <c r="I859" s="8">
        <f t="shared" ca="1" si="17"/>
        <v>834199.05306263291</v>
      </c>
      <c r="J859" s="8">
        <f t="shared" ca="1" si="17"/>
        <v>14536.97173569872</v>
      </c>
      <c r="K859" s="8">
        <f t="shared" ca="1" si="17"/>
        <v>21.095565486615026</v>
      </c>
      <c r="L859" s="8">
        <f t="shared" ca="1" si="17"/>
        <v>2.893289494444832</v>
      </c>
      <c r="M859" s="8">
        <f t="shared" ca="1" si="17"/>
        <v>51492.95327995134</v>
      </c>
      <c r="N859" s="8">
        <f t="shared" ca="1" si="17"/>
        <v>65959.571889805928</v>
      </c>
      <c r="O859" s="8">
        <f t="shared" ca="1" si="17"/>
        <v>3732.6136770480712</v>
      </c>
      <c r="P859" s="8">
        <f t="shared" ca="1" si="17"/>
        <v>1880.7921653230762</v>
      </c>
      <c r="Q859" s="8">
        <f t="shared" ca="1" si="17"/>
        <v>7813.8460159581418</v>
      </c>
      <c r="R859" s="8">
        <f t="shared" ca="1" si="17"/>
        <v>1.6249255209092955E-2</v>
      </c>
      <c r="S859" s="8">
        <f t="shared" ca="1" si="17"/>
        <v>136.15842761492939</v>
      </c>
      <c r="T859" s="8">
        <f t="shared" ca="1" si="17"/>
        <v>179.23820675217911</v>
      </c>
      <c r="U859" s="8">
        <f t="shared" ca="1" si="17"/>
        <v>187.30060530455688</v>
      </c>
      <c r="V859" s="8">
        <f t="shared" ca="1" si="17"/>
        <v>443.95772852054426</v>
      </c>
      <c r="AP859" s="87"/>
      <c r="AQ859" s="87"/>
      <c r="AR859" s="87"/>
      <c r="AS859" s="87"/>
      <c r="AT859" s="87"/>
      <c r="AU859" s="87"/>
      <c r="AV859" s="87"/>
      <c r="AW859" s="87"/>
      <c r="AX859" s="87"/>
      <c r="AY859" s="87"/>
      <c r="AZ859" s="87"/>
      <c r="BA859" s="87"/>
      <c r="BB859" s="87"/>
      <c r="BC859" s="87"/>
      <c r="BD859" s="87"/>
      <c r="BE859" s="87"/>
      <c r="BF859" s="87"/>
      <c r="BG859" s="87"/>
      <c r="BJ859" s="113" t="e">
        <f t="shared" si="15"/>
        <v>#DIV/0!</v>
      </c>
      <c r="BK859" s="113" t="e">
        <f t="shared" si="15"/>
        <v>#DIV/0!</v>
      </c>
      <c r="BL859" s="113" t="e">
        <f t="shared" si="15"/>
        <v>#DIV/0!</v>
      </c>
      <c r="BM859" s="113" t="e">
        <f t="shared" si="15"/>
        <v>#DIV/0!</v>
      </c>
      <c r="BN859" s="113" t="e">
        <f t="shared" si="15"/>
        <v>#DIV/0!</v>
      </c>
      <c r="BO859" s="113" t="e">
        <f t="shared" si="15"/>
        <v>#DIV/0!</v>
      </c>
      <c r="BP859" s="113" t="e">
        <f t="shared" si="15"/>
        <v>#DIV/0!</v>
      </c>
      <c r="BQ859" s="113" t="e">
        <f t="shared" si="15"/>
        <v>#DIV/0!</v>
      </c>
      <c r="BR859" s="113" t="e">
        <f t="shared" si="15"/>
        <v>#DIV/0!</v>
      </c>
    </row>
    <row r="860" spans="4:70">
      <c r="AP860" s="86"/>
      <c r="AQ860" s="86"/>
      <c r="AR860" s="86"/>
      <c r="AS860" s="86"/>
      <c r="AT860" s="86"/>
      <c r="AU860" s="86"/>
      <c r="AV860" s="86"/>
      <c r="AW860" s="86"/>
      <c r="AX860" s="86"/>
      <c r="AY860" s="86"/>
      <c r="AZ860" s="86"/>
      <c r="BA860" s="86"/>
      <c r="BB860" s="86"/>
      <c r="BC860" s="86"/>
      <c r="BD860" s="86"/>
      <c r="BE860" s="86"/>
      <c r="BF860" s="86"/>
      <c r="BG860" s="86"/>
      <c r="BJ860" s="113" t="e">
        <f>AP860/AP$862</f>
        <v>#DIV/0!</v>
      </c>
      <c r="BK860" s="113" t="e">
        <f t="shared" si="15"/>
        <v>#DIV/0!</v>
      </c>
      <c r="BL860" s="113" t="e">
        <f t="shared" si="15"/>
        <v>#DIV/0!</v>
      </c>
      <c r="BM860" s="113" t="e">
        <f t="shared" si="15"/>
        <v>#DIV/0!</v>
      </c>
      <c r="BN860" s="113" t="e">
        <f t="shared" si="15"/>
        <v>#DIV/0!</v>
      </c>
      <c r="BO860" s="113" t="e">
        <f t="shared" si="15"/>
        <v>#DIV/0!</v>
      </c>
      <c r="BP860" s="113" t="e">
        <f t="shared" si="15"/>
        <v>#DIV/0!</v>
      </c>
      <c r="BQ860" s="113" t="e">
        <f t="shared" si="15"/>
        <v>#DIV/0!</v>
      </c>
      <c r="BR860" s="113" t="e">
        <f t="shared" si="15"/>
        <v>#DIV/0!</v>
      </c>
    </row>
    <row r="861" spans="4:70">
      <c r="D861" s="5" t="s">
        <v>1052</v>
      </c>
      <c r="BJ861" s="113" t="e">
        <f>AP861/AP$862</f>
        <v>#DIV/0!</v>
      </c>
      <c r="BK861" s="113" t="e">
        <f t="shared" si="15"/>
        <v>#DIV/0!</v>
      </c>
      <c r="BL861" s="113" t="e">
        <f t="shared" si="15"/>
        <v>#DIV/0!</v>
      </c>
      <c r="BM861" s="113" t="e">
        <f t="shared" si="15"/>
        <v>#DIV/0!</v>
      </c>
      <c r="BN861" s="113" t="e">
        <f t="shared" si="15"/>
        <v>#DIV/0!</v>
      </c>
      <c r="BO861" s="113" t="e">
        <f t="shared" si="15"/>
        <v>#DIV/0!</v>
      </c>
      <c r="BP861" s="113" t="e">
        <f t="shared" si="15"/>
        <v>#DIV/0!</v>
      </c>
      <c r="BQ861" s="113" t="e">
        <f t="shared" si="15"/>
        <v>#DIV/0!</v>
      </c>
      <c r="BR861" s="113" t="e">
        <f t="shared" si="15"/>
        <v>#DIV/0!</v>
      </c>
    </row>
    <row r="862" spans="4:70" ht="26">
      <c r="D862" s="326" t="s">
        <v>1036</v>
      </c>
      <c r="E862" s="326"/>
      <c r="F862" s="326" t="s">
        <v>1037</v>
      </c>
      <c r="G862" s="326"/>
      <c r="H862" s="326" t="s">
        <v>1038</v>
      </c>
      <c r="I862" s="326"/>
      <c r="J862" s="326" t="s">
        <v>1039</v>
      </c>
      <c r="K862" s="326"/>
      <c r="L862" s="326"/>
      <c r="M862" s="326" t="s">
        <v>1040</v>
      </c>
      <c r="N862" s="326"/>
      <c r="O862" s="326"/>
      <c r="P862" s="326" t="s">
        <v>378</v>
      </c>
      <c r="Q862" s="326"/>
      <c r="R862" s="326" t="s">
        <v>1041</v>
      </c>
      <c r="S862" s="326"/>
      <c r="T862" s="136" t="s">
        <v>1042</v>
      </c>
      <c r="U862" s="136"/>
      <c r="V862" s="136"/>
      <c r="W862" s="136"/>
      <c r="X862" s="136"/>
    </row>
    <row r="863" spans="4:70" ht="28">
      <c r="D863" s="136" t="s">
        <v>1043</v>
      </c>
      <c r="E863" s="136" t="s">
        <v>1044</v>
      </c>
      <c r="F863" s="136" t="s">
        <v>1045</v>
      </c>
      <c r="G863" s="136" t="s">
        <v>1046</v>
      </c>
      <c r="H863" s="136" t="s">
        <v>1045</v>
      </c>
      <c r="I863" s="136" t="s">
        <v>1046</v>
      </c>
      <c r="J863" s="136" t="s">
        <v>1045</v>
      </c>
      <c r="K863" s="136" t="s">
        <v>1046</v>
      </c>
      <c r="L863" s="136" t="s">
        <v>1047</v>
      </c>
      <c r="M863" s="136" t="s">
        <v>1053</v>
      </c>
      <c r="N863" s="136" t="s">
        <v>1054</v>
      </c>
      <c r="O863" s="136" t="s">
        <v>1055</v>
      </c>
      <c r="P863" s="136" t="s">
        <v>1048</v>
      </c>
      <c r="Q863" s="136" t="s">
        <v>1049</v>
      </c>
      <c r="R863" s="136" t="s">
        <v>1050</v>
      </c>
      <c r="S863" s="136" t="s">
        <v>1051</v>
      </c>
      <c r="T863" s="136" t="s">
        <v>1056</v>
      </c>
      <c r="U863" s="136"/>
      <c r="V863" s="136"/>
      <c r="W863" s="136"/>
      <c r="X863" s="136"/>
    </row>
    <row r="864" spans="4:70">
      <c r="D864" s="137"/>
      <c r="E864" s="137"/>
      <c r="F864" s="137"/>
      <c r="G864" s="137"/>
      <c r="H864" s="137"/>
      <c r="I864" s="137"/>
      <c r="J864" s="137"/>
      <c r="K864" s="137"/>
      <c r="L864" s="137"/>
      <c r="M864" s="137"/>
      <c r="N864" s="137"/>
      <c r="O864" s="137"/>
      <c r="P864" s="137"/>
      <c r="Q864" s="137"/>
      <c r="R864" s="137"/>
      <c r="S864" s="137"/>
      <c r="T864" s="138"/>
      <c r="U864" s="138"/>
      <c r="V864" s="138"/>
      <c r="W864" s="138"/>
      <c r="X864" s="138"/>
    </row>
    <row r="865" spans="4:24">
      <c r="D865" s="8" t="s">
        <v>1548</v>
      </c>
      <c r="E865" s="8" t="s">
        <v>1527</v>
      </c>
      <c r="F865" s="137"/>
      <c r="G865" s="137"/>
      <c r="H865" s="137"/>
      <c r="I865" s="137"/>
      <c r="J865" s="137"/>
      <c r="K865" s="137"/>
      <c r="L865" s="137"/>
      <c r="M865" s="137"/>
      <c r="N865" s="137"/>
      <c r="O865" s="137"/>
      <c r="P865" s="137"/>
      <c r="Q865" s="137"/>
      <c r="R865" s="137"/>
      <c r="S865" s="137"/>
      <c r="T865" s="138"/>
      <c r="U865" s="138"/>
      <c r="V865" s="138"/>
      <c r="W865" s="138"/>
      <c r="X865" s="138"/>
    </row>
    <row r="866" spans="4:24">
      <c r="D866" s="8" t="s">
        <v>1549</v>
      </c>
      <c r="E866" s="8" t="s">
        <v>1528</v>
      </c>
      <c r="F866" s="137"/>
      <c r="G866" s="137"/>
      <c r="H866" s="137"/>
      <c r="I866" s="137"/>
      <c r="J866" s="137"/>
      <c r="K866" s="137"/>
      <c r="L866" s="137"/>
      <c r="M866" s="137"/>
      <c r="N866" s="137"/>
      <c r="O866" s="137"/>
      <c r="P866" s="137"/>
      <c r="Q866" s="137"/>
      <c r="R866" s="137"/>
      <c r="S866" s="137"/>
      <c r="T866" s="138"/>
      <c r="U866" s="138"/>
      <c r="V866" s="138"/>
      <c r="W866" s="138"/>
      <c r="X866" s="138"/>
    </row>
    <row r="867" spans="4:24">
      <c r="D867" s="8" t="s">
        <v>1536</v>
      </c>
      <c r="E867" s="8">
        <v>100</v>
      </c>
      <c r="F867" s="137"/>
      <c r="G867" s="137"/>
      <c r="H867" s="137"/>
      <c r="I867" s="137"/>
      <c r="J867" s="137"/>
      <c r="K867" s="137"/>
      <c r="L867" s="137"/>
      <c r="M867" s="137"/>
      <c r="N867" s="137"/>
      <c r="O867" s="91"/>
      <c r="P867" s="91"/>
      <c r="U867" s="138"/>
      <c r="V867" s="138"/>
      <c r="W867" s="138"/>
      <c r="X867" s="138"/>
    </row>
    <row r="868" spans="4:24">
      <c r="D868" s="8" t="s">
        <v>1530</v>
      </c>
      <c r="E868" s="139">
        <f>E867*101.97</f>
        <v>10197</v>
      </c>
      <c r="F868" s="137"/>
      <c r="G868" s="137"/>
      <c r="H868" s="137"/>
      <c r="I868" s="137"/>
      <c r="J868" s="137"/>
      <c r="K868" s="137"/>
      <c r="L868" s="137"/>
      <c r="M868" s="137"/>
      <c r="N868" s="137"/>
      <c r="O868" s="137"/>
      <c r="U868" s="138"/>
      <c r="V868" s="138"/>
      <c r="W868" s="138"/>
      <c r="X868" s="138"/>
    </row>
    <row r="869" spans="4:24">
      <c r="D869" s="8" t="s">
        <v>1537</v>
      </c>
      <c r="E869" s="8">
        <v>45</v>
      </c>
      <c r="F869" s="137"/>
      <c r="G869" s="137"/>
      <c r="H869" s="137"/>
      <c r="I869" s="137"/>
      <c r="J869" s="137"/>
      <c r="K869" s="137"/>
      <c r="L869" s="137"/>
      <c r="M869" s="137"/>
      <c r="N869" s="137"/>
      <c r="O869" s="137"/>
      <c r="U869" s="138"/>
      <c r="V869" s="138"/>
      <c r="W869" s="138"/>
      <c r="X869" s="138"/>
    </row>
    <row r="870" spans="4:24">
      <c r="D870" s="8" t="s">
        <v>1538</v>
      </c>
      <c r="E870" s="8">
        <f>RADIANS(E869)</f>
        <v>0.78539816339744828</v>
      </c>
      <c r="F870" s="137"/>
      <c r="G870" s="137"/>
      <c r="H870" s="137"/>
      <c r="I870" s="137"/>
      <c r="J870" s="137"/>
      <c r="K870" s="137"/>
      <c r="L870" s="137"/>
      <c r="M870" s="137"/>
      <c r="N870" s="8" t="s">
        <v>1550</v>
      </c>
      <c r="O870" s="8"/>
      <c r="U870" s="138"/>
      <c r="V870" s="138"/>
      <c r="W870" s="138"/>
      <c r="X870" s="138"/>
    </row>
    <row r="871" spans="4:24">
      <c r="D871" s="8" t="s">
        <v>1529</v>
      </c>
      <c r="E871" s="8">
        <v>1760</v>
      </c>
      <c r="F871" s="137"/>
      <c r="G871" s="137"/>
      <c r="H871" s="137"/>
      <c r="I871" s="137"/>
      <c r="J871" s="137"/>
      <c r="K871" s="137"/>
      <c r="L871" s="137"/>
      <c r="M871" s="137"/>
      <c r="N871" s="8" t="s">
        <v>1551</v>
      </c>
      <c r="O871" s="49">
        <f>H797+H798+H799+H803+H806+I811*2+I812+(SUM(I816:I826))+(SUM(I831:I845))</f>
        <v>53716.68456521738</v>
      </c>
      <c r="U871" s="138"/>
      <c r="V871" s="138"/>
      <c r="W871" s="138"/>
      <c r="X871" s="138"/>
    </row>
    <row r="872" spans="4:24">
      <c r="D872" s="8" t="s">
        <v>1531</v>
      </c>
      <c r="E872" s="8">
        <f>(E868/E871)*((1-SIN(E870))/(1+SIN(E870)))^2</f>
        <v>0.17055207601056685</v>
      </c>
      <c r="F872" s="137"/>
      <c r="G872" s="137"/>
      <c r="H872" s="137"/>
      <c r="I872" s="137"/>
      <c r="J872" s="137"/>
      <c r="K872" s="137"/>
      <c r="L872" s="137"/>
      <c r="M872" s="137"/>
      <c r="N872" s="8" t="s">
        <v>1552</v>
      </c>
      <c r="O872" s="49">
        <f ca="1">(M876*1070)+M875</f>
        <v>136737.22703879097</v>
      </c>
      <c r="U872" s="138"/>
      <c r="V872" s="138"/>
      <c r="W872" s="138"/>
      <c r="X872" s="138"/>
    </row>
    <row r="873" spans="4:24">
      <c r="D873" s="137"/>
      <c r="E873" s="137"/>
      <c r="F873" s="137"/>
      <c r="G873" s="137"/>
      <c r="H873" s="137"/>
      <c r="I873" s="137"/>
      <c r="J873" s="137"/>
      <c r="K873" s="137"/>
      <c r="L873" s="137"/>
      <c r="M873" s="137"/>
      <c r="N873" s="8" t="s">
        <v>1553</v>
      </c>
      <c r="O873" s="8">
        <v>7</v>
      </c>
      <c r="U873" s="138"/>
      <c r="V873" s="138"/>
      <c r="W873" s="138"/>
      <c r="X873" s="138"/>
    </row>
    <row r="874" spans="4:24">
      <c r="D874" s="8" t="s">
        <v>1541</v>
      </c>
      <c r="E874" s="47"/>
      <c r="F874" s="8" t="s">
        <v>13</v>
      </c>
      <c r="G874" s="47"/>
      <c r="H874" s="8" t="s">
        <v>25</v>
      </c>
      <c r="I874" s="47">
        <f ca="1">V787</f>
        <v>15.301027927635118</v>
      </c>
      <c r="J874" s="8" t="s">
        <v>935</v>
      </c>
      <c r="K874" s="47">
        <f ca="1">X787</f>
        <v>382.52569819087796</v>
      </c>
      <c r="L874" s="8" t="s">
        <v>650</v>
      </c>
      <c r="M874" s="47">
        <f>F182</f>
        <v>0.7</v>
      </c>
      <c r="N874" s="8" t="s">
        <v>1554</v>
      </c>
      <c r="O874" s="8">
        <v>1800</v>
      </c>
      <c r="P874" s="5" t="s">
        <v>1594</v>
      </c>
      <c r="U874" s="138"/>
      <c r="V874" s="138"/>
      <c r="W874" s="138"/>
      <c r="X874" s="138"/>
    </row>
    <row r="875" spans="4:24">
      <c r="D875" s="8" t="s">
        <v>1532</v>
      </c>
      <c r="E875" s="49">
        <f ca="1">T786+((Q786-H786)*0.01*8000)</f>
        <v>440980.05169203354</v>
      </c>
      <c r="F875" s="8" t="s">
        <v>1532</v>
      </c>
      <c r="G875" s="49">
        <f ca="1">T787+((Q787-H787)*0.01*8000)</f>
        <v>213553.53089494412</v>
      </c>
      <c r="H875" s="8" t="s">
        <v>1532</v>
      </c>
      <c r="I875" s="49">
        <f ca="1">T788+((R788-H788)*0.01*8000)</f>
        <v>206268.60290114192</v>
      </c>
      <c r="J875" s="8" t="s">
        <v>1532</v>
      </c>
      <c r="K875" s="49">
        <f ca="1">T789+((R789-H789)*0.01*8000)</f>
        <v>227749.4421578506</v>
      </c>
      <c r="L875" s="8" t="s">
        <v>1532</v>
      </c>
      <c r="M875" s="49">
        <f ca="1">T790</f>
        <v>64862.606947930064</v>
      </c>
      <c r="N875" s="8" t="s">
        <v>1555</v>
      </c>
      <c r="O875" s="8">
        <v>25</v>
      </c>
      <c r="Q875" s="137"/>
      <c r="R875" s="137"/>
      <c r="S875" s="137"/>
      <c r="T875" s="138"/>
      <c r="U875" s="138"/>
      <c r="V875" s="138"/>
      <c r="W875" s="138"/>
      <c r="X875" s="138"/>
    </row>
    <row r="876" spans="4:24">
      <c r="D876" s="8" t="s">
        <v>1571</v>
      </c>
      <c r="E876" s="49">
        <f ca="1">G786</f>
        <v>1247.6965896061465</v>
      </c>
      <c r="F876" s="8" t="s">
        <v>1571</v>
      </c>
      <c r="G876" s="49">
        <f ca="1">G787</f>
        <v>409.52294533443421</v>
      </c>
      <c r="H876" s="8" t="s">
        <v>1571</v>
      </c>
      <c r="I876" s="49">
        <f ca="1">G788</f>
        <v>507.78283666594785</v>
      </c>
      <c r="J876" s="8" t="s">
        <v>1571</v>
      </c>
      <c r="K876" s="49">
        <f ca="1">G789</f>
        <v>623.84829480307326</v>
      </c>
      <c r="L876" s="8" t="s">
        <v>1571</v>
      </c>
      <c r="M876" s="49">
        <f ca="1">G790</f>
        <v>67.172542140991482</v>
      </c>
      <c r="N876" s="8" t="s">
        <v>1556</v>
      </c>
      <c r="O876" s="8">
        <v>20</v>
      </c>
      <c r="Q876" s="137"/>
      <c r="R876" s="137"/>
      <c r="S876" s="137"/>
      <c r="T876" s="138"/>
      <c r="U876" s="138"/>
      <c r="V876" s="138"/>
      <c r="W876" s="138"/>
      <c r="X876" s="138"/>
    </row>
    <row r="877" spans="4:24" ht="116">
      <c r="D877" s="102" t="s">
        <v>1533</v>
      </c>
      <c r="E877" s="140">
        <f ca="1">E876*1000</f>
        <v>1247696.5896061466</v>
      </c>
      <c r="F877" s="102" t="s">
        <v>1533</v>
      </c>
      <c r="G877" s="140">
        <f ca="1">G876*1000</f>
        <v>409522.94533443422</v>
      </c>
      <c r="H877" s="102" t="s">
        <v>1533</v>
      </c>
      <c r="I877" s="140">
        <f ca="1">I876*1000</f>
        <v>507782.83666594786</v>
      </c>
      <c r="J877" s="102" t="s">
        <v>1533</v>
      </c>
      <c r="K877" s="140">
        <f ca="1">K876*1000</f>
        <v>623848.29480307328</v>
      </c>
      <c r="L877" s="102" t="s">
        <v>1533</v>
      </c>
      <c r="M877" s="140">
        <f ca="1">M876*1000</f>
        <v>67172.542140991485</v>
      </c>
      <c r="N877" s="8" t="s">
        <v>1557</v>
      </c>
      <c r="O877" s="8">
        <f>(O875*O873)*2+(O873*O876)*2</f>
        <v>630</v>
      </c>
      <c r="Q877" s="137"/>
      <c r="R877" s="137"/>
      <c r="S877" s="137"/>
      <c r="T877" s="138"/>
      <c r="U877" s="138"/>
      <c r="V877" s="138"/>
      <c r="W877" s="138"/>
      <c r="X877" s="138"/>
    </row>
    <row r="878" spans="4:24">
      <c r="D878" s="8" t="s">
        <v>1534</v>
      </c>
      <c r="E878" s="49">
        <f ca="1">E877+E875</f>
        <v>1688676.64129818</v>
      </c>
      <c r="F878" s="8" t="s">
        <v>1534</v>
      </c>
      <c r="G878" s="49">
        <f ca="1">G877+G875</f>
        <v>623076.47622937837</v>
      </c>
      <c r="H878" s="8" t="s">
        <v>1534</v>
      </c>
      <c r="I878" s="49">
        <f ca="1">I877+I875</f>
        <v>714051.43956708978</v>
      </c>
      <c r="J878" s="8" t="s">
        <v>1534</v>
      </c>
      <c r="K878" s="49">
        <f ca="1">K877+K875</f>
        <v>851597.73696092388</v>
      </c>
      <c r="L878" s="8" t="s">
        <v>1534</v>
      </c>
      <c r="M878" s="49">
        <f ca="1">M877+M875</f>
        <v>132035.14908892155</v>
      </c>
      <c r="N878" s="8" t="s">
        <v>1558</v>
      </c>
      <c r="O878" s="8">
        <v>2.87</v>
      </c>
      <c r="P878" s="5" t="s">
        <v>1573</v>
      </c>
      <c r="Q878" s="137"/>
      <c r="R878" s="137"/>
      <c r="S878" s="137"/>
      <c r="T878" s="138"/>
      <c r="U878" s="138"/>
      <c r="V878" s="138"/>
      <c r="W878" s="138"/>
      <c r="X878" s="138"/>
    </row>
    <row r="879" spans="4:24">
      <c r="D879" s="8" t="s">
        <v>1535</v>
      </c>
      <c r="E879" s="49">
        <f ca="1">E878/E868</f>
        <v>165.60524088439541</v>
      </c>
      <c r="F879" s="8" t="s">
        <v>1535</v>
      </c>
      <c r="G879" s="49">
        <f ca="1">G878/$E$868</f>
        <v>61.103900777618747</v>
      </c>
      <c r="H879" s="8" t="s">
        <v>1535</v>
      </c>
      <c r="I879" s="49">
        <f ca="1">I878/$E$868</f>
        <v>70.025638870951241</v>
      </c>
      <c r="J879" s="8" t="s">
        <v>1535</v>
      </c>
      <c r="K879" s="49">
        <f ca="1">K878/$E$868</f>
        <v>83.514537311064416</v>
      </c>
      <c r="L879" s="8" t="s">
        <v>1535</v>
      </c>
      <c r="M879" s="49">
        <f ca="1">M878/$E$868</f>
        <v>12.948430821704575</v>
      </c>
      <c r="N879" s="8" t="s">
        <v>1559</v>
      </c>
      <c r="O879" s="49">
        <f>O877*O878*101.97</f>
        <v>184371.95700000002</v>
      </c>
      <c r="Q879" s="137"/>
      <c r="R879" s="137"/>
      <c r="S879" s="137"/>
      <c r="T879" s="138"/>
      <c r="U879" s="138"/>
      <c r="V879" s="138"/>
      <c r="W879" s="138"/>
      <c r="X879" s="138"/>
    </row>
    <row r="880" spans="4:24">
      <c r="D880" s="8" t="s">
        <v>1572</v>
      </c>
      <c r="E880" s="49">
        <f ca="1">SQRT(E879/PI())</f>
        <v>7.2604259776786613</v>
      </c>
      <c r="F880" s="8" t="s">
        <v>1572</v>
      </c>
      <c r="G880" s="49">
        <f ca="1">SQRT(G879/PI())</f>
        <v>4.410212659488141</v>
      </c>
      <c r="H880" s="8" t="s">
        <v>1572</v>
      </c>
      <c r="I880" s="49">
        <f ca="1">SQRT(I879/PI())</f>
        <v>4.7212131003545812</v>
      </c>
      <c r="J880" s="8" t="s">
        <v>1572</v>
      </c>
      <c r="K880" s="49">
        <f ca="1">SQRT(K879/PI())</f>
        <v>5.1559192067154092</v>
      </c>
      <c r="L880" s="8" t="s">
        <v>1572</v>
      </c>
      <c r="M880" s="49">
        <f ca="1">SQRT(M879/PI())</f>
        <v>2.0301757414360635</v>
      </c>
      <c r="N880" s="8" t="s">
        <v>1560</v>
      </c>
      <c r="O880" s="8"/>
      <c r="Q880" s="137"/>
      <c r="R880" s="137"/>
      <c r="S880" s="137"/>
      <c r="T880" s="138"/>
      <c r="U880" s="138"/>
      <c r="V880" s="138"/>
      <c r="W880" s="138"/>
      <c r="X880" s="138"/>
    </row>
    <row r="881" spans="4:24">
      <c r="D881" s="8" t="s">
        <v>1539</v>
      </c>
      <c r="E881" s="49">
        <f ca="1">SQRT(E879)</f>
        <v>12.868769983350989</v>
      </c>
      <c r="F881" s="8" t="s">
        <v>1539</v>
      </c>
      <c r="G881" s="49">
        <f ca="1">SQRT(G879)</f>
        <v>7.816898411622013</v>
      </c>
      <c r="H881" s="8" t="s">
        <v>1539</v>
      </c>
      <c r="I881" s="49">
        <f ca="1">SQRT(I879)</f>
        <v>8.3681323406690478</v>
      </c>
      <c r="J881" s="8" t="s">
        <v>1539</v>
      </c>
      <c r="K881" s="49">
        <f ca="1">SQRT(K879)</f>
        <v>9.1386288529004407</v>
      </c>
      <c r="L881" s="8" t="s">
        <v>1539</v>
      </c>
      <c r="M881" s="49">
        <f ca="1">SQRT(M879)</f>
        <v>3.5983928109233121</v>
      </c>
      <c r="N881" s="8" t="s">
        <v>1561</v>
      </c>
      <c r="O881" s="8">
        <v>1.6</v>
      </c>
      <c r="P881" s="5" t="s">
        <v>1574</v>
      </c>
      <c r="Q881" s="137"/>
      <c r="R881" s="137"/>
      <c r="S881" s="137"/>
      <c r="T881" s="138"/>
      <c r="U881" s="138"/>
      <c r="V881" s="138"/>
      <c r="W881" s="138"/>
      <c r="X881" s="138"/>
    </row>
    <row r="882" spans="4:24">
      <c r="D882" s="8" t="s">
        <v>1540</v>
      </c>
      <c r="E882" s="50">
        <v>0.3</v>
      </c>
      <c r="F882" s="8" t="s">
        <v>1540</v>
      </c>
      <c r="G882" s="50">
        <v>0.3</v>
      </c>
      <c r="H882" s="8" t="s">
        <v>1540</v>
      </c>
      <c r="I882" s="50">
        <v>0.3</v>
      </c>
      <c r="J882" s="8" t="s">
        <v>1540</v>
      </c>
      <c r="K882" s="50">
        <v>0.3</v>
      </c>
      <c r="L882" s="8" t="s">
        <v>1540</v>
      </c>
      <c r="M882" s="50">
        <v>0.3</v>
      </c>
      <c r="N882" s="8" t="s">
        <v>1562</v>
      </c>
      <c r="O882" s="8">
        <v>3</v>
      </c>
      <c r="Q882" s="137"/>
      <c r="R882" s="137"/>
      <c r="S882" s="137"/>
      <c r="T882" s="138"/>
      <c r="U882" s="138"/>
      <c r="V882" s="138"/>
      <c r="W882" s="138"/>
      <c r="X882" s="138"/>
    </row>
    <row r="883" spans="4:24">
      <c r="D883" s="8" t="s">
        <v>1542</v>
      </c>
      <c r="E883" s="49">
        <f ca="1">E879*E882</f>
        <v>49.681572265318621</v>
      </c>
      <c r="F883" s="8" t="s">
        <v>1542</v>
      </c>
      <c r="G883" s="49">
        <f ca="1">G879*G882</f>
        <v>18.331170233285622</v>
      </c>
      <c r="H883" s="8" t="s">
        <v>1542</v>
      </c>
      <c r="I883" s="49">
        <f ca="1">I879*I882</f>
        <v>21.007691661285371</v>
      </c>
      <c r="J883" s="8" t="s">
        <v>1542</v>
      </c>
      <c r="K883" s="49">
        <f ca="1">K879*K882</f>
        <v>25.054361193319323</v>
      </c>
      <c r="L883" s="8" t="s">
        <v>1542</v>
      </c>
      <c r="M883" s="49">
        <f ca="1">M879*M882</f>
        <v>3.8845292465113723</v>
      </c>
      <c r="N883" s="8" t="s">
        <v>1563</v>
      </c>
      <c r="O883" s="8">
        <f>O881+O882</f>
        <v>4.5999999999999996</v>
      </c>
      <c r="Q883" s="137"/>
      <c r="R883" s="137"/>
      <c r="S883" s="137"/>
      <c r="T883" s="138"/>
      <c r="U883" s="138"/>
      <c r="V883" s="138"/>
      <c r="W883" s="138"/>
      <c r="X883" s="138"/>
    </row>
    <row r="884" spans="4:24">
      <c r="D884" s="8" t="s">
        <v>1543</v>
      </c>
      <c r="E884" s="49">
        <v>1</v>
      </c>
      <c r="F884" s="8" t="s">
        <v>1543</v>
      </c>
      <c r="G884" s="49">
        <v>1</v>
      </c>
      <c r="H884" s="8" t="s">
        <v>1543</v>
      </c>
      <c r="I884" s="49">
        <v>1</v>
      </c>
      <c r="J884" s="8" t="s">
        <v>1543</v>
      </c>
      <c r="K884" s="49">
        <v>1</v>
      </c>
      <c r="L884" s="8" t="s">
        <v>1543</v>
      </c>
      <c r="M884" s="49">
        <v>1</v>
      </c>
      <c r="N884" s="8" t="s">
        <v>1564</v>
      </c>
      <c r="O884" s="8">
        <f>O883*(O875*O876)*101.97</f>
        <v>234531</v>
      </c>
      <c r="Q884" s="137"/>
      <c r="R884" s="137"/>
      <c r="S884" s="137"/>
      <c r="T884" s="138"/>
      <c r="U884" s="138"/>
      <c r="V884" s="138"/>
      <c r="W884" s="138"/>
      <c r="X884" s="138"/>
    </row>
    <row r="885" spans="4:24">
      <c r="D885" s="8" t="s">
        <v>1544</v>
      </c>
      <c r="E885" s="49">
        <f ca="1">E883*E884</f>
        <v>49.681572265318621</v>
      </c>
      <c r="F885" s="8" t="s">
        <v>1544</v>
      </c>
      <c r="G885" s="49">
        <f ca="1">G883*G884</f>
        <v>18.331170233285622</v>
      </c>
      <c r="H885" s="8" t="s">
        <v>1544</v>
      </c>
      <c r="I885" s="49">
        <f ca="1">+G885+E885</f>
        <v>68.01274249860424</v>
      </c>
      <c r="J885" s="8" t="s">
        <v>1544</v>
      </c>
      <c r="K885" s="49">
        <f ca="1">K883*K884</f>
        <v>25.054361193319323</v>
      </c>
      <c r="L885" s="8" t="s">
        <v>1544</v>
      </c>
      <c r="M885" s="49">
        <f ca="1">M883*M884</f>
        <v>3.8845292465113723</v>
      </c>
      <c r="N885" s="8" t="s">
        <v>1565</v>
      </c>
      <c r="O885" s="8">
        <v>11.7</v>
      </c>
      <c r="Q885" s="137"/>
      <c r="R885" s="137"/>
      <c r="S885" s="137"/>
      <c r="T885" s="138"/>
      <c r="U885" s="138"/>
      <c r="V885" s="138"/>
      <c r="W885" s="138"/>
      <c r="X885" s="138"/>
    </row>
    <row r="886" spans="4:24">
      <c r="D886" s="137"/>
      <c r="E886" s="137"/>
      <c r="F886" s="137"/>
      <c r="G886" s="137"/>
      <c r="H886" s="137"/>
      <c r="I886" s="137"/>
      <c r="J886" s="137"/>
      <c r="K886" s="137"/>
      <c r="L886" s="137"/>
      <c r="M886" s="137"/>
      <c r="N886" s="8" t="s">
        <v>1566</v>
      </c>
      <c r="O886" s="8">
        <f>O885*O875*O876</f>
        <v>5850</v>
      </c>
      <c r="Q886" s="137"/>
      <c r="R886" s="137"/>
      <c r="S886" s="137"/>
      <c r="T886" s="138"/>
      <c r="U886" s="138"/>
      <c r="V886" s="138"/>
      <c r="W886" s="138"/>
      <c r="X886" s="138"/>
    </row>
    <row r="887" spans="4:24">
      <c r="D887" s="137"/>
      <c r="E887" s="137"/>
      <c r="F887" s="137"/>
      <c r="G887" s="137"/>
      <c r="H887" s="137"/>
      <c r="I887" s="137"/>
      <c r="J887" s="137"/>
      <c r="K887" s="137"/>
      <c r="L887" s="137"/>
      <c r="M887" s="137"/>
      <c r="N887" s="8" t="s">
        <v>1567</v>
      </c>
      <c r="O887" s="49">
        <f ca="1">O886+O871+O872+O884+O879</f>
        <v>615206.86860400834</v>
      </c>
      <c r="Q887" s="137"/>
      <c r="R887" s="137"/>
      <c r="S887" s="137"/>
      <c r="T887" s="138"/>
      <c r="U887" s="138"/>
      <c r="V887" s="138"/>
      <c r="W887" s="138"/>
      <c r="X887" s="138"/>
    </row>
    <row r="888" spans="4:24">
      <c r="D888" s="137"/>
      <c r="E888" s="137"/>
      <c r="F888" s="137"/>
      <c r="G888" s="137"/>
      <c r="H888" s="137"/>
      <c r="I888" s="137"/>
      <c r="J888" s="137"/>
      <c r="K888" s="137"/>
      <c r="L888" s="137"/>
      <c r="M888" s="137"/>
      <c r="N888" s="8" t="s">
        <v>1568</v>
      </c>
      <c r="O888" s="8">
        <f ca="1">O887/E868</f>
        <v>60.332143630872643</v>
      </c>
      <c r="Q888" s="137"/>
      <c r="R888" s="137"/>
      <c r="S888" s="137"/>
      <c r="T888" s="138"/>
      <c r="U888" s="138"/>
      <c r="V888" s="138"/>
      <c r="W888" s="138"/>
      <c r="X888" s="138"/>
    </row>
    <row r="889" spans="4:24">
      <c r="D889" s="137"/>
      <c r="E889" s="137"/>
      <c r="F889" s="137"/>
      <c r="G889" s="137"/>
      <c r="H889" s="137"/>
      <c r="I889" s="137"/>
      <c r="J889" s="137"/>
      <c r="K889" s="137"/>
      <c r="L889" s="137"/>
      <c r="M889" s="137"/>
      <c r="N889" s="8" t="s">
        <v>1569</v>
      </c>
      <c r="O889" s="8">
        <v>0.3</v>
      </c>
      <c r="Q889" s="137"/>
      <c r="R889" s="137"/>
      <c r="S889" s="137"/>
      <c r="T889" s="138"/>
      <c r="U889" s="138"/>
      <c r="V889" s="138"/>
      <c r="W889" s="138"/>
      <c r="X889" s="138"/>
    </row>
    <row r="890" spans="4:24">
      <c r="D890" s="137"/>
      <c r="E890" s="137"/>
      <c r="F890" s="137"/>
      <c r="G890" s="137"/>
      <c r="H890" s="137"/>
      <c r="I890" s="137"/>
      <c r="J890" s="137"/>
      <c r="K890" s="137"/>
      <c r="L890" s="137"/>
      <c r="M890" s="137"/>
      <c r="N890" s="8" t="s">
        <v>1570</v>
      </c>
      <c r="O890" s="8">
        <f ca="1">O889*O888</f>
        <v>18.099643089261793</v>
      </c>
      <c r="Q890" s="137"/>
      <c r="R890" s="137"/>
      <c r="S890" s="137"/>
      <c r="T890" s="138"/>
      <c r="U890" s="138"/>
      <c r="V890" s="138"/>
      <c r="W890" s="138"/>
      <c r="X890" s="138"/>
    </row>
    <row r="891" spans="4:24">
      <c r="D891" s="137"/>
      <c r="E891" s="137"/>
      <c r="F891" s="137"/>
      <c r="G891" s="137"/>
      <c r="H891" s="137"/>
      <c r="I891" s="137"/>
      <c r="J891" s="137"/>
      <c r="K891" s="137"/>
      <c r="L891" s="137"/>
      <c r="M891" s="137"/>
      <c r="N891" s="8"/>
      <c r="O891" s="8"/>
      <c r="Q891" s="137"/>
      <c r="R891" s="137"/>
      <c r="S891" s="137"/>
      <c r="T891" s="138"/>
      <c r="U891" s="138"/>
      <c r="V891" s="138"/>
      <c r="W891" s="138"/>
      <c r="X891" s="138"/>
    </row>
    <row r="892" spans="4:24">
      <c r="D892" s="137"/>
      <c r="E892" s="137"/>
      <c r="F892" s="137"/>
      <c r="G892" s="137"/>
      <c r="H892" s="137"/>
      <c r="I892" s="137"/>
      <c r="J892" s="137"/>
      <c r="K892" s="137"/>
      <c r="L892" s="137"/>
      <c r="M892" s="137"/>
      <c r="N892" s="8"/>
      <c r="O892" s="50"/>
      <c r="Q892" s="137"/>
      <c r="R892" s="137"/>
      <c r="S892" s="137"/>
      <c r="T892" s="138"/>
      <c r="U892" s="138"/>
      <c r="V892" s="138"/>
      <c r="W892" s="138"/>
      <c r="X892" s="138"/>
    </row>
    <row r="893" spans="4:24">
      <c r="D893" s="137"/>
      <c r="E893" s="137"/>
      <c r="F893" s="137"/>
      <c r="G893" s="137"/>
      <c r="H893" s="137"/>
      <c r="I893" s="137"/>
      <c r="J893" s="137"/>
      <c r="K893" s="137"/>
      <c r="L893" s="137"/>
      <c r="M893" s="137"/>
      <c r="O893" s="105"/>
      <c r="Q893" s="137"/>
      <c r="R893" s="137"/>
      <c r="S893" s="137"/>
      <c r="T893" s="138"/>
      <c r="U893" s="138"/>
      <c r="V893" s="138"/>
      <c r="W893" s="138"/>
      <c r="X893" s="138"/>
    </row>
    <row r="894" spans="4:24">
      <c r="D894" s="137"/>
      <c r="E894" s="137"/>
      <c r="F894" s="137"/>
      <c r="G894" s="137"/>
      <c r="H894" s="137"/>
      <c r="I894" s="137"/>
      <c r="J894" s="137"/>
      <c r="K894" s="137"/>
      <c r="L894" s="137"/>
      <c r="M894" s="137"/>
      <c r="O894" s="105"/>
      <c r="Q894" s="137"/>
      <c r="R894" s="137"/>
      <c r="S894" s="137"/>
      <c r="T894" s="138"/>
      <c r="U894" s="138"/>
      <c r="V894" s="138"/>
      <c r="W894" s="138"/>
      <c r="X894" s="138"/>
    </row>
    <row r="895" spans="4:24" s="217" customFormat="1">
      <c r="D895" s="218" t="s">
        <v>1701</v>
      </c>
      <c r="E895" s="219"/>
      <c r="F895" s="219"/>
      <c r="G895" s="219"/>
      <c r="H895" s="219"/>
      <c r="I895" s="219"/>
      <c r="J895" s="219"/>
      <c r="K895" s="219"/>
      <c r="L895" s="219"/>
      <c r="M895" s="219"/>
      <c r="N895" s="219"/>
      <c r="O895" s="219"/>
      <c r="P895" s="219"/>
      <c r="Q895" s="219"/>
      <c r="R895" s="219"/>
      <c r="S895" s="219"/>
      <c r="T895" s="220"/>
      <c r="U895" s="220"/>
      <c r="V895" s="220"/>
      <c r="W895" s="220"/>
      <c r="X895" s="220"/>
    </row>
    <row r="897" spans="8:14">
      <c r="H897" s="81" t="s">
        <v>740</v>
      </c>
      <c r="I897" s="17"/>
      <c r="K897" s="81" t="s">
        <v>1151</v>
      </c>
      <c r="L897" s="17"/>
    </row>
    <row r="898" spans="8:14">
      <c r="H898" s="10" t="s">
        <v>743</v>
      </c>
      <c r="I898" s="141">
        <f ca="1">L936</f>
        <v>66718.593792969259</v>
      </c>
      <c r="K898" s="10" t="s">
        <v>757</v>
      </c>
      <c r="L898" s="44" cm="1">
        <f t="array" aca="1" ref="L898" ca="1">IF('Parameter Inputs'!E18='Parameter Inputs'!BK35,'Parameter Inputs'!F18*'Parameter Inputs'!G7,_xlfn.IFS('Parameter Inputs'!F7="Primary",'Parameter Inputs'!G7*I898,'Parameter Inputs'!F7="WAS",'Parameter Inputs'!G7*I903,'Parameter Inputs'!F7="Combined",'Parameter Inputs'!G7*(I908)))</f>
        <v>72147.394848568947</v>
      </c>
      <c r="N898" s="105"/>
    </row>
    <row r="899" spans="8:14">
      <c r="H899" s="10" t="s">
        <v>744</v>
      </c>
      <c r="I899" s="79">
        <f ca="1">L936*L947</f>
        <v>44909.586518699667</v>
      </c>
      <c r="K899" s="10" t="s">
        <v>758</v>
      </c>
      <c r="L899" s="44" cm="1">
        <f t="array" aca="1" ref="L899" ca="1">IF('Parameter Inputs'!E20='Parameter Inputs'!BK35,'Parameter Inputs'!F20*'Parameter Inputs'!G7,_xlfn.IFS('Parameter Inputs'!F7="Primary",'Parameter Inputs'!G7*I899,'Parameter Inputs'!F7="WAS",'Parameter Inputs'!G7*I904,'Parameter Inputs'!F7="Combined",'Parameter Inputs'!G7*(I909)))</f>
        <v>49252.627363179403</v>
      </c>
    </row>
    <row r="900" spans="8:14">
      <c r="H900" s="10" t="s">
        <v>745</v>
      </c>
      <c r="I900" s="65">
        <v>0.06</v>
      </c>
      <c r="K900" s="10" t="s">
        <v>759</v>
      </c>
      <c r="L900" s="44" cm="1">
        <f t="array" aca="1" ref="L900" ca="1">IF('Parameter Inputs'!E24='Parameter Inputs'!BK35,'Parameter Inputs'!F24*'Parameter Inputs'!G7,_xlfn.IFS('Parameter Inputs'!F7="Primary",'Parameter Inputs'!G7*I901,'Parameter Inputs'!F7="WAS",'Parameter Inputs'!G7*I906,'Parameter Inputs'!F7="Combined",'Parameter Inputs'!G7*(I911)))</f>
        <v>1247696.5896061466</v>
      </c>
    </row>
    <row r="901" spans="8:14">
      <c r="H901" s="10" t="s">
        <v>746</v>
      </c>
      <c r="I901" s="94">
        <f ca="1">I898/I900</f>
        <v>1111976.5632161545</v>
      </c>
      <c r="K901" s="10" t="s">
        <v>800</v>
      </c>
      <c r="L901" s="44" cm="1">
        <f t="array" aca="1" ref="L901" ca="1">IF('Parameter Inputs'!E26='Parameter Inputs'!BK35,'Parameter Inputs'!F26*'Parameter Inputs'!G7,_xlfn.IFS('Parameter Inputs'!F7="Primary",'Parameter Inputs'!G7*I902,'Parameter Inputs'!F7="WAS",'Parameter Inputs'!G7*I907,'Parameter Inputs'!F7="Combined",'Parameter Inputs'!G7*(I912)))</f>
        <v>1247.6965896061465</v>
      </c>
    </row>
    <row r="902" spans="8:14">
      <c r="H902" s="10" t="s">
        <v>747</v>
      </c>
      <c r="I902" s="44">
        <f ca="1">I901/1000</f>
        <v>1111.9765632161545</v>
      </c>
      <c r="K902" s="10"/>
      <c r="L902" s="36"/>
    </row>
    <row r="903" spans="8:14">
      <c r="H903" s="10" t="s">
        <v>748</v>
      </c>
      <c r="I903" s="141">
        <f ca="1">L988</f>
        <v>5428.8010555996816</v>
      </c>
      <c r="K903" s="10" t="s">
        <v>1003</v>
      </c>
      <c r="L903" s="36" t="s">
        <v>1289</v>
      </c>
    </row>
    <row r="904" spans="8:14">
      <c r="H904" s="10" t="s">
        <v>742</v>
      </c>
      <c r="I904" s="94">
        <f ca="1">L1010</f>
        <v>4343.0408444797458</v>
      </c>
      <c r="K904" s="10" t="s">
        <v>1004</v>
      </c>
      <c r="L904" s="94">
        <f ca="1">L996</f>
        <v>12081.052097350001</v>
      </c>
      <c r="M904" s="91"/>
      <c r="N904" s="91"/>
    </row>
    <row r="905" spans="8:14">
      <c r="H905" s="10" t="s">
        <v>749</v>
      </c>
      <c r="I905" s="65">
        <v>0.04</v>
      </c>
      <c r="K905" s="10" t="s">
        <v>1005</v>
      </c>
      <c r="L905" s="94">
        <f ca="1">L997</f>
        <v>10301.151289518453</v>
      </c>
      <c r="M905" s="91"/>
      <c r="N905" s="91"/>
    </row>
    <row r="906" spans="8:14">
      <c r="H906" s="10" t="s">
        <v>750</v>
      </c>
      <c r="I906" s="94">
        <f ca="1">I903/I905</f>
        <v>135720.02638999204</v>
      </c>
      <c r="K906" s="10" t="s">
        <v>1006</v>
      </c>
      <c r="L906" s="94">
        <f ca="1">L998</f>
        <v>25283.801978745327</v>
      </c>
      <c r="M906" s="91"/>
      <c r="N906" s="91"/>
    </row>
    <row r="907" spans="8:14">
      <c r="H907" s="10" t="s">
        <v>751</v>
      </c>
      <c r="I907" s="44">
        <f ca="1">I906/1000</f>
        <v>135.72002638999203</v>
      </c>
      <c r="K907" s="10" t="s">
        <v>1007</v>
      </c>
      <c r="L907" s="94">
        <f ca="1">L906/1000</f>
        <v>25.283801978745327</v>
      </c>
      <c r="M907" s="91"/>
      <c r="N907" s="91"/>
    </row>
    <row r="908" spans="8:14">
      <c r="H908" s="10" t="s">
        <v>752</v>
      </c>
      <c r="I908" s="36">
        <f ca="1">L987+L988</f>
        <v>72147.394848568947</v>
      </c>
      <c r="K908" s="10" t="s">
        <v>1173</v>
      </c>
      <c r="L908" s="36">
        <f ca="1">((L1045/F400)*1000)*F402</f>
        <v>318.85463567017018</v>
      </c>
      <c r="M908" s="91"/>
      <c r="N908" s="91"/>
    </row>
    <row r="909" spans="8:14">
      <c r="H909" s="10" t="s">
        <v>753</v>
      </c>
      <c r="I909" s="36">
        <f ca="1">L1009+L1010</f>
        <v>49252.62736317941</v>
      </c>
      <c r="K909" s="11" t="s">
        <v>1178</v>
      </c>
      <c r="L909" s="22">
        <f ca="1">L908*365</f>
        <v>116381.94201961212</v>
      </c>
    </row>
    <row r="910" spans="8:14">
      <c r="H910" s="10" t="s">
        <v>754</v>
      </c>
      <c r="I910" s="66">
        <f ca="1">(I898+I903)/(I901+I906)</f>
        <v>5.7824470668260235E-2</v>
      </c>
      <c r="N910" s="133"/>
    </row>
    <row r="911" spans="8:14">
      <c r="H911" s="10" t="s">
        <v>755</v>
      </c>
      <c r="I911" s="44">
        <f ca="1">I908/I910</f>
        <v>1247696.5896061466</v>
      </c>
      <c r="N911" s="133"/>
    </row>
    <row r="912" spans="8:14">
      <c r="H912" s="11" t="s">
        <v>756</v>
      </c>
      <c r="I912" s="142">
        <f ca="1">I911/1000</f>
        <v>1247.6965896061465</v>
      </c>
    </row>
    <row r="913" spans="8:12">
      <c r="H913" s="324" t="s">
        <v>741</v>
      </c>
      <c r="I913" s="324"/>
      <c r="J913" s="324"/>
      <c r="K913" s="324"/>
      <c r="L913" s="324"/>
    </row>
    <row r="914" spans="8:12">
      <c r="H914" s="327" t="s">
        <v>242</v>
      </c>
      <c r="I914" s="328"/>
      <c r="K914" s="81" t="s">
        <v>734</v>
      </c>
      <c r="L914" s="17"/>
    </row>
    <row r="915" spans="8:12">
      <c r="H915" s="10" t="s">
        <v>198</v>
      </c>
      <c r="I915" s="36"/>
      <c r="K915" s="10" t="s">
        <v>198</v>
      </c>
      <c r="L915" s="36"/>
    </row>
    <row r="916" spans="8:12">
      <c r="H916" s="10" t="s">
        <v>199</v>
      </c>
      <c r="I916" s="36">
        <f>(F315*F313)/1000</f>
        <v>109015.929</v>
      </c>
      <c r="K916" s="10" t="s">
        <v>199</v>
      </c>
      <c r="L916" s="44">
        <f ca="1">I916+I1043</f>
        <v>110713.3238287893</v>
      </c>
    </row>
    <row r="917" spans="8:12">
      <c r="H917" s="10" t="s">
        <v>201</v>
      </c>
      <c r="I917" s="36">
        <f>(F317*F313)/1000</f>
        <v>174425.48639999999</v>
      </c>
      <c r="K917" s="10" t="s">
        <v>201</v>
      </c>
      <c r="L917" s="36"/>
    </row>
    <row r="918" spans="8:12">
      <c r="H918" s="10" t="s">
        <v>202</v>
      </c>
      <c r="I918" s="94">
        <f>(F319*F313)/1000</f>
        <v>104706.999</v>
      </c>
      <c r="K918" s="10" t="s">
        <v>202</v>
      </c>
      <c r="L918" s="94">
        <f>I918</f>
        <v>104706.999</v>
      </c>
    </row>
    <row r="919" spans="8:12">
      <c r="H919" s="11" t="s">
        <v>203</v>
      </c>
      <c r="I919" s="22">
        <f>(F323*F313)/1000</f>
        <v>94236.299100000004</v>
      </c>
      <c r="K919" s="11" t="s">
        <v>203</v>
      </c>
      <c r="L919" s="142">
        <f ca="1">I919+L1053</f>
        <v>95312.276847098954</v>
      </c>
    </row>
    <row r="922" spans="8:12">
      <c r="H922" s="327" t="s">
        <v>241</v>
      </c>
      <c r="I922" s="328"/>
      <c r="K922" s="327" t="s">
        <v>241</v>
      </c>
      <c r="L922" s="328"/>
    </row>
    <row r="923" spans="8:12" ht="72.5">
      <c r="H923" s="64" t="s">
        <v>204</v>
      </c>
      <c r="I923" s="36"/>
      <c r="K923" s="64" t="s">
        <v>204</v>
      </c>
      <c r="L923" s="36"/>
    </row>
    <row r="924" spans="8:12">
      <c r="H924" s="10" t="s">
        <v>205</v>
      </c>
      <c r="I924" s="36"/>
      <c r="K924" s="10" t="s">
        <v>205</v>
      </c>
      <c r="L924" s="36"/>
    </row>
    <row r="925" spans="8:12">
      <c r="H925" s="10" t="s">
        <v>206</v>
      </c>
      <c r="I925" s="36">
        <f>F327*F335</f>
        <v>22.75</v>
      </c>
      <c r="K925" s="10" t="s">
        <v>206</v>
      </c>
      <c r="L925" s="36">
        <f>I925</f>
        <v>22.75</v>
      </c>
    </row>
    <row r="926" spans="8:12">
      <c r="H926" s="10" t="s">
        <v>207</v>
      </c>
      <c r="I926" s="36">
        <f>I925*F329</f>
        <v>32.305</v>
      </c>
      <c r="K926" s="10" t="s">
        <v>207</v>
      </c>
      <c r="L926" s="44">
        <f>I926</f>
        <v>32.305</v>
      </c>
    </row>
    <row r="927" spans="8:12">
      <c r="H927" s="10" t="s">
        <v>210</v>
      </c>
      <c r="I927" s="36">
        <f>I926*0.68</f>
        <v>21.967400000000001</v>
      </c>
      <c r="K927" s="10" t="s">
        <v>210</v>
      </c>
      <c r="L927" s="44">
        <f>I927</f>
        <v>21.967400000000001</v>
      </c>
    </row>
    <row r="928" spans="8:12">
      <c r="H928" s="10" t="s">
        <v>211</v>
      </c>
      <c r="I928" s="36"/>
      <c r="K928" s="10" t="s">
        <v>211</v>
      </c>
      <c r="L928" s="44"/>
    </row>
    <row r="929" spans="8:14">
      <c r="H929" s="11" t="s">
        <v>212</v>
      </c>
      <c r="I929" s="22">
        <f>F333-I927</f>
        <v>3.0325999999999986</v>
      </c>
      <c r="K929" s="11" t="s">
        <v>212</v>
      </c>
      <c r="L929" s="142">
        <f>F333-L927</f>
        <v>3.0325999999999986</v>
      </c>
    </row>
    <row r="931" spans="8:14">
      <c r="H931" s="81" t="s">
        <v>213</v>
      </c>
      <c r="I931" s="17"/>
    </row>
    <row r="932" spans="8:14">
      <c r="H932" s="145" t="s">
        <v>214</v>
      </c>
      <c r="I932" s="146"/>
      <c r="K932" s="143" t="s">
        <v>214</v>
      </c>
      <c r="L932" s="144"/>
    </row>
    <row r="933" spans="8:14">
      <c r="H933" s="10" t="s">
        <v>215</v>
      </c>
      <c r="I933" s="36">
        <f>I916*F340</f>
        <v>54507.964500000002</v>
      </c>
      <c r="K933" s="10" t="s">
        <v>215</v>
      </c>
      <c r="L933" s="44">
        <f ca="1">L916*F340</f>
        <v>55356.661914394652</v>
      </c>
    </row>
    <row r="934" spans="8:14">
      <c r="H934" s="10" t="s">
        <v>225</v>
      </c>
      <c r="I934" s="36">
        <f>I916-I933</f>
        <v>54507.964500000002</v>
      </c>
      <c r="K934" s="10" t="s">
        <v>225</v>
      </c>
      <c r="L934" s="44">
        <f ca="1">L916-L933</f>
        <v>55356.661914394652</v>
      </c>
    </row>
    <row r="935" spans="8:14">
      <c r="H935" s="10" t="s">
        <v>226</v>
      </c>
      <c r="I935" s="36">
        <f>(I934/F313)*1000</f>
        <v>126.5</v>
      </c>
      <c r="K935" s="10" t="s">
        <v>226</v>
      </c>
      <c r="L935" s="44">
        <f ca="1">(L934/F313)*1000</f>
        <v>128.46962451094507</v>
      </c>
      <c r="N935" s="91"/>
    </row>
    <row r="936" spans="8:14">
      <c r="H936" s="10" t="s">
        <v>286</v>
      </c>
      <c r="I936" s="36">
        <f>I919*F342</f>
        <v>65965.409369999994</v>
      </c>
      <c r="K936" s="10" t="s">
        <v>286</v>
      </c>
      <c r="L936" s="44">
        <f ca="1">L919*F342</f>
        <v>66718.593792969259</v>
      </c>
      <c r="N936" s="91"/>
    </row>
    <row r="937" spans="8:14">
      <c r="H937" s="11" t="s">
        <v>216</v>
      </c>
      <c r="I937" s="22">
        <f>I919-I936</f>
        <v>28270.88973000001</v>
      </c>
      <c r="K937" s="11" t="s">
        <v>216</v>
      </c>
      <c r="L937" s="142">
        <f ca="1">L919-L936</f>
        <v>28593.683054129695</v>
      </c>
    </row>
    <row r="939" spans="8:14">
      <c r="H939" s="143" t="s">
        <v>217</v>
      </c>
      <c r="I939" s="144"/>
      <c r="K939" s="143" t="s">
        <v>217</v>
      </c>
      <c r="L939" s="144"/>
    </row>
    <row r="940" spans="8:14">
      <c r="H940" s="10" t="s">
        <v>219</v>
      </c>
      <c r="I940" s="37">
        <f>F281</f>
        <v>0.67</v>
      </c>
      <c r="K940" s="10" t="s">
        <v>219</v>
      </c>
      <c r="L940" s="65">
        <f>F281</f>
        <v>0.67</v>
      </c>
    </row>
    <row r="941" spans="8:14">
      <c r="H941" s="10" t="s">
        <v>182</v>
      </c>
      <c r="I941" s="37">
        <f>F325</f>
        <v>0.1</v>
      </c>
      <c r="K941" s="10" t="s">
        <v>182</v>
      </c>
      <c r="L941" s="37">
        <f>F325</f>
        <v>0.1</v>
      </c>
    </row>
    <row r="942" spans="8:14">
      <c r="H942" s="10" t="s">
        <v>220</v>
      </c>
      <c r="I942" s="37">
        <f>F344</f>
        <v>0.85</v>
      </c>
      <c r="K942" s="10" t="s">
        <v>220</v>
      </c>
      <c r="L942" s="37">
        <f>F344</f>
        <v>0.85</v>
      </c>
    </row>
    <row r="943" spans="8:14">
      <c r="H943" s="10" t="s">
        <v>282</v>
      </c>
      <c r="I943" s="36">
        <f>I918*I940</f>
        <v>70153.689330000008</v>
      </c>
      <c r="K943" s="10" t="s">
        <v>282</v>
      </c>
      <c r="L943" s="36">
        <f>L918*L940</f>
        <v>70153.689330000008</v>
      </c>
    </row>
    <row r="944" spans="8:14">
      <c r="H944" s="10" t="s">
        <v>283</v>
      </c>
      <c r="I944" s="36">
        <f>(I918-I919)*I941</f>
        <v>1047.0699899999993</v>
      </c>
      <c r="K944" s="10" t="s">
        <v>283</v>
      </c>
      <c r="L944" s="36">
        <f ca="1">(L918-L919)*L941</f>
        <v>939.47221529010426</v>
      </c>
    </row>
    <row r="945" spans="8:12">
      <c r="H945" s="10" t="s">
        <v>284</v>
      </c>
      <c r="I945" s="36">
        <f>I937*I942</f>
        <v>24030.256270500009</v>
      </c>
      <c r="K945" s="10" t="s">
        <v>284</v>
      </c>
      <c r="L945" s="36">
        <f ca="1">L937*L942</f>
        <v>24304.63059601024</v>
      </c>
    </row>
    <row r="946" spans="8:12">
      <c r="H946" s="10" t="s">
        <v>285</v>
      </c>
      <c r="I946" s="36">
        <f>I943-I944-I945</f>
        <v>45076.363069499996</v>
      </c>
      <c r="K946" s="10" t="s">
        <v>285</v>
      </c>
      <c r="L946" s="36">
        <f ca="1">L943-L944-L945</f>
        <v>44909.58651869966</v>
      </c>
    </row>
    <row r="947" spans="8:12">
      <c r="H947" s="11" t="s">
        <v>221</v>
      </c>
      <c r="I947" s="114">
        <f>I946/I936</f>
        <v>0.68333333333333335</v>
      </c>
      <c r="K947" s="11" t="s">
        <v>221</v>
      </c>
      <c r="L947" s="114">
        <f ca="1">L946/L936</f>
        <v>0.67311950036081525</v>
      </c>
    </row>
    <row r="949" spans="8:12">
      <c r="H949" s="147" t="s">
        <v>222</v>
      </c>
      <c r="I949" s="148"/>
      <c r="K949" s="143" t="s">
        <v>222</v>
      </c>
      <c r="L949" s="144"/>
    </row>
    <row r="950" spans="8:12">
      <c r="H950" s="10" t="s">
        <v>223</v>
      </c>
      <c r="I950" s="36" t="s">
        <v>224</v>
      </c>
      <c r="K950" s="10" t="s">
        <v>223</v>
      </c>
      <c r="L950" s="36" t="s">
        <v>224</v>
      </c>
    </row>
    <row r="951" spans="8:12">
      <c r="H951" s="10" t="s">
        <v>227</v>
      </c>
      <c r="I951" s="36">
        <f>(F313*F351*(I935-I929)*F355)/((1+F353*F355)*F349)</f>
        <v>35373.163821941489</v>
      </c>
      <c r="K951" s="10" t="s">
        <v>227</v>
      </c>
      <c r="L951" s="94">
        <f ca="1">(F313*F351*(L935-L929)*F355)/((1+F353*F355)*F349)</f>
        <v>35937.457315554951</v>
      </c>
    </row>
    <row r="952" spans="8:12">
      <c r="H952" s="10" t="s">
        <v>228</v>
      </c>
      <c r="I952" s="36">
        <f>I951/F347</f>
        <v>44216.454777426858</v>
      </c>
      <c r="K952" s="10" t="s">
        <v>1188</v>
      </c>
      <c r="L952" s="94">
        <f ca="1">L951/F347</f>
        <v>44921.821644443684</v>
      </c>
    </row>
    <row r="953" spans="8:12">
      <c r="H953" s="10" t="s">
        <v>229</v>
      </c>
      <c r="I953" s="36" t="s">
        <v>230</v>
      </c>
      <c r="K953" s="10" t="s">
        <v>229</v>
      </c>
      <c r="L953" s="36" t="s">
        <v>230</v>
      </c>
    </row>
    <row r="954" spans="8:12">
      <c r="H954" s="11" t="s">
        <v>229</v>
      </c>
      <c r="I954" s="22">
        <f>F351/(1+F353*F355)</f>
        <v>0.3125</v>
      </c>
      <c r="K954" s="11" t="s">
        <v>229</v>
      </c>
      <c r="L954" s="22">
        <f>F351/(1+F353*F355)</f>
        <v>0.3125</v>
      </c>
    </row>
    <row r="956" spans="8:12">
      <c r="H956" s="143" t="s">
        <v>231</v>
      </c>
      <c r="I956" s="144"/>
      <c r="K956" s="143" t="s">
        <v>231</v>
      </c>
      <c r="L956" s="144"/>
    </row>
    <row r="957" spans="8:12">
      <c r="H957" s="10" t="s">
        <v>199</v>
      </c>
      <c r="I957" s="36">
        <f>(F313*F333)/1000</f>
        <v>10772.325000000001</v>
      </c>
      <c r="K957" s="10" t="s">
        <v>199</v>
      </c>
      <c r="L957" s="36">
        <f>(F313*F333)/1000</f>
        <v>10772.325000000001</v>
      </c>
    </row>
    <row r="958" spans="8:12">
      <c r="H958" s="11" t="s">
        <v>236</v>
      </c>
      <c r="I958" s="22">
        <f>(F313*F335)/1000</f>
        <v>15081.254999999999</v>
      </c>
      <c r="K958" s="11" t="s">
        <v>236</v>
      </c>
      <c r="L958" s="22">
        <f>(F313*F335)/1000</f>
        <v>15081.254999999999</v>
      </c>
    </row>
    <row r="960" spans="8:12" ht="72.5">
      <c r="H960" s="149" t="s">
        <v>232</v>
      </c>
      <c r="I960" s="150"/>
      <c r="K960" s="149" t="s">
        <v>232</v>
      </c>
      <c r="L960" s="150"/>
    </row>
    <row r="961" spans="8:12">
      <c r="H961" s="10" t="s">
        <v>233</v>
      </c>
      <c r="I961" s="36" t="s">
        <v>234</v>
      </c>
      <c r="K961" s="10" t="s">
        <v>233</v>
      </c>
      <c r="L961" s="36" t="s">
        <v>234</v>
      </c>
    </row>
    <row r="962" spans="8:12">
      <c r="H962" s="11" t="s">
        <v>233</v>
      </c>
      <c r="I962" s="22">
        <f>(I954*F313*(I935-I929))/1000</f>
        <v>16625.3869963125</v>
      </c>
      <c r="K962" s="11" t="s">
        <v>233</v>
      </c>
      <c r="L962" s="22">
        <f ca="1">(L954*F313*(L935-L929))/1000</f>
        <v>16890.604938310829</v>
      </c>
    </row>
    <row r="964" spans="8:12" ht="116">
      <c r="H964" s="149" t="s">
        <v>235</v>
      </c>
      <c r="I964" s="150"/>
      <c r="K964" s="149" t="s">
        <v>235</v>
      </c>
      <c r="L964" s="150"/>
    </row>
    <row r="965" spans="8:12">
      <c r="H965" s="10" t="s">
        <v>238</v>
      </c>
      <c r="I965" s="36">
        <f>I962/F347</f>
        <v>20781.733745390622</v>
      </c>
      <c r="K965" s="10" t="s">
        <v>238</v>
      </c>
      <c r="L965" s="36">
        <f ca="1">L962/F347</f>
        <v>21113.256172888534</v>
      </c>
    </row>
    <row r="966" spans="8:12">
      <c r="H966" s="10" t="s">
        <v>239</v>
      </c>
      <c r="I966" s="36">
        <f>I958</f>
        <v>15081.254999999999</v>
      </c>
      <c r="K966" s="10" t="s">
        <v>239</v>
      </c>
      <c r="L966" s="36">
        <f>L958</f>
        <v>15081.254999999999</v>
      </c>
    </row>
    <row r="967" spans="8:12">
      <c r="H967" s="10" t="s">
        <v>237</v>
      </c>
      <c r="I967" s="36">
        <f>I965-I958</f>
        <v>5700.4787453906229</v>
      </c>
      <c r="K967" s="10" t="s">
        <v>237</v>
      </c>
      <c r="L967" s="36">
        <f ca="1">L965-L958</f>
        <v>6032.0011728885347</v>
      </c>
    </row>
    <row r="968" spans="8:12">
      <c r="H968" s="11" t="s">
        <v>240</v>
      </c>
      <c r="I968" s="22">
        <f>(I967*1000)/I952</f>
        <v>128.9221122336746</v>
      </c>
      <c r="K968" s="11" t="s">
        <v>240</v>
      </c>
      <c r="L968" s="22">
        <f ca="1">(L967*1000)/L952</f>
        <v>134.27775081411073</v>
      </c>
    </row>
    <row r="970" spans="8:12">
      <c r="H970" s="143" t="s">
        <v>243</v>
      </c>
      <c r="I970" s="144"/>
      <c r="K970" s="143" t="s">
        <v>243</v>
      </c>
      <c r="L970" s="144"/>
    </row>
    <row r="971" spans="8:12">
      <c r="H971" s="10" t="s">
        <v>244</v>
      </c>
      <c r="I971" s="37">
        <v>0.16</v>
      </c>
      <c r="K971" s="10" t="s">
        <v>244</v>
      </c>
      <c r="L971" s="37">
        <v>0.16</v>
      </c>
    </row>
    <row r="972" spans="8:12">
      <c r="H972" s="10" t="s">
        <v>245</v>
      </c>
      <c r="I972" s="37">
        <f>F357</f>
        <v>0.9</v>
      </c>
      <c r="K972" s="10" t="s">
        <v>245</v>
      </c>
      <c r="L972" s="37">
        <f>F357</f>
        <v>0.9</v>
      </c>
    </row>
    <row r="973" spans="8:12">
      <c r="H973" s="10" t="s">
        <v>247</v>
      </c>
      <c r="I973" s="79">
        <f>F295</f>
        <v>1</v>
      </c>
      <c r="K973" s="10" t="s">
        <v>247</v>
      </c>
      <c r="L973" s="79">
        <f>F295</f>
        <v>1</v>
      </c>
    </row>
    <row r="974" spans="8:12">
      <c r="H974" s="10" t="s">
        <v>248</v>
      </c>
      <c r="I974" s="44">
        <f>(I967*I972)/(1000*I971)</f>
        <v>32.065192942822257</v>
      </c>
      <c r="K974" s="10" t="s">
        <v>248</v>
      </c>
      <c r="L974" s="44">
        <f ca="1">(L967*L972)/(1000*L971)</f>
        <v>33.930006597498007</v>
      </c>
    </row>
    <row r="975" spans="8:12">
      <c r="H975" s="10" t="s">
        <v>249</v>
      </c>
      <c r="I975" s="44">
        <f>I968-I974</f>
        <v>96.856919290852346</v>
      </c>
      <c r="K975" s="10" t="s">
        <v>249</v>
      </c>
      <c r="L975" s="44">
        <f ca="1">L968-L974</f>
        <v>100.34774421661272</v>
      </c>
    </row>
    <row r="976" spans="8:12">
      <c r="H976" s="10" t="s">
        <v>251</v>
      </c>
      <c r="I976" s="44">
        <f>I967*I972</f>
        <v>5130.4308708515609</v>
      </c>
      <c r="K976" s="10" t="s">
        <v>251</v>
      </c>
      <c r="L976" s="44">
        <f ca="1">L967*L972</f>
        <v>5428.8010555996816</v>
      </c>
    </row>
    <row r="977" spans="8:15">
      <c r="H977" s="11" t="s">
        <v>250</v>
      </c>
      <c r="I977" s="142">
        <f>I967-I976</f>
        <v>570.04787453906192</v>
      </c>
      <c r="K977" s="10" t="s">
        <v>250</v>
      </c>
      <c r="L977" s="44">
        <f ca="1">L967-L976</f>
        <v>603.20011728885311</v>
      </c>
    </row>
    <row r="978" spans="8:15">
      <c r="K978" s="11" t="s">
        <v>1187</v>
      </c>
      <c r="L978" s="142">
        <f ca="1">L977*L947</f>
        <v>406.02576156705794</v>
      </c>
    </row>
    <row r="980" spans="8:15">
      <c r="H980" s="143" t="s">
        <v>252</v>
      </c>
      <c r="I980" s="144"/>
      <c r="K980" s="147" t="s">
        <v>252</v>
      </c>
      <c r="L980" s="148"/>
    </row>
    <row r="981" spans="8:15">
      <c r="H981" s="10" t="s">
        <v>253</v>
      </c>
      <c r="I981" s="36">
        <f>(I977*1000)/I975</f>
        <v>5885.4636169798159</v>
      </c>
      <c r="K981" s="10" t="s">
        <v>1144</v>
      </c>
      <c r="L981" s="36">
        <f ca="1">L977*F327*F329*F331</f>
        <v>378.59252161517583</v>
      </c>
    </row>
    <row r="982" spans="8:15">
      <c r="H982" s="10" t="s">
        <v>254</v>
      </c>
      <c r="I982" s="36">
        <f>I981*F327*F329*F331</f>
        <v>3693.9523845612121</v>
      </c>
      <c r="K982" s="11" t="s">
        <v>199</v>
      </c>
      <c r="L982" s="22">
        <f ca="1">(L981*L975)/1000</f>
        <v>37.990905521362087</v>
      </c>
    </row>
    <row r="983" spans="8:15">
      <c r="H983" s="11" t="s">
        <v>199</v>
      </c>
      <c r="I983" s="22">
        <f>(I982*I975)/1000</f>
        <v>357.78484797569689</v>
      </c>
    </row>
    <row r="985" spans="8:15">
      <c r="H985" s="143" t="s">
        <v>255</v>
      </c>
      <c r="I985" s="144"/>
      <c r="K985" s="143" t="s">
        <v>255</v>
      </c>
      <c r="L985" s="144"/>
    </row>
    <row r="986" spans="8:15">
      <c r="H986" s="145" t="s">
        <v>259</v>
      </c>
      <c r="I986" s="146"/>
      <c r="K986" s="145" t="s">
        <v>259</v>
      </c>
      <c r="L986" s="146"/>
    </row>
    <row r="987" spans="8:15">
      <c r="H987" s="38" t="s">
        <v>712</v>
      </c>
      <c r="I987" s="151">
        <f>I936</f>
        <v>65965.409369999994</v>
      </c>
      <c r="K987" s="38" t="s">
        <v>712</v>
      </c>
      <c r="L987" s="151">
        <f ca="1">L936</f>
        <v>66718.593792969259</v>
      </c>
      <c r="M987" s="91"/>
      <c r="N987" s="91"/>
      <c r="O987" s="91"/>
    </row>
    <row r="988" spans="8:15">
      <c r="H988" s="38" t="s">
        <v>713</v>
      </c>
      <c r="I988" s="151">
        <f>I976</f>
        <v>5130.4308708515609</v>
      </c>
      <c r="K988" s="38" t="s">
        <v>713</v>
      </c>
      <c r="L988" s="151">
        <f ca="1">L976</f>
        <v>5428.8010555996816</v>
      </c>
      <c r="M988" s="91"/>
      <c r="N988" s="91"/>
    </row>
    <row r="989" spans="8:15">
      <c r="H989" s="10" t="s">
        <v>200</v>
      </c>
      <c r="I989" s="36" t="s">
        <v>260</v>
      </c>
      <c r="K989" s="10" t="s">
        <v>200</v>
      </c>
      <c r="L989" s="36" t="s">
        <v>260</v>
      </c>
    </row>
    <row r="990" spans="8:15">
      <c r="H990" s="10" t="s">
        <v>1085</v>
      </c>
      <c r="I990" s="36" cm="1">
        <f t="array" ref="I990">_xlfn.IFS('Parameter Inputs'!F9="Primary",'Parameter Inputs'!I987*'Parameter Inputs'!G9,'Parameter Inputs'!F9="WAS",'Parameter Inputs'!G9*'Parameter Inputs'!I988,'Parameter Inputs'!F9="Combined",'Parameter Inputs'!G9*('Parameter Inputs'!I987+'Parameter Inputs'!I988))</f>
        <v>7.1095840240851553E-96</v>
      </c>
      <c r="K990" s="10" t="s">
        <v>1085</v>
      </c>
      <c r="L990" s="79" cm="1">
        <f t="array" aca="1" ref="L990" ca="1">_xlfn.IFS('Parameter Inputs'!F9="Primary",'Parameter Inputs'!L987*'Parameter Inputs'!G9,'Parameter Inputs'!F9="WAS",'Parameter Inputs'!G9*'Parameter Inputs'!L988,'Parameter Inputs'!F9="Combined",'Parameter Inputs'!G9*('Parameter Inputs'!L987+'Parameter Inputs'!L988))</f>
        <v>7.2147394848568945E-96</v>
      </c>
    </row>
    <row r="991" spans="8:15">
      <c r="H991" s="10" t="s">
        <v>1084</v>
      </c>
      <c r="I991" s="36" cm="1">
        <f t="array" ref="I991">_xlfn.IFS('Parameter Inputs'!F9="Primary",I1007*'Parameter Inputs'!G9,'Parameter Inputs'!F9="WAS",'Parameter Inputs'!G9*'Parameter Inputs'!I1008,'Parameter Inputs'!F9="Combined",'Parameter Inputs'!G9*('Parameter Inputs'!I1007+'Results. Energy Balance'!I1064))</f>
        <v>4.5076363069499995E-96</v>
      </c>
      <c r="K991" s="10" t="s">
        <v>1089</v>
      </c>
      <c r="L991" s="79" cm="1">
        <f t="array" aca="1" ref="L991" ca="1">_xlfn.IFS('Parameter Inputs'!F9="Primary",'Parameter Inputs'!L1009*'Parameter Inputs'!G9,'Parameter Inputs'!F9="WAS",'Parameter Inputs'!L1010*'Parameter Inputs'!G9,'Parameter Inputs'!F9="Combined",'Parameter Inputs'!L1011*'Parameter Inputs'!G9)</f>
        <v>4.9252627363179415E-96</v>
      </c>
    </row>
    <row r="992" spans="8:15">
      <c r="H992" s="10" t="s">
        <v>1088</v>
      </c>
      <c r="I992" s="36" cm="1">
        <f t="array" ref="I992">_xlfn.IFS('Parameter Inputs'!F9="Primary",('Parameter Inputs'!I987/I971)*'Parameter Inputs'!G9,'Parameter Inputs'!F9="WAS",'Parameter Inputs'!G9*('Parameter Inputs'!I988/I971),'Parameter Inputs'!F9="Combined",'Parameter Inputs'!G9*(('Parameter Inputs'!I987/I971)+('Parameter Inputs'!I988/I971)))</f>
        <v>4.4434900150532219E-95</v>
      </c>
      <c r="K992" s="10" t="s">
        <v>1090</v>
      </c>
      <c r="L992" s="79" cm="1">
        <f t="array" aca="1" ref="L992" ca="1">_xlfn.IFS('Parameter Inputs'!F9="Primary",('Parameter Inputs'!L987/L971)*'Parameter Inputs'!G9,'Parameter Inputs'!F9="WAS",'Parameter Inputs'!G9*('Parameter Inputs'!L988/L971),'Parameter Inputs'!F9="Combined",'Parameter Inputs'!G9*(('Parameter Inputs'!L987/L971)+('Parameter Inputs'!L988/L971)))</f>
        <v>4.5092121780355588E-95</v>
      </c>
    </row>
    <row r="993" spans="8:12">
      <c r="H993" s="10" t="s">
        <v>1079</v>
      </c>
      <c r="I993" s="36">
        <f ca="1">IFERROR('Parameter Inputs'!N1082,0)</f>
        <v>12081.052097350006</v>
      </c>
      <c r="K993" s="10" t="s">
        <v>1079</v>
      </c>
      <c r="L993" s="36">
        <f ca="1">IFERROR('Parameter Inputs'!N1082,0)</f>
        <v>12081.052097350006</v>
      </c>
    </row>
    <row r="994" spans="8:12">
      <c r="H994" s="10" t="s">
        <v>1080</v>
      </c>
      <c r="I994" s="36">
        <f ca="1">IFERROR('Parameter Inputs'!N1083,0)</f>
        <v>10301.15128951845</v>
      </c>
      <c r="K994" s="10" t="s">
        <v>1080</v>
      </c>
      <c r="L994" s="36">
        <f ca="1">IFERROR('Parameter Inputs'!N1083,0)</f>
        <v>10301.15128951845</v>
      </c>
    </row>
    <row r="995" spans="8:12">
      <c r="H995" s="10" t="s">
        <v>1082</v>
      </c>
      <c r="I995" s="36">
        <f ca="1">IFERROR('Parameter Inputs'!N1080,0)</f>
        <v>25283.801978745334</v>
      </c>
      <c r="K995" s="10" t="s">
        <v>1082</v>
      </c>
      <c r="L995" s="36">
        <f ca="1">IFERROR('Parameter Inputs'!N1080,0)</f>
        <v>25283.801978745334</v>
      </c>
    </row>
    <row r="996" spans="8:12">
      <c r="H996" s="10" t="s">
        <v>1081</v>
      </c>
      <c r="I996" s="36">
        <f ca="1">I990+I993</f>
        <v>12081.052097350006</v>
      </c>
      <c r="K996" s="10" t="s">
        <v>1081</v>
      </c>
      <c r="L996" s="94">
        <f ca="1">L990+L993</f>
        <v>12081.052097350006</v>
      </c>
    </row>
    <row r="997" spans="8:12">
      <c r="H997" s="10" t="s">
        <v>1083</v>
      </c>
      <c r="I997" s="36">
        <f ca="1">I991+I994</f>
        <v>10301.15128951845</v>
      </c>
      <c r="K997" s="10" t="s">
        <v>1083</v>
      </c>
      <c r="L997" s="94">
        <f ca="1">L991+L994</f>
        <v>10301.15128951845</v>
      </c>
    </row>
    <row r="998" spans="8:12">
      <c r="H998" s="10" t="s">
        <v>1143</v>
      </c>
      <c r="I998" s="36">
        <f ca="1">I992+I995</f>
        <v>25283.801978745334</v>
      </c>
      <c r="K998" s="10" t="s">
        <v>1143</v>
      </c>
      <c r="L998" s="94">
        <f ca="1">L992+L995</f>
        <v>25283.801978745334</v>
      </c>
    </row>
    <row r="999" spans="8:12">
      <c r="H999" s="10" t="s">
        <v>548</v>
      </c>
      <c r="I999" s="94">
        <f ca="1">(I998/'Parameter Inputs'!F309)*'Parameter Inputs'!F360</f>
        <v>379.25702968118003</v>
      </c>
      <c r="K999" s="10" t="s">
        <v>548</v>
      </c>
      <c r="L999" s="94">
        <f ca="1">(L998/'Parameter Inputs'!F309)*'Parameter Inputs'!F360</f>
        <v>379.25702968118003</v>
      </c>
    </row>
    <row r="1000" spans="8:12">
      <c r="H1000" s="10" t="s">
        <v>714</v>
      </c>
      <c r="I1000" s="36" cm="1">
        <f t="array" ref="I1000">IF('Parameter Inputs'!E18='Parameter Inputs'!BK35,'Parameter Inputs'!F18,_xlfn.IFS('Parameter Inputs'!F7="Primary",'Parameter Inputs'!G7*'Parameter Inputs'!I987,'Parameter Inputs'!F7="WAS",'Parameter Inputs'!G7*'Parameter Inputs'!I988,'Parameter Inputs'!F7="Combined",'Parameter Inputs'!G7*('Parameter Inputs'!I987+'Parameter Inputs'!I988)))</f>
        <v>71095.840240851554</v>
      </c>
      <c r="K1000" s="10" t="s">
        <v>714</v>
      </c>
      <c r="L1000" s="36" cm="1">
        <f t="array" aca="1" ref="L1000" ca="1">IF('Parameter Inputs'!E18='Parameter Inputs'!BK35,'Parameter Inputs'!F18*'Parameter Inputs'!G7,_xlfn.IFS('Parameter Inputs'!F7="Primary",'Parameter Inputs'!G7*'Parameter Inputs'!L987,'Parameter Inputs'!F7="WAS",'Parameter Inputs'!G7*'Parameter Inputs'!L988,'Parameter Inputs'!F7="Combined",'Parameter Inputs'!G7*('Parameter Inputs'!L987+'Parameter Inputs'!L988)))</f>
        <v>72147.394848568947</v>
      </c>
    </row>
    <row r="1001" spans="8:12">
      <c r="H1001" s="10" t="s">
        <v>261</v>
      </c>
      <c r="I1001" s="36">
        <f>I936/(F291*1000)</f>
        <v>1099.4234895</v>
      </c>
      <c r="K1001" s="10" t="s">
        <v>1075</v>
      </c>
      <c r="L1001" s="36" cm="1">
        <f t="array" aca="1" ref="L1001" ca="1">_xlfn.IFS('Parameter Inputs'!F9="Primary",'Parameter Inputs'!L1009*'Parameter Inputs'!G7,'Parameter Inputs'!F9="WAS",'Parameter Inputs'!L1010*'Parameter Inputs'!G7,'Parameter Inputs'!F9="Combined",'Parameter Inputs'!L1011*'Parameter Inputs'!G7)</f>
        <v>49252.62736317941</v>
      </c>
    </row>
    <row r="1002" spans="8:12">
      <c r="H1002" s="10" t="s">
        <v>262</v>
      </c>
      <c r="I1002" s="36">
        <f>I976/(F293*1000)</f>
        <v>128.26077177128903</v>
      </c>
      <c r="K1002" s="10" t="s">
        <v>261</v>
      </c>
      <c r="L1002" s="36">
        <f ca="1">L936/(F291*1000)</f>
        <v>1111.9765632161543</v>
      </c>
    </row>
    <row r="1003" spans="8:12">
      <c r="H1003" s="11" t="s">
        <v>263</v>
      </c>
      <c r="I1003" s="22">
        <f>I1001+I1002</f>
        <v>1227.684261271289</v>
      </c>
      <c r="K1003" s="11" t="s">
        <v>262</v>
      </c>
      <c r="L1003" s="22">
        <f ca="1">L976/(F293*1000)</f>
        <v>135.72002638999203</v>
      </c>
    </row>
    <row r="1004" spans="8:12">
      <c r="K1004" s="5" t="s">
        <v>263</v>
      </c>
      <c r="L1004" s="5">
        <f ca="1">L1002+L1003</f>
        <v>1247.6965896061463</v>
      </c>
    </row>
    <row r="1005" spans="8:12">
      <c r="H1005" s="143" t="s">
        <v>264</v>
      </c>
      <c r="I1005" s="144"/>
    </row>
    <row r="1006" spans="8:12">
      <c r="H1006" s="10" t="s">
        <v>641</v>
      </c>
      <c r="I1006" s="36" cm="1">
        <f t="array" ref="I1006">_xlfn.IFS('Parameter Inputs'!F9="Primary",'Parameter Inputs'!I1007*'Parameter Inputs'!G9,'Parameter Inputs'!F9="WAS",'Parameter Inputs'!I1008*'Parameter Inputs'!G9,'Parameter Inputs'!F9="Combined",'Parameter Inputs'!I1009*'Parameter Inputs'!G9)</f>
        <v>4.9180707766181246E-96</v>
      </c>
    </row>
    <row r="1007" spans="8:12">
      <c r="H1007" s="10" t="s">
        <v>265</v>
      </c>
      <c r="I1007" s="36">
        <f>I936*I947</f>
        <v>45076.363069499996</v>
      </c>
      <c r="K1007" s="143" t="s">
        <v>1078</v>
      </c>
      <c r="L1007" s="144"/>
    </row>
    <row r="1008" spans="8:12">
      <c r="H1008" s="10" t="s">
        <v>266</v>
      </c>
      <c r="I1008" s="36">
        <f>F347*I976</f>
        <v>4104.3446966812489</v>
      </c>
      <c r="K1008" s="10"/>
      <c r="L1008" s="36"/>
    </row>
    <row r="1009" spans="8:14">
      <c r="H1009" s="10" t="s">
        <v>588</v>
      </c>
      <c r="I1009" s="36">
        <f>I1007+I1008</f>
        <v>49180.707766181244</v>
      </c>
      <c r="K1009" s="10" t="s">
        <v>265</v>
      </c>
      <c r="L1009" s="36">
        <f ca="1">L936*L947</f>
        <v>44909.58651869966</v>
      </c>
    </row>
    <row r="1010" spans="8:14">
      <c r="H1010" s="10" t="s">
        <v>582</v>
      </c>
      <c r="I1010" s="36">
        <f>I1008*F329</f>
        <v>5828.1694692873734</v>
      </c>
      <c r="K1010" s="10" t="s">
        <v>266</v>
      </c>
      <c r="L1010" s="36">
        <f ca="1">F347*L976</f>
        <v>4343.0408444797458</v>
      </c>
    </row>
    <row r="1011" spans="8:14">
      <c r="H1011" s="10" t="s">
        <v>583</v>
      </c>
      <c r="I1011" s="36">
        <f>(F317/1000)*F313*'Parameter Inputs'!F52</f>
        <v>122097.84047999998</v>
      </c>
      <c r="K1011" s="10" t="s">
        <v>588</v>
      </c>
      <c r="L1011" s="36">
        <f ca="1">(L1009+L1010)</f>
        <v>49252.627363179403</v>
      </c>
    </row>
    <row r="1012" spans="8:14">
      <c r="H1012" s="11" t="s">
        <v>581</v>
      </c>
      <c r="I1012" s="22">
        <f>I1010+I1011</f>
        <v>127926.00994928736</v>
      </c>
      <c r="K1012" s="10" t="s">
        <v>1076</v>
      </c>
      <c r="L1012" s="36">
        <f ca="1">L1010*F329</f>
        <v>6167.1179991612389</v>
      </c>
    </row>
    <row r="1013" spans="8:14">
      <c r="I1013" s="91"/>
      <c r="K1013" s="10" t="s">
        <v>583</v>
      </c>
      <c r="L1013" s="36">
        <f>((F317/1000)*F313*'Parameter Inputs'!F52)</f>
        <v>122097.84047999998</v>
      </c>
    </row>
    <row r="1014" spans="8:14">
      <c r="K1014" s="11" t="s">
        <v>1077</v>
      </c>
      <c r="L1014" s="22">
        <f ca="1">L1012+L1013</f>
        <v>128264.95847916123</v>
      </c>
    </row>
    <row r="1015" spans="8:14">
      <c r="L1015" s="91"/>
    </row>
    <row r="1016" spans="8:14" ht="130.5">
      <c r="H1016" s="152" t="s">
        <v>267</v>
      </c>
      <c r="I1016" s="153"/>
    </row>
    <row r="1017" spans="8:14">
      <c r="H1017" s="11" t="s">
        <v>268</v>
      </c>
      <c r="I1017" s="142">
        <f ca="1">I996-I997</f>
        <v>1779.9008078315564</v>
      </c>
    </row>
    <row r="1018" spans="8:14" ht="174">
      <c r="H1018" s="9" t="s">
        <v>269</v>
      </c>
      <c r="I1018" s="43">
        <f ca="1">I1017+(I997*(1-F362))</f>
        <v>5385.3037591630136</v>
      </c>
      <c r="K1018" s="152" t="s">
        <v>267</v>
      </c>
      <c r="L1018" s="153"/>
    </row>
    <row r="1019" spans="8:14">
      <c r="H1019" s="10" t="s">
        <v>274</v>
      </c>
      <c r="I1019" s="44">
        <f ca="1">F364*I997*F362</f>
        <v>6260.5246962048386</v>
      </c>
      <c r="K1019" s="10" t="s">
        <v>268</v>
      </c>
      <c r="L1019" s="44">
        <f ca="1">L996-L997</f>
        <v>1779.9008078315564</v>
      </c>
    </row>
    <row r="1020" spans="8:14">
      <c r="H1020" s="11" t="s">
        <v>273</v>
      </c>
      <c r="I1020" s="142">
        <f ca="1">I1019*F376</f>
        <v>6482.3976914383375</v>
      </c>
      <c r="K1020" s="10" t="s">
        <v>269</v>
      </c>
      <c r="L1020" s="44">
        <f ca="1">L1019+(L1021)</f>
        <v>5385.3037591630145</v>
      </c>
    </row>
    <row r="1021" spans="8:14">
      <c r="K1021" s="10" t="s">
        <v>1179</v>
      </c>
      <c r="L1021" s="44">
        <f ca="1">L997*(1-F362)</f>
        <v>3605.4029513314572</v>
      </c>
      <c r="N1021" s="91"/>
    </row>
    <row r="1022" spans="8:14">
      <c r="H1022" s="147" t="s">
        <v>275</v>
      </c>
      <c r="I1022" s="148"/>
      <c r="K1022" s="10" t="s">
        <v>1180</v>
      </c>
      <c r="L1022" s="65">
        <f ca="1">L1021/L1020</f>
        <v>0.66948924565246992</v>
      </c>
    </row>
    <row r="1023" spans="8:14">
      <c r="H1023" s="10" t="s">
        <v>276</v>
      </c>
      <c r="I1023" s="94">
        <f ca="1">I998</f>
        <v>25283.801978745334</v>
      </c>
      <c r="K1023" s="10" t="s">
        <v>274</v>
      </c>
      <c r="L1023" s="44">
        <f ca="1">F364*L997*F362</f>
        <v>6260.5246962048386</v>
      </c>
      <c r="M1023" s="91"/>
    </row>
    <row r="1024" spans="8:14">
      <c r="H1024" s="10" t="s">
        <v>277</v>
      </c>
      <c r="I1024" s="94">
        <f ca="1">I1020</f>
        <v>6482.3976914383375</v>
      </c>
      <c r="K1024" s="11" t="s">
        <v>273</v>
      </c>
      <c r="L1024" s="142">
        <f ca="1">L1023*F376</f>
        <v>6482.3976914383375</v>
      </c>
    </row>
    <row r="1025" spans="8:12">
      <c r="H1025" s="11" t="s">
        <v>278</v>
      </c>
      <c r="I1025" s="95">
        <f ca="1">I1023-I1024</f>
        <v>18801.404287306996</v>
      </c>
    </row>
    <row r="1026" spans="8:12">
      <c r="H1026" s="9"/>
      <c r="I1026" s="41"/>
      <c r="K1026" s="147" t="s">
        <v>275</v>
      </c>
      <c r="L1026" s="148"/>
    </row>
    <row r="1027" spans="8:12" ht="58">
      <c r="H1027" s="154" t="s">
        <v>1087</v>
      </c>
      <c r="I1027" s="155"/>
      <c r="K1027" s="10" t="s">
        <v>276</v>
      </c>
      <c r="L1027" s="94">
        <f ca="1">L998</f>
        <v>25283.801978745334</v>
      </c>
    </row>
    <row r="1028" spans="8:12">
      <c r="H1028" s="10" t="s">
        <v>718</v>
      </c>
      <c r="I1028" s="94">
        <f ca="1">((F368*I1025)-((F368/F370)*I1018))/(1-(F368/F370))</f>
        <v>38.052105066983643</v>
      </c>
      <c r="K1028" s="10" t="s">
        <v>277</v>
      </c>
      <c r="L1028" s="94">
        <f ca="1">L1024</f>
        <v>6482.3976914383375</v>
      </c>
    </row>
    <row r="1029" spans="8:12">
      <c r="H1029" s="10" t="s">
        <v>719</v>
      </c>
      <c r="I1029" s="44">
        <f ca="1">I1018-I1028</f>
        <v>5347.2516540960296</v>
      </c>
      <c r="K1029" s="11" t="s">
        <v>278</v>
      </c>
      <c r="L1029" s="95">
        <f ca="1">L1027-L1028</f>
        <v>18801.404287306996</v>
      </c>
    </row>
    <row r="1030" spans="8:12">
      <c r="H1030" s="11" t="s">
        <v>720</v>
      </c>
      <c r="I1030" s="142">
        <f ca="1">I1028/(F368*1000)</f>
        <v>7.6104210133967287</v>
      </c>
    </row>
    <row r="1031" spans="8:12" ht="101.5">
      <c r="H1031" s="9" t="s">
        <v>721</v>
      </c>
      <c r="I1031" s="43">
        <f ca="1">I1029/(F370*1000)</f>
        <v>11.190983273910268</v>
      </c>
      <c r="K1031" s="152" t="s">
        <v>279</v>
      </c>
      <c r="L1031" s="153"/>
    </row>
    <row r="1032" spans="8:12">
      <c r="H1032" s="10" t="s">
        <v>722</v>
      </c>
      <c r="I1032" s="44">
        <f ca="1">I1030*(F366*1000)</f>
        <v>7.6104210133967287</v>
      </c>
      <c r="K1032" s="10" t="s">
        <v>718</v>
      </c>
      <c r="L1032" s="94">
        <f ca="1">((F368*L1029)-((F368/F370)*L1020))/(1-(F368/F370))</f>
        <v>38.052105066983636</v>
      </c>
    </row>
    <row r="1033" spans="8:12">
      <c r="H1033" s="11" t="s">
        <v>200</v>
      </c>
      <c r="I1033" s="142">
        <f ca="1">I1030*(F368*1000)</f>
        <v>38.052105066983643</v>
      </c>
      <c r="K1033" s="10" t="s">
        <v>1181</v>
      </c>
      <c r="L1033" s="94">
        <f ca="1">L1032*L1022</f>
        <v>25.475475116783404</v>
      </c>
    </row>
    <row r="1034" spans="8:12">
      <c r="K1034" s="10" t="s">
        <v>1182</v>
      </c>
      <c r="L1034" s="44">
        <f ca="1">L1020-L1032</f>
        <v>5347.2516540960305</v>
      </c>
    </row>
    <row r="1035" spans="8:12">
      <c r="H1035" s="9" t="s">
        <v>723</v>
      </c>
      <c r="I1035" s="41"/>
      <c r="K1035" s="10" t="s">
        <v>1183</v>
      </c>
      <c r="L1035" s="44">
        <f ca="1">L1021-L1033</f>
        <v>3579.9274762146738</v>
      </c>
    </row>
    <row r="1036" spans="8:12">
      <c r="H1036" s="10" t="s">
        <v>729</v>
      </c>
      <c r="I1036" s="36">
        <f ca="1">IF(F370&lt;F380,I1029*F385,0)</f>
        <v>0</v>
      </c>
      <c r="K1036" s="10" t="s">
        <v>720</v>
      </c>
      <c r="L1036" s="44">
        <f ca="1">L1032/(F368*1000)</f>
        <v>7.6104210133967269</v>
      </c>
    </row>
    <row r="1037" spans="8:12">
      <c r="H1037" s="10" t="s">
        <v>730</v>
      </c>
      <c r="I1037" s="36">
        <f ca="1">I1036/(F382*F380*1000)</f>
        <v>0</v>
      </c>
      <c r="K1037" s="10" t="s">
        <v>721</v>
      </c>
      <c r="L1037" s="44">
        <f ca="1">L1034/(F370*1000)</f>
        <v>11.19098327391027</v>
      </c>
    </row>
    <row r="1038" spans="8:12">
      <c r="H1038" s="10" t="s">
        <v>731</v>
      </c>
      <c r="I1038" s="44">
        <f ca="1">IF(I1036&gt;0, I1031-I1037,0)</f>
        <v>0</v>
      </c>
      <c r="K1038" s="10" t="s">
        <v>722</v>
      </c>
      <c r="L1038" s="44">
        <f ca="1">L1036*(F366*1000)</f>
        <v>7.6104210133967269</v>
      </c>
    </row>
    <row r="1039" spans="8:12">
      <c r="H1039" s="10" t="s">
        <v>732</v>
      </c>
      <c r="I1039" s="44">
        <f ca="1">I1038*F387</f>
        <v>0</v>
      </c>
      <c r="K1039" s="11" t="s">
        <v>200</v>
      </c>
      <c r="L1039" s="142">
        <f ca="1">L1036*(F368*1000)</f>
        <v>38.052105066983636</v>
      </c>
    </row>
    <row r="1040" spans="8:12">
      <c r="H1040" s="11" t="s">
        <v>733</v>
      </c>
      <c r="I1040" s="142">
        <f ca="1">IF(I1036&gt;0, I1029*(1-F385), 0)</f>
        <v>0</v>
      </c>
    </row>
    <row r="1041" spans="8:15">
      <c r="K1041" s="9" t="s">
        <v>723</v>
      </c>
      <c r="L1041" s="41"/>
    </row>
    <row r="1042" spans="8:15">
      <c r="H1042" s="9" t="s">
        <v>735</v>
      </c>
      <c r="I1042" s="43">
        <f ca="1">I977+I1033+I1040+(IFERROR('Parameter Inputs'!N1136*'Parameter Inputs'!N1134,0))</f>
        <v>1042.825504349154</v>
      </c>
      <c r="K1042" s="10" t="s">
        <v>1186</v>
      </c>
      <c r="L1042" s="94">
        <f ca="1">IF(F370&lt;F380,L1034*F385,0)</f>
        <v>0</v>
      </c>
    </row>
    <row r="1043" spans="8:15">
      <c r="H1043" s="10" t="s">
        <v>736</v>
      </c>
      <c r="I1043" s="44">
        <f ca="1">I983+I1032+I1039+(IFERROR('Parameter Inputs'!N1139,0))</f>
        <v>1697.3948287892945</v>
      </c>
      <c r="K1043" s="10" t="s">
        <v>1185</v>
      </c>
      <c r="L1043" s="94">
        <f ca="1">L1042*L1022</f>
        <v>0</v>
      </c>
    </row>
    <row r="1044" spans="8:15">
      <c r="H1044" s="11" t="s">
        <v>1091</v>
      </c>
      <c r="I1044" s="142">
        <f ca="1">I975+I1030+I1038+(IFERROR('Parameter Inputs'!N1134,0))</f>
        <v>1100.7808832546641</v>
      </c>
      <c r="K1044" s="10" t="s">
        <v>1196</v>
      </c>
      <c r="L1044" s="94" cm="1">
        <f t="array" aca="1" ref="L1044" ca="1">_xlfn.IFS(L1042&gt;0,L1042*F392, L1042=0,L1034*F392)</f>
        <v>176.45930458516901</v>
      </c>
    </row>
    <row r="1045" spans="8:15">
      <c r="K1045" s="10" t="s">
        <v>1197</v>
      </c>
      <c r="L1045" s="94" cm="1">
        <f t="array" aca="1" ref="L1045" ca="1">_xlfn.IFS(L1042&gt;0,L1042*F394, L1042=0,L1034*F394)</f>
        <v>122.98678804420869</v>
      </c>
      <c r="O1045" s="113"/>
    </row>
    <row r="1046" spans="8:15">
      <c r="K1046" s="10" t="s">
        <v>1198</v>
      </c>
      <c r="L1046" s="94" cm="1">
        <f t="array" aca="1" ref="L1046" ca="1">_xlfn.IFS(L1042&gt;0,L1042*F396, L1042=0,L1034*F396)</f>
        <v>16.041754962288092</v>
      </c>
      <c r="O1046" s="92"/>
    </row>
    <row r="1047" spans="8:15">
      <c r="K1047" s="10" t="s">
        <v>730</v>
      </c>
      <c r="L1047" s="94">
        <f ca="1">L1042/(F382*F380*1000)</f>
        <v>0</v>
      </c>
    </row>
    <row r="1048" spans="8:15">
      <c r="K1048" s="10" t="s">
        <v>731</v>
      </c>
      <c r="L1048" s="44">
        <f ca="1">IF(L1042&gt;0, L1037-L1047,0)</f>
        <v>0</v>
      </c>
    </row>
    <row r="1049" spans="8:15">
      <c r="K1049" s="10" t="s">
        <v>732</v>
      </c>
      <c r="L1049" s="44">
        <f ca="1">L1048*F387</f>
        <v>0</v>
      </c>
    </row>
    <row r="1050" spans="8:15">
      <c r="K1050" s="10" t="s">
        <v>733</v>
      </c>
      <c r="L1050" s="44">
        <f ca="1">IF(L1042&gt;0, L1034*(1-F385), 0)</f>
        <v>0</v>
      </c>
    </row>
    <row r="1051" spans="8:15">
      <c r="K1051" s="11" t="s">
        <v>1184</v>
      </c>
      <c r="L1051" s="95">
        <f ca="1">L1050*L1022</f>
        <v>0</v>
      </c>
    </row>
    <row r="1053" spans="8:15">
      <c r="K1053" s="9" t="s">
        <v>735</v>
      </c>
      <c r="L1053" s="43">
        <f ca="1">IFERROR(L977,0)+IFERROR(L1039,0)+IFERROR(L1050,0)+(IFERROR('Parameter Inputs'!N1136*'Parameter Inputs'!N1134,0))</f>
        <v>1075.9777470989452</v>
      </c>
    </row>
    <row r="1054" spans="8:15">
      <c r="K1054" s="10" t="s">
        <v>736</v>
      </c>
      <c r="L1054" s="44">
        <f ca="1">IFERROR(L982,0)+IFERROR(L1038,0)+IFERROR(L1049,0)+(IFERROR('Parameter Inputs'!N1139,0))</f>
        <v>1377.6008863349596</v>
      </c>
    </row>
    <row r="1055" spans="8:15">
      <c r="K1055" s="11" t="s">
        <v>737</v>
      </c>
      <c r="L1055" s="142">
        <f ca="1">IFERROR(L975,0)+IFERROR(L1036,0)+IFERROR(L1048,0)+(IFERROR('Parameter Inputs'!N1134,0))</f>
        <v>1104.2717081804246</v>
      </c>
    </row>
    <row r="1057" spans="4:19" s="4" customFormat="1">
      <c r="D1057" s="211" t="s">
        <v>110</v>
      </c>
    </row>
    <row r="1059" spans="4:19" ht="15" thickBot="1"/>
    <row r="1060" spans="4:19">
      <c r="G1060" s="329" t="s">
        <v>1</v>
      </c>
      <c r="H1060" s="330"/>
      <c r="I1060" s="330"/>
      <c r="J1060" s="330"/>
      <c r="K1060" s="331"/>
    </row>
    <row r="1061" spans="4:19">
      <c r="G1061" s="332" t="s">
        <v>0</v>
      </c>
      <c r="H1061" s="317"/>
      <c r="I1061" s="318"/>
      <c r="J1061" s="316" t="s">
        <v>4</v>
      </c>
      <c r="K1061" s="333"/>
    </row>
    <row r="1062" spans="4:19">
      <c r="G1062" s="8" t="s">
        <v>5</v>
      </c>
      <c r="H1062" s="8" t="str" cm="1">
        <f t="array" ref="H1062">_xlfn.IFS('Parameter Inputs'!E7="Yes",'Parameter Inputs'!F7)</f>
        <v>Combined</v>
      </c>
      <c r="I1062" s="319"/>
      <c r="J1062" s="8" t="s">
        <v>2</v>
      </c>
      <c r="K1062" s="50">
        <f ca="1">H1065</f>
        <v>1247.6965896061467</v>
      </c>
      <c r="M1062" s="105"/>
    </row>
    <row r="1063" spans="4:19">
      <c r="G1063" s="8" t="s">
        <v>304</v>
      </c>
      <c r="H1063" s="50">
        <f ca="1">'Parameter Inputs'!L898</f>
        <v>72147.394848568947</v>
      </c>
      <c r="I1063" s="319"/>
      <c r="J1063" s="8" t="s">
        <v>6</v>
      </c>
      <c r="K1063" s="159" cm="1">
        <f t="array" aca="1" ref="K1063" ca="1">_xlfn.IFS(H1062="Primary",K1065*'Parameter Inputs'!F413,H1062="WAS",K1065*'Parameter Inputs'!F415,H1062="Combined",K1065*'Parameter Inputs'!F417)</f>
        <v>12985.356699047525</v>
      </c>
    </row>
    <row r="1064" spans="4:19">
      <c r="E1064" s="105"/>
      <c r="G1064" s="8" t="s">
        <v>760</v>
      </c>
      <c r="H1064" s="8">
        <f ca="1">'Parameter Inputs'!L900</f>
        <v>1247696.5896061466</v>
      </c>
      <c r="I1064" s="319"/>
      <c r="J1064" s="8" t="s">
        <v>3</v>
      </c>
      <c r="K1064" s="50">
        <f ca="1">IFERROR(K1063/K1062,0)</f>
        <v>10.407463486893507</v>
      </c>
    </row>
    <row r="1065" spans="4:19">
      <c r="G1065" s="8" t="s">
        <v>706</v>
      </c>
      <c r="H1065" s="50">
        <f ca="1">'Parameter Inputs'!L901</f>
        <v>1247.6965896061465</v>
      </c>
      <c r="I1065" s="319"/>
      <c r="J1065" s="8" t="s">
        <v>336</v>
      </c>
      <c r="K1065" s="159" cm="1">
        <f t="array" aca="1" ref="K1065" ca="1">_xlfn.IFS(H1062="Primary",(H1067*'Parameter Inputs'!F405),H1062="WAS",(H1067*'Parameter Inputs'!F407),H1062="Combined",(H1067*'Parameter Inputs'!F409))</f>
        <v>16864.099609152632</v>
      </c>
      <c r="S1065" s="160"/>
    </row>
    <row r="1066" spans="4:19">
      <c r="E1066" s="5" t="s">
        <v>542</v>
      </c>
      <c r="G1066" s="8" t="s">
        <v>60</v>
      </c>
      <c r="H1066" s="50">
        <v>365</v>
      </c>
      <c r="I1066" s="319"/>
      <c r="J1066" s="8" t="s">
        <v>337</v>
      </c>
      <c r="K1066" s="50">
        <f ca="1">IFERROR(K1065/K1062,0)</f>
        <v>13.516186346614946</v>
      </c>
    </row>
    <row r="1067" spans="4:19">
      <c r="G1067" s="8" t="s">
        <v>305</v>
      </c>
      <c r="H1067" s="50">
        <f ca="1">H1069*1.6</f>
        <v>78804.203781087053</v>
      </c>
      <c r="I1067" s="319"/>
      <c r="J1067" s="8" t="s">
        <v>307</v>
      </c>
      <c r="K1067" s="50">
        <f ca="1">H1068*'Parameter Inputs'!F421</f>
        <v>7214.7394848568965</v>
      </c>
    </row>
    <row r="1068" spans="4:19">
      <c r="G1068" s="8" t="s">
        <v>307</v>
      </c>
      <c r="H1068" s="50">
        <f ca="1">'Parameter Inputs'!L898</f>
        <v>72147.394848568947</v>
      </c>
      <c r="I1068" s="319"/>
      <c r="J1068" s="8" t="s">
        <v>303</v>
      </c>
      <c r="K1068" s="50">
        <f ca="1">IFERROR(K1067/K1062,0)</f>
        <v>5.7824470668260242</v>
      </c>
      <c r="M1068" s="97"/>
    </row>
    <row r="1069" spans="4:19">
      <c r="G1069" s="8" t="s">
        <v>287</v>
      </c>
      <c r="H1069" s="50">
        <f ca="1">'Parameter Inputs'!L899</f>
        <v>49252.62736317941</v>
      </c>
      <c r="I1069" s="319"/>
      <c r="J1069" s="8" t="s">
        <v>310</v>
      </c>
      <c r="K1069" s="50">
        <f ca="1">H1069*'Parameter Inputs'!F419</f>
        <v>5417.7890099497354</v>
      </c>
    </row>
    <row r="1070" spans="4:19">
      <c r="G1070" s="8" t="s">
        <v>1490</v>
      </c>
      <c r="H1070" s="50">
        <f ca="1">H1064-H1063</f>
        <v>1175549.1947575775</v>
      </c>
      <c r="I1070" s="319"/>
      <c r="J1070" s="8" t="s">
        <v>838</v>
      </c>
      <c r="K1070" s="50">
        <f ca="1">IFERROR(K1069/K1062,0)</f>
        <v>4.3422327632232589</v>
      </c>
    </row>
    <row r="1071" spans="4:19">
      <c r="G1071" s="8" t="s">
        <v>1491</v>
      </c>
      <c r="H1071" s="50">
        <f ca="1">H1070/1000</f>
        <v>1175.5491947575774</v>
      </c>
      <c r="I1071" s="319"/>
      <c r="J1071" s="8" t="s">
        <v>412</v>
      </c>
      <c r="K1071" s="50" cm="1">
        <f t="array" aca="1" ref="K1071" ca="1">_xlfn.IFS(H1062="Primary",H1069*'Parameter Inputs'!F423,H1062="WAS",H1069*'Parameter Inputs'!F425,H1062="Combined",H1069*'Parameter Inputs'!F427)</f>
        <v>498.43658891537564</v>
      </c>
      <c r="S1071" s="105"/>
    </row>
    <row r="1072" spans="4:19">
      <c r="G1072" s="8"/>
      <c r="H1072" s="8"/>
      <c r="I1072" s="319"/>
      <c r="J1072" s="8" t="s">
        <v>413</v>
      </c>
      <c r="K1072" s="50" cm="1">
        <f t="array" aca="1" ref="K1072" ca="1">_xlfn.IFS(H1062="Primary",H1069*'Parameter Inputs'!F429,H1062="WAS",H1069*'Parameter Inputs'!F431,H1062="Combined",H1069*'Parameter Inputs'!F433)</f>
        <v>53.685363825865558</v>
      </c>
      <c r="S1072" s="105"/>
    </row>
    <row r="1073" spans="5:19">
      <c r="G1073" s="8"/>
      <c r="H1073" s="8"/>
      <c r="I1073" s="319"/>
      <c r="J1073" s="8" t="s">
        <v>844</v>
      </c>
      <c r="K1073" s="49">
        <f ca="1">(H1069-K1069)*'Parameter Inputs'!F441*'Parameter Inputs'!F443</f>
        <v>12.506079382176425</v>
      </c>
      <c r="O1073" s="105"/>
      <c r="S1073" s="105"/>
    </row>
    <row r="1074" spans="5:19">
      <c r="G1074" s="8"/>
      <c r="H1074" s="8"/>
      <c r="I1074" s="319"/>
      <c r="J1074" s="8" t="s">
        <v>845</v>
      </c>
      <c r="K1074" s="50">
        <f ca="1">((H1069-K1069)*'Parameter Inputs'!F441)/'Parameter Inputs'!F447</f>
        <v>295.65199485050653</v>
      </c>
      <c r="S1074" s="105"/>
    </row>
    <row r="1075" spans="5:19">
      <c r="E1075" s="105"/>
      <c r="G1075" s="8"/>
      <c r="H1075" s="8"/>
      <c r="I1075" s="319"/>
      <c r="J1075" s="8" t="s">
        <v>847</v>
      </c>
      <c r="K1075" s="50">
        <f ca="1">K1074*'Parameter Inputs'!F449</f>
        <v>156.69555727076846</v>
      </c>
      <c r="S1075" s="105"/>
    </row>
    <row r="1076" spans="5:19">
      <c r="G1076" s="8"/>
      <c r="H1076" s="8"/>
      <c r="I1076" s="319"/>
      <c r="J1076" s="8" t="s">
        <v>846</v>
      </c>
      <c r="K1076" s="50">
        <f ca="1">K1075*'Parameter Inputs'!F445</f>
        <v>293.02069209633703</v>
      </c>
      <c r="S1076" s="105"/>
    </row>
    <row r="1077" spans="5:19" ht="15" thickBot="1"/>
    <row r="1078" spans="5:19">
      <c r="G1078" s="329" t="s">
        <v>10</v>
      </c>
      <c r="H1078" s="330"/>
      <c r="I1078" s="330"/>
      <c r="J1078" s="330"/>
      <c r="K1078" s="330"/>
      <c r="M1078" s="334" t="s">
        <v>359</v>
      </c>
      <c r="N1078" s="334"/>
      <c r="O1078" s="334"/>
      <c r="P1078" s="334"/>
      <c r="Q1078" s="334"/>
    </row>
    <row r="1079" spans="5:19">
      <c r="G1079" s="316" t="s">
        <v>0</v>
      </c>
      <c r="H1079" s="317"/>
      <c r="I1079" s="318"/>
      <c r="J1079" s="316" t="s">
        <v>4</v>
      </c>
      <c r="K1079" s="317"/>
      <c r="M1079" s="8" t="s">
        <v>28</v>
      </c>
      <c r="N1079" s="8"/>
      <c r="O1079" s="8"/>
      <c r="P1079" s="8" t="s">
        <v>29</v>
      </c>
      <c r="Q1079" s="8"/>
    </row>
    <row r="1080" spans="5:19">
      <c r="G1080" s="8" t="s">
        <v>353</v>
      </c>
      <c r="H1080" s="50">
        <f ca="1">H1081/1000</f>
        <v>1247.3910628346682</v>
      </c>
      <c r="I1080" s="319"/>
      <c r="J1080" s="8" t="s">
        <v>15</v>
      </c>
      <c r="K1080" s="50">
        <f ca="1">H1081-K1092</f>
        <v>1225025.3704316118</v>
      </c>
      <c r="M1080" s="8" t="s">
        <v>358</v>
      </c>
      <c r="N1080" s="50">
        <f ca="1">K1092+T1162</f>
        <v>25283.801978745334</v>
      </c>
      <c r="O1080" s="8"/>
      <c r="P1080" s="8" t="s">
        <v>1001</v>
      </c>
      <c r="Q1080" s="50">
        <f ca="1">N1080-Q1084</f>
        <v>18801.404287306996</v>
      </c>
    </row>
    <row r="1081" spans="5:19">
      <c r="G1081" s="8" t="s">
        <v>354</v>
      </c>
      <c r="H1081" s="50">
        <f ca="1">H1064-(K1076+K1073)</f>
        <v>1247391.062834668</v>
      </c>
      <c r="I1081" s="319"/>
      <c r="J1081" s="8" t="s">
        <v>14</v>
      </c>
      <c r="K1081" s="50">
        <f ca="1">K1080/'Parameter Inputs'!F309</f>
        <v>1225.0253704316117</v>
      </c>
      <c r="M1081" s="8" t="s">
        <v>1136</v>
      </c>
      <c r="N1081" s="50">
        <f ca="1">N1080/('Parameter Inputs'!F472*1000)</f>
        <v>84.279339929151107</v>
      </c>
      <c r="O1081" s="8"/>
      <c r="P1081" s="8" t="s">
        <v>190</v>
      </c>
      <c r="Q1081" s="50">
        <f ca="1">N1082-N1083+Q1082</f>
        <v>8475.6491460185425</v>
      </c>
    </row>
    <row r="1082" spans="5:19">
      <c r="G1082" s="8" t="s">
        <v>8</v>
      </c>
      <c r="H1082" s="50">
        <f ca="1">K1067</f>
        <v>7214.7394848568965</v>
      </c>
      <c r="I1082" s="319"/>
      <c r="J1082" s="8" t="s">
        <v>18</v>
      </c>
      <c r="K1082" s="50">
        <f ca="1">K1064</f>
        <v>10.407463486893507</v>
      </c>
      <c r="M1082" s="8" t="s">
        <v>307</v>
      </c>
      <c r="N1082" s="50">
        <f ca="1">K1090+T1163</f>
        <v>12081.052097350002</v>
      </c>
      <c r="O1082" s="8"/>
      <c r="P1082" s="8" t="s">
        <v>766</v>
      </c>
      <c r="Q1082" s="8">
        <f ca="1">N1083*'Parameter Inputs'!F362</f>
        <v>6695.7483381869952</v>
      </c>
    </row>
    <row r="1083" spans="5:19">
      <c r="G1083" s="8" t="s">
        <v>310</v>
      </c>
      <c r="H1083" s="50">
        <f ca="1">K1069</f>
        <v>5417.7890099497354</v>
      </c>
      <c r="I1083" s="319"/>
      <c r="J1083" s="8" t="s">
        <v>352</v>
      </c>
      <c r="K1083" s="50">
        <f ca="1">K1066</f>
        <v>13.516186346614946</v>
      </c>
      <c r="M1083" s="8" t="s">
        <v>310</v>
      </c>
      <c r="N1083" s="50">
        <f ca="1">K1091+T1164</f>
        <v>10301.151289518451</v>
      </c>
      <c r="O1083" s="8"/>
      <c r="P1083" s="8" t="s">
        <v>999</v>
      </c>
      <c r="Q1083" s="8">
        <f ca="1">N1083*'Parameter Inputs'!F362*'Parameter Inputs'!F364</f>
        <v>6260.5246962048395</v>
      </c>
    </row>
    <row r="1084" spans="5:19">
      <c r="G1084" s="8" t="s">
        <v>419</v>
      </c>
      <c r="H1084" s="50">
        <f ca="1">K1071</f>
        <v>498.43658891537564</v>
      </c>
      <c r="I1084" s="319"/>
      <c r="J1084" s="8" t="s">
        <v>308</v>
      </c>
      <c r="K1084" s="50">
        <f ca="1">H1082-K1090</f>
        <v>505.03176393998365</v>
      </c>
      <c r="M1084" s="8"/>
      <c r="N1084" s="8"/>
      <c r="O1084" s="8"/>
      <c r="P1084" s="8" t="s">
        <v>1000</v>
      </c>
      <c r="Q1084" s="8">
        <f ca="1">Q1083*'Parameter Inputs'!F376</f>
        <v>6482.3976914383384</v>
      </c>
    </row>
    <row r="1085" spans="5:19">
      <c r="G1085" s="8" t="s">
        <v>420</v>
      </c>
      <c r="H1085" s="47">
        <f ca="1">IFERROR(H1084/H1080,0)</f>
        <v>0.39958326122899235</v>
      </c>
      <c r="I1085" s="319"/>
      <c r="J1085" s="8" t="s">
        <v>309</v>
      </c>
      <c r="K1085" s="50">
        <f ca="1">IFERROR(K1084/K1081,0)</f>
        <v>0.41226228952470301</v>
      </c>
    </row>
    <row r="1086" spans="5:19">
      <c r="G1086" s="8" t="s">
        <v>421</v>
      </c>
      <c r="H1086" s="50">
        <f ca="1">K1072</f>
        <v>53.685363825865558</v>
      </c>
      <c r="I1086" s="319"/>
      <c r="J1086" s="8" t="s">
        <v>314</v>
      </c>
      <c r="K1086" s="50">
        <f ca="1">H1083-K1091</f>
        <v>379.24523069648239</v>
      </c>
    </row>
    <row r="1087" spans="5:19">
      <c r="G1087" s="8" t="s">
        <v>422</v>
      </c>
      <c r="H1087" s="47">
        <f ca="1">IFERROR(H1086/H1080,0)</f>
        <v>4.3038118057272888E-2</v>
      </c>
      <c r="I1087" s="319"/>
      <c r="J1087" s="8" t="s">
        <v>313</v>
      </c>
      <c r="K1087" s="50">
        <f ca="1">IFERROR(K1086/K1081,0)</f>
        <v>0.30958153181991926</v>
      </c>
    </row>
    <row r="1088" spans="5:19">
      <c r="G1088" s="8"/>
      <c r="H1088" s="8"/>
      <c r="I1088" s="319"/>
      <c r="J1088" s="8" t="s">
        <v>423</v>
      </c>
      <c r="K1088" s="50">
        <f ca="1">H1085</f>
        <v>0.39958326122899235</v>
      </c>
    </row>
    <row r="1089" spans="4:14">
      <c r="G1089" s="8"/>
      <c r="H1089" s="8"/>
      <c r="I1089" s="319"/>
      <c r="J1089" s="8" t="s">
        <v>424</v>
      </c>
      <c r="K1089" s="103">
        <f ca="1">H1087</f>
        <v>4.3038118057272888E-2</v>
      </c>
    </row>
    <row r="1090" spans="4:14">
      <c r="G1090" s="8"/>
      <c r="H1090" s="8"/>
      <c r="I1090" s="319"/>
      <c r="J1090" s="8" t="s">
        <v>311</v>
      </c>
      <c r="K1090" s="50">
        <f ca="1">H1082*'Parameter Inputs'!F468</f>
        <v>6709.7077209169138</v>
      </c>
    </row>
    <row r="1091" spans="4:14">
      <c r="G1091" s="8"/>
      <c r="H1091" s="8"/>
      <c r="I1091" s="319"/>
      <c r="J1091" s="8" t="s">
        <v>312</v>
      </c>
      <c r="K1091" s="50">
        <f ca="1">H1083*'Parameter Inputs'!F468</f>
        <v>5038.5437792532539</v>
      </c>
    </row>
    <row r="1092" spans="4:14">
      <c r="G1092" s="8"/>
      <c r="H1092" s="8"/>
      <c r="I1092" s="319"/>
      <c r="J1092" s="8" t="s">
        <v>357</v>
      </c>
      <c r="K1092" s="50">
        <f ca="1">(H1082*'Parameter Inputs'!F468)/'Parameter Inputs'!F472</f>
        <v>22365.692403056379</v>
      </c>
    </row>
    <row r="1093" spans="4:14">
      <c r="G1093" s="8"/>
      <c r="H1093" s="8"/>
      <c r="I1093" s="320"/>
      <c r="J1093" s="8" t="s">
        <v>425</v>
      </c>
      <c r="K1093" s="50"/>
    </row>
    <row r="1094" spans="4:14"/>
    <row r="1104" spans="4:14">
      <c r="D1104" s="341" t="s">
        <v>13</v>
      </c>
      <c r="E1104" s="341"/>
      <c r="F1104" s="341"/>
      <c r="G1104" s="341"/>
      <c r="H1104" s="341"/>
      <c r="J1104" s="342" t="s">
        <v>25</v>
      </c>
      <c r="K1104" s="343"/>
      <c r="L1104" s="343"/>
      <c r="M1104" s="343"/>
      <c r="N1104" s="344"/>
    </row>
    <row r="1105" spans="4:29">
      <c r="D1105" s="316" t="s">
        <v>0</v>
      </c>
      <c r="E1105" s="345"/>
      <c r="F1105" s="98"/>
      <c r="G1105" s="345" t="s">
        <v>4</v>
      </c>
      <c r="H1105" s="317"/>
      <c r="J1105" s="346" t="s">
        <v>28</v>
      </c>
      <c r="K1105" s="346"/>
      <c r="L1105" s="334"/>
      <c r="M1105" s="346" t="s">
        <v>29</v>
      </c>
      <c r="N1105" s="346"/>
    </row>
    <row r="1106" spans="4:29">
      <c r="D1106" s="8" t="s">
        <v>857</v>
      </c>
      <c r="E1106" s="50">
        <f ca="1">E1131</f>
        <v>409.52294533443421</v>
      </c>
      <c r="F1106" s="8"/>
      <c r="G1106" s="8" t="s">
        <v>867</v>
      </c>
      <c r="H1106" s="50">
        <f ca="1">E1110*'Parameter Inputs'!F482*'Parameter Inputs'!F478</f>
        <v>1734.1066659468402</v>
      </c>
      <c r="J1106" s="8" t="s">
        <v>27</v>
      </c>
      <c r="K1106" s="50">
        <f ca="1">K1081*'Parameter Inputs'!F532</f>
        <v>985.03562639621191</v>
      </c>
      <c r="L1106" s="334"/>
      <c r="M1106" s="8" t="s">
        <v>342</v>
      </c>
      <c r="N1106" s="50">
        <f ca="1">IFERROR(K1114+K1106+'Parameter Inputs'!F583+'Parameter Inputs'!G583+'Parameter Inputs'!H583,0)</f>
        <v>1015.5656733318957</v>
      </c>
    </row>
    <row r="1107" spans="4:29">
      <c r="D1107" s="8" t="s">
        <v>16</v>
      </c>
      <c r="E1107" s="50">
        <v>4</v>
      </c>
      <c r="F1107" s="8"/>
      <c r="G1107" s="8" t="s">
        <v>395</v>
      </c>
      <c r="H1107" s="50">
        <f ca="1">E1110*'Parameter Inputs'!F482*'Parameter Inputs'!F480</f>
        <v>1156.0711106312267</v>
      </c>
      <c r="J1107" s="8" t="s">
        <v>394</v>
      </c>
      <c r="K1107" s="50">
        <f ca="1">K1082</f>
        <v>10.407463486893507</v>
      </c>
      <c r="L1107" s="334"/>
      <c r="M1107" s="8" t="s">
        <v>236</v>
      </c>
      <c r="N1107" s="50">
        <f ca="1">N1108+(K1113-K1110)</f>
        <v>6210.3646391872908</v>
      </c>
      <c r="P1107" s="5" t="s">
        <v>542</v>
      </c>
    </row>
    <row r="1108" spans="4:29">
      <c r="D1108" s="8" t="s">
        <v>17</v>
      </c>
      <c r="E1108" s="50">
        <f ca="1">K1081*'Parameter Inputs'!F476</f>
        <v>239.98974403539975</v>
      </c>
      <c r="F1108" s="8"/>
      <c r="G1108" s="8" t="s">
        <v>868</v>
      </c>
      <c r="H1108" s="8">
        <f ca="1">H1107*(1-'Parameter Inputs'!F506)</f>
        <v>115.60711106312264</v>
      </c>
      <c r="J1108" s="8" t="s">
        <v>1022</v>
      </c>
      <c r="K1108" s="50">
        <f ca="1">K1106*K1109</f>
        <v>13313.92508442578</v>
      </c>
      <c r="L1108" s="334"/>
      <c r="M1108" s="8" t="s">
        <v>763</v>
      </c>
      <c r="N1108" s="50">
        <f ca="1">(K1110-K1111)+N1109+N1112</f>
        <v>6084.6427451326144</v>
      </c>
      <c r="O1108" s="105"/>
    </row>
    <row r="1109" spans="4:29">
      <c r="D1109" s="8" t="s">
        <v>337</v>
      </c>
      <c r="E1109" s="50">
        <f ca="1">K1083</f>
        <v>13.516186346614946</v>
      </c>
      <c r="F1109" s="8"/>
      <c r="G1109" s="8" t="s">
        <v>881</v>
      </c>
      <c r="H1109" s="8">
        <f ca="1">((H1108*'Parameter Inputs'!F703)/'Parameter Inputs'!E1658)+(('Parameter Inputs'!I474*'Parameter Inputs'!F705)/'Parameter Inputs'!E1659)</f>
        <v>42.148425908430134</v>
      </c>
      <c r="J1109" s="8" t="s">
        <v>337</v>
      </c>
      <c r="K1109" s="50">
        <f ca="1">K1083</f>
        <v>13.516186346614946</v>
      </c>
      <c r="L1109" s="334"/>
      <c r="M1109" s="8" t="s">
        <v>399</v>
      </c>
      <c r="N1109" s="50">
        <f ca="1">((((K1109*K1106)+K1116)*'Parameter Inputs'!F536*'Parameter Inputs'!F538)/'Parameter Inputs'!E1657)+K1111</f>
        <v>3327.2691889555772</v>
      </c>
    </row>
    <row r="1110" spans="4:29">
      <c r="D1110" s="8" t="s">
        <v>336</v>
      </c>
      <c r="E1110" s="50">
        <f ca="1">E1109*E1108</f>
        <v>3243.7461016588859</v>
      </c>
      <c r="F1110" s="8"/>
      <c r="G1110" s="8" t="s">
        <v>396</v>
      </c>
      <c r="H1110" s="50">
        <f ca="1">H1106-H1107</f>
        <v>578.03555531561346</v>
      </c>
      <c r="J1110" s="8" t="s">
        <v>762</v>
      </c>
      <c r="K1110" s="50">
        <f ca="1">H1115+(K1106*K1087)</f>
        <v>1597.0488920658113</v>
      </c>
      <c r="L1110" s="334"/>
      <c r="M1110" s="8" t="s">
        <v>400</v>
      </c>
      <c r="N1110" s="50">
        <f ca="1">((N1109*'Parameter Inputs'!F542)/(1-'Parameter Inputs'!F542))</f>
        <v>2722.3111546000177</v>
      </c>
      <c r="O1110" s="86"/>
    </row>
    <row r="1111" spans="4:29">
      <c r="D1111" s="8" t="s">
        <v>20</v>
      </c>
      <c r="E1111" s="50">
        <f ca="1">K1082</f>
        <v>10.407463486893507</v>
      </c>
      <c r="F1111" s="8"/>
      <c r="G1111" s="8" t="s">
        <v>397</v>
      </c>
      <c r="H1111" s="50">
        <f ca="1">H1110/'Parameter Inputs'!E1657</f>
        <v>407.06729247578414</v>
      </c>
      <c r="J1111" s="8" t="s">
        <v>370</v>
      </c>
      <c r="K1111" s="50">
        <f ca="1">K1110-K1112</f>
        <v>1555.2045122256679</v>
      </c>
      <c r="L1111" s="334"/>
      <c r="M1111" s="8" t="s">
        <v>339</v>
      </c>
      <c r="N1111" s="50">
        <f ca="1">((K1109*K1106)+(K1116*'Parameter Inputs'!E1665))*'Parameter Inputs'!F540*'Parameter Inputs'!F536</f>
        <v>4912.8383561531127</v>
      </c>
    </row>
    <row r="1112" spans="4:29">
      <c r="D1112" s="8" t="s">
        <v>315</v>
      </c>
      <c r="E1112" s="50">
        <f ca="1">IFERROR(K1087*E1108,0)</f>
        <v>74.296392579549391</v>
      </c>
      <c r="F1112" s="8"/>
      <c r="G1112" s="8" t="s">
        <v>390</v>
      </c>
      <c r="H1112" s="50">
        <f ca="1">H1107*'Parameter Inputs'!F506*'Parameter Inputs'!F510</f>
        <v>905.82723211887549</v>
      </c>
      <c r="J1112" s="8" t="s">
        <v>882</v>
      </c>
      <c r="K1112" s="47">
        <f ca="1">H1109-(H1124*H1117)</f>
        <v>41.84437984014329</v>
      </c>
      <c r="L1112" s="334"/>
      <c r="M1112" s="8" t="s">
        <v>1626</v>
      </c>
      <c r="N1112" s="50">
        <f ca="1">'Parameter Inputs'!E1662+K1112</f>
        <v>2715.5291763368941</v>
      </c>
    </row>
    <row r="1113" spans="4:29">
      <c r="D1113" s="8" t="s">
        <v>316</v>
      </c>
      <c r="E1113" s="50">
        <f ca="1">K1085*E1108</f>
        <v>98.938721338481344</v>
      </c>
      <c r="F1113" s="8"/>
      <c r="G1113" s="8" t="s">
        <v>398</v>
      </c>
      <c r="H1113" s="50">
        <f ca="1">(H1106-H1108)/1.42</f>
        <v>1139.7884189321956</v>
      </c>
      <c r="J1113" s="8" t="s">
        <v>236</v>
      </c>
      <c r="K1113" s="50">
        <f ca="1">H1116+(K1085*K1106)</f>
        <v>1722.7707861204888</v>
      </c>
      <c r="L1113" s="334"/>
      <c r="M1113" s="8" t="s">
        <v>366</v>
      </c>
      <c r="N1113" s="50">
        <f ca="1">IFERROR(N1112/N1106,0)</f>
        <v>2.6739079979217015</v>
      </c>
    </row>
    <row r="1114" spans="4:29">
      <c r="D1114" s="8" t="s">
        <v>861</v>
      </c>
      <c r="E1114" s="50">
        <v>3</v>
      </c>
      <c r="F1114" s="8"/>
      <c r="G1114" s="8" t="s">
        <v>761</v>
      </c>
      <c r="H1114" s="50">
        <f ca="1">H1106/1.42</f>
        <v>1221.2018774273522</v>
      </c>
      <c r="I1114" s="105"/>
      <c r="J1114" s="8" t="s">
        <v>439</v>
      </c>
      <c r="K1114" s="50">
        <f ca="1">H1114/('Parameter Inputs'!F514*'Parameter Inputs'!F309)</f>
        <v>30.530046935683806</v>
      </c>
      <c r="L1114" s="334"/>
      <c r="M1114" s="8"/>
      <c r="N1114" s="8"/>
    </row>
    <row r="1115" spans="4:29">
      <c r="D1115" s="8" t="s">
        <v>862</v>
      </c>
      <c r="E1115" s="50">
        <f ca="1">IFERROR(E1114*H1131,0)</f>
        <v>2.9440006720906036</v>
      </c>
      <c r="F1115" s="8"/>
      <c r="G1115" s="8" t="s">
        <v>869</v>
      </c>
      <c r="H1115" s="50">
        <f ca="1">IFERROR(H1132,0)</f>
        <v>1292.1000539488787</v>
      </c>
      <c r="I1115" s="105"/>
      <c r="J1115" s="8" t="s">
        <v>599</v>
      </c>
      <c r="K1115" s="50">
        <v>0.2</v>
      </c>
      <c r="L1115" s="334"/>
      <c r="M1115" s="8"/>
      <c r="N1115" s="8"/>
    </row>
    <row r="1116" spans="4:29">
      <c r="D1116" s="8" t="s">
        <v>371</v>
      </c>
      <c r="E1116" s="50">
        <f>'Parameter Inputs'!E1114-'Parameter Inputs'!F504</f>
        <v>2.98</v>
      </c>
      <c r="F1116" s="8"/>
      <c r="G1116" s="8" t="s">
        <v>871</v>
      </c>
      <c r="H1116" s="50">
        <f ca="1">H1130</f>
        <v>1316.6777435189865</v>
      </c>
      <c r="J1116" s="8" t="s">
        <v>598</v>
      </c>
      <c r="K1116" s="50">
        <f ca="1">IFERROR('Parameter Inputs'!F581,0)</f>
        <v>0</v>
      </c>
      <c r="L1116" s="334"/>
      <c r="M1116" s="8"/>
      <c r="N1116" s="8"/>
    </row>
    <row r="1117" spans="4:29">
      <c r="D1117" s="8" t="s">
        <v>19</v>
      </c>
      <c r="E1117" s="50">
        <f ca="1">E1136</f>
        <v>169.53320129903452</v>
      </c>
      <c r="F1117" s="8"/>
      <c r="G1117" s="8" t="s">
        <v>24</v>
      </c>
      <c r="H1117" s="50">
        <f ca="1">E1106/2</f>
        <v>204.76147266721711</v>
      </c>
      <c r="J1117" s="8" t="s">
        <v>634</v>
      </c>
      <c r="K1117" s="8">
        <f ca="1">IFERROR('Parameter Inputs'!G583,0)</f>
        <v>0</v>
      </c>
      <c r="L1117" s="334"/>
      <c r="M1117" s="8"/>
      <c r="N1117" s="8"/>
      <c r="O1117" s="105"/>
      <c r="W1117" s="128"/>
      <c r="X1117" s="128"/>
      <c r="Y1117" s="128"/>
      <c r="Z1117" s="128"/>
      <c r="AA1117" s="128"/>
      <c r="AB1117" s="128"/>
      <c r="AC1117" s="128"/>
    </row>
    <row r="1118" spans="4:29">
      <c r="D1118" s="8" t="s">
        <v>412</v>
      </c>
      <c r="E1118" s="50">
        <f ca="1">K1088*E1108</f>
        <v>95.895884583176141</v>
      </c>
      <c r="F1118" s="8"/>
      <c r="G1118" s="8" t="s">
        <v>858</v>
      </c>
      <c r="H1118" s="47">
        <f ca="1">IFERROR(((E1110+(E1110*'Parameter Inputs'!F484))*'Parameter Inputs'!F484)/E1106,0)</f>
        <v>8.0000000000000085E-2</v>
      </c>
      <c r="J1118" s="8" t="s">
        <v>635</v>
      </c>
      <c r="K1118" s="8">
        <f ca="1">'Parameter Inputs'!H583</f>
        <v>0</v>
      </c>
      <c r="L1118" s="8"/>
      <c r="M1118" s="8"/>
      <c r="N1118" s="8"/>
      <c r="O1118" s="105"/>
    </row>
    <row r="1119" spans="4:29">
      <c r="D1119" s="8" t="s">
        <v>413</v>
      </c>
      <c r="E1119" s="50">
        <f ca="1">K1089*E1108</f>
        <v>10.328706936330237</v>
      </c>
      <c r="F1119" s="286"/>
      <c r="G1119" s="8" t="s">
        <v>98</v>
      </c>
      <c r="H1119" s="50">
        <f ca="1">H1106/('Parameter Inputs'!F500*1000)</f>
        <v>57.803555531561337</v>
      </c>
      <c r="J1119" s="8" t="s">
        <v>649</v>
      </c>
      <c r="K1119" s="49">
        <f ca="1">(K1111*1.42)*2</f>
        <v>4416.7808147208971</v>
      </c>
      <c r="L1119" s="8"/>
      <c r="M1119" s="8"/>
      <c r="N1119" s="8"/>
    </row>
    <row r="1120" spans="4:29">
      <c r="D1120" s="8" t="s">
        <v>593</v>
      </c>
      <c r="E1120" s="8">
        <f>IFERROR('Parameter Inputs'!F563,0)</f>
        <v>0</v>
      </c>
      <c r="F1120" s="286"/>
      <c r="G1120" s="8" t="s">
        <v>853</v>
      </c>
      <c r="H1120" s="50">
        <f ca="1">H1106+E1113</f>
        <v>1833.0453872853216</v>
      </c>
      <c r="J1120" s="8" t="s">
        <v>639</v>
      </c>
      <c r="K1120" s="50">
        <f ca="1">IFERROR((K1116+K1108)/K1106,0)</f>
        <v>13.516186346614946</v>
      </c>
      <c r="L1120" s="8"/>
      <c r="M1120" s="8"/>
      <c r="N1120" s="8"/>
    </row>
    <row r="1121" spans="4:29">
      <c r="D1121" s="8" t="s">
        <v>636</v>
      </c>
      <c r="E1121" s="8">
        <f>IFERROR('Parameter Inputs'!F567,0)</f>
        <v>0</v>
      </c>
      <c r="F1121" s="286"/>
      <c r="G1121" s="8" t="s">
        <v>856</v>
      </c>
      <c r="H1121" s="159">
        <f ca="1">IFERROR((E1113/(E1108+E1117))*(1-'Parameter Inputs'!F496),0)</f>
        <v>1.6911654334869693E-2</v>
      </c>
      <c r="J1121" s="8" t="s">
        <v>640</v>
      </c>
      <c r="K1121" s="49">
        <f ca="1">IFERROR((K1111*1.42)/K1120,0)</f>
        <v>163.38857357597232</v>
      </c>
      <c r="L1121" s="8"/>
      <c r="M1121" s="297"/>
      <c r="N1121" s="8"/>
    </row>
    <row r="1122" spans="4:29">
      <c r="D1122" s="8" t="s">
        <v>594</v>
      </c>
      <c r="E1122" s="8">
        <f>IFERROR('Parameter Inputs'!G565,0)</f>
        <v>0</v>
      </c>
      <c r="F1122" s="286"/>
      <c r="G1122" s="8" t="s">
        <v>863</v>
      </c>
      <c r="H1122" s="159">
        <f ca="1">IFERROR(H1121*H1131,0)</f>
        <v>1.6595973909340117E-2</v>
      </c>
      <c r="J1122" s="8" t="s">
        <v>913</v>
      </c>
      <c r="K1122" s="8">
        <f ca="1">H1136*1.42*2</f>
        <v>2208.3904073604467</v>
      </c>
      <c r="L1122" s="8"/>
      <c r="M1122" s="8"/>
      <c r="N1122" s="8"/>
    </row>
    <row r="1123" spans="4:29">
      <c r="D1123" s="8" t="s">
        <v>637</v>
      </c>
      <c r="E1123" s="8">
        <f>IFERROR('Parameter Inputs'!G567,0)</f>
        <v>0</v>
      </c>
      <c r="F1123" s="286"/>
      <c r="G1123" s="8" t="s">
        <v>864</v>
      </c>
      <c r="H1123" s="159">
        <f ca="1">IFERROR((H1113/H1114)*H1122,0)</f>
        <v>1.5489575648717445E-2</v>
      </c>
      <c r="J1123" s="8" t="s">
        <v>914</v>
      </c>
      <c r="K1123" s="8">
        <f ca="1">IFERROR(K1122/K1109,0)</f>
        <v>163.38857357597217</v>
      </c>
      <c r="L1123" s="8"/>
      <c r="M1123" s="8"/>
      <c r="N1123" s="8"/>
    </row>
    <row r="1124" spans="4:29">
      <c r="D1124" s="8" t="s">
        <v>595</v>
      </c>
      <c r="E1124" s="8">
        <f>IFERROR('Parameter Inputs'!H563,0)</f>
        <v>0</v>
      </c>
      <c r="F1124" s="286"/>
      <c r="G1124" s="8" t="s">
        <v>865</v>
      </c>
      <c r="H1124" s="159">
        <f ca="1">IFERROR((H1107*(1-'Parameter Inputs'!F506)/H1115)*H1122,0)</f>
        <v>1.4848792808839846E-3</v>
      </c>
      <c r="J1124" s="8" t="s">
        <v>1019</v>
      </c>
      <c r="K1124" s="8">
        <f ca="1">IFERROR(K1108*'Parameter Inputs'!F536*'Parameter Inputs'!F550,0)</f>
        <v>9774.142168622755</v>
      </c>
      <c r="L1124" s="8"/>
      <c r="M1124" s="8"/>
      <c r="N1124" s="8"/>
    </row>
    <row r="1125" spans="4:29">
      <c r="D1125" s="8" t="s">
        <v>638</v>
      </c>
      <c r="E1125" s="8">
        <f>IFERROR('Parameter Inputs'!H567,0)</f>
        <v>0</v>
      </c>
      <c r="F1125" s="286"/>
      <c r="G1125" s="8" t="s">
        <v>866</v>
      </c>
      <c r="H1125" s="103">
        <f ca="1">H1122*1.42</f>
        <v>2.3566282951262965E-2</v>
      </c>
    </row>
    <row r="1126" spans="4:29">
      <c r="D1126" s="8"/>
      <c r="E1126" s="8"/>
      <c r="F1126" s="8"/>
      <c r="G1126" s="8" t="s">
        <v>859</v>
      </c>
      <c r="H1126" s="103">
        <f ca="1">(H1125)+H1118</f>
        <v>0.10356628295126305</v>
      </c>
    </row>
    <row r="1127" spans="4:29">
      <c r="D1127" s="8" t="s">
        <v>992</v>
      </c>
      <c r="E1127" s="50">
        <f ca="1">E1108/2</f>
        <v>119.99487201769988</v>
      </c>
      <c r="F1127" s="8"/>
      <c r="G1127" s="8" t="s">
        <v>860</v>
      </c>
      <c r="H1127" s="47">
        <f ca="1">H1126*1000</f>
        <v>103.56628295126305</v>
      </c>
      <c r="J1127" s="338" t="s">
        <v>31</v>
      </c>
      <c r="K1127" s="339"/>
      <c r="L1127" s="339"/>
      <c r="M1127" s="339"/>
      <c r="N1127" s="340"/>
      <c r="V1127" s="128"/>
    </row>
    <row r="1128" spans="4:29">
      <c r="D1128" s="8" t="s">
        <v>993</v>
      </c>
      <c r="E1128" s="49">
        <f ca="1">E1127*E1109</f>
        <v>1621.8730508294429</v>
      </c>
      <c r="F1128" s="8"/>
      <c r="G1128" s="8" t="s">
        <v>870</v>
      </c>
      <c r="H1128" s="47">
        <f ca="1">(E1114*E1106)+H1114</f>
        <v>2449.7707134306547</v>
      </c>
      <c r="I1128" s="105"/>
      <c r="J1128" s="316" t="s">
        <v>28</v>
      </c>
      <c r="K1128" s="345"/>
      <c r="L1128" s="98"/>
      <c r="M1128" s="345" t="s">
        <v>29</v>
      </c>
      <c r="N1128" s="317"/>
    </row>
    <row r="1129" spans="4:29">
      <c r="D1129" s="8" t="s">
        <v>778</v>
      </c>
      <c r="E1129" s="49">
        <f ca="1">(E1128*(1-'Parameter Inputs'!F482))</f>
        <v>16.218730508294446</v>
      </c>
      <c r="F1129" s="8"/>
      <c r="G1129" s="8" t="s">
        <v>872</v>
      </c>
      <c r="H1129" s="47">
        <f ca="1">(E1114*E1106)-E1113</f>
        <v>1129.6301146648213</v>
      </c>
      <c r="I1129" s="105"/>
      <c r="J1129" s="8" t="s">
        <v>32</v>
      </c>
      <c r="K1129" s="50">
        <f ca="1">N1106</f>
        <v>1015.5656733318957</v>
      </c>
      <c r="L1129" s="8"/>
      <c r="M1129" s="8" t="s">
        <v>764</v>
      </c>
      <c r="N1129" s="50">
        <f ca="1">(K1131*'Parameter Inputs'!F587)/'Parameter Inputs'!F591</f>
        <v>19252.130381480605</v>
      </c>
    </row>
    <row r="1130" spans="4:29">
      <c r="D1130" s="8" t="s">
        <v>771</v>
      </c>
      <c r="E1130" s="49">
        <f ca="1">E1128+E1129</f>
        <v>1638.0917813377373</v>
      </c>
      <c r="F1130" s="8"/>
      <c r="G1130" s="8" t="s">
        <v>873</v>
      </c>
      <c r="H1130" s="47">
        <f ca="1">H1128-H1129-(H1121*H1117)</f>
        <v>1316.6777435189865</v>
      </c>
      <c r="J1130" s="8" t="s">
        <v>35</v>
      </c>
      <c r="K1130" s="50">
        <f ca="1">K1129*'Parameter Inputs'!F309</f>
        <v>1015565.6733318957</v>
      </c>
      <c r="L1130" s="8"/>
      <c r="M1130" s="8" t="s">
        <v>236</v>
      </c>
      <c r="N1130" s="8">
        <f ca="1">K1131*'Parameter Inputs'!F587</f>
        <v>5775.6391144441814</v>
      </c>
    </row>
    <row r="1131" spans="4:29">
      <c r="D1131" s="8" t="s">
        <v>772</v>
      </c>
      <c r="E1131" s="8">
        <f ca="1">E1130/4</f>
        <v>409.52294533443433</v>
      </c>
      <c r="F1131" s="8"/>
      <c r="G1131" s="8" t="s">
        <v>874</v>
      </c>
      <c r="H1131" s="47">
        <f ca="1">IFERROR((H1114+E1112)/(H1114+E1113),0)</f>
        <v>0.98133355736353423</v>
      </c>
      <c r="J1131" s="8" t="s">
        <v>236</v>
      </c>
      <c r="K1131" s="50">
        <f ca="1">N1107</f>
        <v>6210.3646391872908</v>
      </c>
      <c r="L1131" s="8"/>
      <c r="M1131" s="8" t="s">
        <v>763</v>
      </c>
      <c r="N1131" s="8">
        <f ca="1">N1130*K1133</f>
        <v>5658.7177529733317</v>
      </c>
    </row>
    <row r="1132" spans="4:29">
      <c r="D1132" s="8" t="s">
        <v>773</v>
      </c>
      <c r="E1132" s="8">
        <f ca="1">E1131*0.5</f>
        <v>204.76147266721716</v>
      </c>
      <c r="F1132" s="8"/>
      <c r="G1132" s="8" t="s">
        <v>875</v>
      </c>
      <c r="H1132" s="47">
        <f ca="1">H1130*H1131</f>
        <v>1292.1000539488782</v>
      </c>
      <c r="J1132" s="8" t="s">
        <v>401</v>
      </c>
      <c r="K1132" s="50">
        <f ca="1">N1108</f>
        <v>6084.6427451326144</v>
      </c>
      <c r="L1132" s="8"/>
      <c r="M1132" s="8" t="s">
        <v>46</v>
      </c>
      <c r="N1132" s="50">
        <f ca="1">N1112*'Parameter Inputs'!F587</f>
        <v>2525.4421339933115</v>
      </c>
    </row>
    <row r="1133" spans="4:29" ht="15" thickBot="1">
      <c r="D1133" s="8" t="s">
        <v>774</v>
      </c>
      <c r="E1133" s="8">
        <f ca="1">E1131-E1132</f>
        <v>204.76147266721716</v>
      </c>
      <c r="F1133" s="8"/>
      <c r="G1133" s="8" t="s">
        <v>159</v>
      </c>
      <c r="H1133" s="47">
        <f ca="1">IFERROR(((E1114*E1106)+E1113)/((H1121*H1117)+H1130),0)</f>
        <v>1.0055804348285615</v>
      </c>
      <c r="I1133" s="105"/>
      <c r="J1133" s="8" t="s">
        <v>767</v>
      </c>
      <c r="K1133" s="8">
        <f ca="1">IFERROR(K1132/K1131,0)</f>
        <v>0.97975611717525035</v>
      </c>
      <c r="L1133" s="8"/>
      <c r="M1133" s="8" t="s">
        <v>37</v>
      </c>
      <c r="N1133" s="50">
        <f ca="1">K1130-N1129</f>
        <v>996313.54295041517</v>
      </c>
    </row>
    <row r="1134" spans="4:29" ht="15" thickBot="1">
      <c r="D1134" s="8" t="s">
        <v>775</v>
      </c>
      <c r="E1134" s="50">
        <f ca="1">IF(E1133-E1127&gt;0,E1133-E1127,0)</f>
        <v>84.766600649517287</v>
      </c>
      <c r="F1134" s="8"/>
      <c r="G1134" s="8" t="s">
        <v>878</v>
      </c>
      <c r="H1134" s="296">
        <f ca="1">IFERROR(((E1118+E1122)*'Parameter Inputs'!F520)/E1106,0)</f>
        <v>1.1708243173635044E-3</v>
      </c>
      <c r="J1134" s="8" t="s">
        <v>455</v>
      </c>
      <c r="K1134" s="50">
        <f ca="1">N1110</f>
        <v>2722.3111546000177</v>
      </c>
      <c r="L1134" s="8"/>
      <c r="M1134" s="8" t="s">
        <v>39</v>
      </c>
      <c r="N1134" s="50">
        <f ca="1">N1133/'Parameter Inputs'!F309</f>
        <v>996.31354295041513</v>
      </c>
      <c r="V1134" s="335"/>
      <c r="W1134" s="336"/>
      <c r="X1134" s="336"/>
      <c r="Y1134" s="336"/>
      <c r="Z1134" s="336"/>
      <c r="AA1134" s="336"/>
      <c r="AB1134" s="336"/>
      <c r="AC1134" s="337"/>
    </row>
    <row r="1135" spans="4:29">
      <c r="D1135" s="8" t="s">
        <v>776</v>
      </c>
      <c r="E1135" s="50">
        <f ca="1">E1134</f>
        <v>84.766600649517287</v>
      </c>
      <c r="F1135" s="8"/>
      <c r="G1135" s="8" t="s">
        <v>879</v>
      </c>
      <c r="H1135" s="296">
        <f ca="1">IFERROR(((E1119+E1124)*'Parameter Inputs'!F522)/E1106,0)</f>
        <v>4.0354102954188781E-5</v>
      </c>
      <c r="J1135" s="8" t="s">
        <v>768</v>
      </c>
      <c r="K1135" s="47">
        <f ca="1">IFERROR(K1134/K1132,0)</f>
        <v>0.44740690105063596</v>
      </c>
      <c r="L1135" s="8"/>
      <c r="M1135" s="8" t="s">
        <v>769</v>
      </c>
      <c r="N1135" s="103">
        <f ca="1">(K1109*K1106)*(1-'Parameter Inputs'!F536)</f>
        <v>1331.3925084425778</v>
      </c>
      <c r="V1135" s="128"/>
      <c r="W1135" s="128"/>
      <c r="X1135" s="128"/>
      <c r="Y1135" s="128"/>
      <c r="Z1135" s="128"/>
      <c r="AA1135" s="128"/>
      <c r="AB1135" s="128"/>
      <c r="AC1135" s="128"/>
    </row>
    <row r="1136" spans="4:29">
      <c r="D1136" s="8" t="s">
        <v>777</v>
      </c>
      <c r="E1136" s="8">
        <f ca="1">E1135*2</f>
        <v>169.53320129903457</v>
      </c>
      <c r="F1136" s="8"/>
      <c r="G1136" s="8" t="s">
        <v>912</v>
      </c>
      <c r="H1136" s="8">
        <f ca="1">K1111/2</f>
        <v>777.60225611283397</v>
      </c>
      <c r="J1136" s="8"/>
      <c r="K1136" s="50"/>
      <c r="L1136" s="8"/>
      <c r="M1136" s="8" t="s">
        <v>880</v>
      </c>
      <c r="N1136" s="50">
        <f ca="1">IFERROR((K1131-N1130)/N1134,0)</f>
        <v>0.4363340514831735</v>
      </c>
      <c r="V1136" s="128"/>
      <c r="W1136" s="128"/>
      <c r="X1136" s="128"/>
      <c r="Y1136" s="128"/>
      <c r="Z1136" s="128"/>
      <c r="AA1136" s="128"/>
      <c r="AB1136" s="128"/>
      <c r="AC1136" s="128"/>
    </row>
    <row r="1137" spans="4:29">
      <c r="D1137" s="8" t="s">
        <v>1016</v>
      </c>
      <c r="E1137" s="8">
        <f ca="1">E1110*'Parameter Inputs'!F482*'Parameter Inputs'!F526</f>
        <v>3211.3086406422963</v>
      </c>
      <c r="F1137" s="8"/>
      <c r="G1137" s="8"/>
      <c r="H1137" s="8"/>
      <c r="J1137" s="8"/>
      <c r="K1137" s="50"/>
      <c r="L1137" s="8"/>
      <c r="M1137" s="8" t="s">
        <v>902</v>
      </c>
      <c r="N1137" s="50">
        <f ca="1">IFERROR((K1132-N1131)/N1134,0)</f>
        <v>0.42750095607250049</v>
      </c>
      <c r="V1137" s="128"/>
      <c r="W1137" s="128"/>
      <c r="X1137" s="128"/>
      <c r="Y1137" s="128"/>
      <c r="Z1137" s="128"/>
      <c r="AA1137" s="128"/>
      <c r="AB1137" s="128"/>
      <c r="AC1137" s="128"/>
    </row>
    <row r="1138" spans="4:29">
      <c r="E1138" s="105"/>
      <c r="J1138" s="8"/>
      <c r="K1138" s="50"/>
      <c r="L1138" s="8"/>
      <c r="M1138" s="8" t="s">
        <v>1630</v>
      </c>
      <c r="N1138" s="50">
        <f ca="1">N1137*1.42</f>
        <v>0.6070513576229507</v>
      </c>
      <c r="V1138" s="128"/>
      <c r="W1138" s="128"/>
      <c r="X1138" s="128"/>
      <c r="Y1138" s="128"/>
      <c r="Z1138" s="128"/>
      <c r="AA1138" s="128"/>
      <c r="AB1138" s="128"/>
      <c r="AC1138" s="128"/>
    </row>
    <row r="1139" spans="4:29">
      <c r="J1139" s="8"/>
      <c r="K1139" s="50"/>
      <c r="L1139" s="8"/>
      <c r="M1139" s="8" t="s">
        <v>1631</v>
      </c>
      <c r="N1139" s="50">
        <f ca="1">N1135+N1138</f>
        <v>1331.9995598002008</v>
      </c>
      <c r="V1139" s="128"/>
      <c r="W1139" s="128"/>
      <c r="X1139" s="128"/>
      <c r="Y1139" s="128"/>
      <c r="Z1139" s="128"/>
      <c r="AA1139" s="128"/>
      <c r="AB1139" s="128"/>
      <c r="AC1139" s="128"/>
    </row>
    <row r="1140" spans="4:29">
      <c r="J1140" s="8"/>
      <c r="K1140" s="285"/>
      <c r="L1140" s="8"/>
      <c r="M1140" s="8" t="s">
        <v>1632</v>
      </c>
      <c r="N1140" s="103">
        <f ca="1">IFERROR(N1139/N1134,0)</f>
        <v>1.3369280877741638</v>
      </c>
      <c r="V1140" s="128"/>
      <c r="W1140" s="128"/>
      <c r="X1140" s="128"/>
      <c r="Y1140" s="128"/>
      <c r="Z1140" s="128"/>
      <c r="AA1140" s="128"/>
      <c r="AB1140" s="128"/>
      <c r="AC1140" s="128"/>
    </row>
    <row r="1141" spans="4:29">
      <c r="H1141" s="105"/>
      <c r="J1141" s="8"/>
      <c r="K1141" s="50"/>
      <c r="L1141" s="8"/>
      <c r="M1141" s="8" t="s">
        <v>1628</v>
      </c>
      <c r="N1141" s="159">
        <f ca="1">('Parameter Inputs'!F520*'Parameter Inputs'!G573)/N1134</f>
        <v>1.975300600936078E-3</v>
      </c>
      <c r="V1141" s="128"/>
      <c r="W1141" s="128"/>
      <c r="X1141" s="128"/>
      <c r="Y1141" s="128"/>
      <c r="Z1141" s="128"/>
      <c r="AA1141" s="128"/>
      <c r="AB1141" s="128"/>
      <c r="AC1141" s="128"/>
    </row>
    <row r="1142" spans="4:29">
      <c r="H1142" s="105"/>
      <c r="J1142" s="8"/>
      <c r="K1142" s="8"/>
      <c r="L1142" s="8"/>
      <c r="M1142" s="8" t="s">
        <v>1629</v>
      </c>
      <c r="N1142" s="8">
        <f ca="1">('Parameter Inputs'!H573*'Parameter Inputs'!F522)/N1134</f>
        <v>6.8081506878113037E-5</v>
      </c>
    </row>
    <row r="1144" spans="4:29">
      <c r="G1144" s="105"/>
    </row>
    <row r="1145" spans="4:29">
      <c r="J1145" s="338" t="s">
        <v>40</v>
      </c>
      <c r="K1145" s="339"/>
      <c r="L1145" s="339"/>
      <c r="M1145" s="339"/>
      <c r="N1145" s="340"/>
    </row>
    <row r="1146" spans="4:29">
      <c r="G1146" s="105"/>
      <c r="H1146" s="105"/>
      <c r="J1146" s="158" t="s">
        <v>28</v>
      </c>
      <c r="K1146" s="162"/>
      <c r="L1146" s="98"/>
      <c r="M1146" s="162" t="s">
        <v>29</v>
      </c>
      <c r="N1146" s="156"/>
    </row>
    <row r="1147" spans="4:29">
      <c r="G1147" s="105"/>
      <c r="J1147" s="8" t="s">
        <v>765</v>
      </c>
      <c r="K1147" s="50">
        <f ca="1">N1129</f>
        <v>19252.130381480605</v>
      </c>
      <c r="L1147" s="8"/>
      <c r="M1147" s="8" t="s">
        <v>368</v>
      </c>
      <c r="N1147" s="50">
        <f ca="1">K1148/(1-'Parameter Inputs'!F605)</f>
        <v>6417.3767938268666</v>
      </c>
    </row>
    <row r="1148" spans="4:29">
      <c r="J1148" s="8" t="s">
        <v>236</v>
      </c>
      <c r="K1148" s="50">
        <f ca="1">N1130</f>
        <v>5775.6391144441814</v>
      </c>
      <c r="L1148" s="8"/>
      <c r="M1148" s="8" t="s">
        <v>236</v>
      </c>
      <c r="N1148" s="50">
        <f ca="1">K1148</f>
        <v>5775.6391144441814</v>
      </c>
      <c r="P1148" s="105"/>
    </row>
    <row r="1149" spans="4:29">
      <c r="J1149" s="8" t="s">
        <v>763</v>
      </c>
      <c r="K1149" s="8">
        <f ca="1">N1131</f>
        <v>5658.7177529733317</v>
      </c>
      <c r="L1149" s="8"/>
      <c r="M1149" s="8" t="s">
        <v>763</v>
      </c>
      <c r="N1149" s="8">
        <f ca="1">K1149</f>
        <v>5658.7177529733317</v>
      </c>
      <c r="Q1149" s="86"/>
    </row>
    <row r="1150" spans="4:29">
      <c r="H1150" s="163"/>
      <c r="J1150" s="8" t="s">
        <v>45</v>
      </c>
      <c r="K1150" s="50">
        <f ca="1">N1132</f>
        <v>2525.4421339933115</v>
      </c>
      <c r="L1150" s="286"/>
      <c r="M1150" s="8" t="s">
        <v>45</v>
      </c>
      <c r="N1150" s="50">
        <f ca="1">K1150</f>
        <v>2525.4421339933115</v>
      </c>
      <c r="P1150" s="105"/>
    </row>
    <row r="1151" spans="4:29">
      <c r="J1151" s="8"/>
      <c r="K1151" s="8"/>
      <c r="L1151" s="8"/>
      <c r="M1151" s="8" t="s">
        <v>41</v>
      </c>
      <c r="N1151" s="50">
        <f ca="1">K1147-N1147</f>
        <v>12834.753587653739</v>
      </c>
    </row>
    <row r="1152" spans="4:29">
      <c r="P1152" s="105"/>
    </row>
    <row r="1153" spans="5:23">
      <c r="H1153" s="163"/>
      <c r="J1153" s="338" t="s">
        <v>707</v>
      </c>
      <c r="K1153" s="339"/>
      <c r="L1153" s="339"/>
      <c r="M1153" s="339"/>
      <c r="N1153" s="340"/>
    </row>
    <row r="1154" spans="5:23">
      <c r="J1154" s="158" t="s">
        <v>28</v>
      </c>
      <c r="K1154" s="162"/>
      <c r="L1154" s="98"/>
      <c r="M1154" s="162" t="s">
        <v>29</v>
      </c>
      <c r="N1154" s="156"/>
      <c r="O1154" s="105"/>
      <c r="P1154" s="105"/>
      <c r="S1154" s="105"/>
    </row>
    <row r="1155" spans="5:23">
      <c r="E1155" s="105"/>
      <c r="J1155" s="8" t="s">
        <v>1101</v>
      </c>
      <c r="K1155" s="50">
        <f ca="1">N1147/2</f>
        <v>3208.6883969134333</v>
      </c>
      <c r="L1155" s="8"/>
      <c r="M1155" s="8" t="s">
        <v>1092</v>
      </c>
      <c r="N1155" s="50">
        <f ca="1">(K1155)+K1157+K1158</f>
        <v>71874.620090860932</v>
      </c>
      <c r="S1155" s="105"/>
    </row>
    <row r="1156" spans="5:23">
      <c r="J1156" s="8" t="s">
        <v>1102</v>
      </c>
      <c r="K1156" s="50">
        <f ca="1">N1150/2</f>
        <v>1262.7210669966557</v>
      </c>
      <c r="L1156" s="8"/>
      <c r="M1156" s="8" t="s">
        <v>1096</v>
      </c>
      <c r="N1156" s="50">
        <f ca="1">N1148/2</f>
        <v>2887.8195572220907</v>
      </c>
    </row>
    <row r="1157" spans="5:23">
      <c r="J1157" s="8" t="s">
        <v>295</v>
      </c>
      <c r="K1157" s="50">
        <f ca="1">(K1155)*'Parameter Inputs'!F623</f>
        <v>68345.062854256132</v>
      </c>
      <c r="L1157" s="8"/>
      <c r="M1157" s="8" t="s">
        <v>1097</v>
      </c>
      <c r="N1157" s="50">
        <f ca="1">N1149/2</f>
        <v>2829.3588764866658</v>
      </c>
    </row>
    <row r="1158" spans="5:23">
      <c r="J1158" s="8" t="s">
        <v>1103</v>
      </c>
      <c r="K1158" s="50">
        <f ca="1">((K1155)*'Parameter Inputs'!F611)-'Parameter Inputs'!K1157</f>
        <v>320.86883969134942</v>
      </c>
      <c r="L1158" s="8"/>
      <c r="M1158" s="8" t="s">
        <v>1638</v>
      </c>
      <c r="N1158" s="50">
        <f ca="1">K1156</f>
        <v>1262.7210669966557</v>
      </c>
    </row>
    <row r="1159" spans="5:23">
      <c r="J1159" s="8" t="s">
        <v>1112</v>
      </c>
      <c r="K1159" s="50">
        <f ca="1">(K1155+K1157+K1158)/1070</f>
        <v>67.17254214099151</v>
      </c>
      <c r="L1159" s="286"/>
      <c r="M1159" s="8"/>
      <c r="N1159" s="50"/>
      <c r="P1159" s="347" t="s">
        <v>710</v>
      </c>
      <c r="Q1159" s="347"/>
      <c r="R1159" s="347"/>
      <c r="S1159" s="347"/>
      <c r="T1159" s="347"/>
      <c r="U1159" s="128"/>
      <c r="V1159" s="128"/>
      <c r="W1159" s="128"/>
    </row>
    <row r="1160" spans="5:23">
      <c r="J1160" s="8" t="s">
        <v>1113</v>
      </c>
      <c r="K1160" s="8">
        <f ca="1">K1158*2</f>
        <v>641.73767938269884</v>
      </c>
      <c r="L1160" s="8"/>
      <c r="M1160" s="8"/>
      <c r="N1160" s="8"/>
      <c r="P1160" s="316" t="s">
        <v>28</v>
      </c>
      <c r="Q1160" s="317"/>
      <c r="R1160" s="318"/>
      <c r="S1160" s="316" t="s">
        <v>29</v>
      </c>
      <c r="T1160" s="317"/>
    </row>
    <row r="1161" spans="5:23">
      <c r="P1161" s="8" t="s">
        <v>1092</v>
      </c>
      <c r="Q1161" s="50">
        <f ca="1">N1166</f>
        <v>5031.2234063602582</v>
      </c>
      <c r="R1161" s="319"/>
      <c r="S1161" s="8" t="s">
        <v>1104</v>
      </c>
      <c r="T1161" s="50">
        <f ca="1">Q1161*'Parameter Inputs'!F659</f>
        <v>2113.1138306713083</v>
      </c>
      <c r="V1161" s="105"/>
    </row>
    <row r="1162" spans="5:23">
      <c r="J1162" s="338" t="s">
        <v>296</v>
      </c>
      <c r="K1162" s="339"/>
      <c r="L1162" s="339"/>
      <c r="M1162" s="339"/>
      <c r="N1162" s="340"/>
      <c r="O1162" s="105"/>
      <c r="P1162" s="8" t="s">
        <v>1242</v>
      </c>
      <c r="Q1162" s="8">
        <f ca="1">Q1161/1070</f>
        <v>4.7020779498694001</v>
      </c>
      <c r="R1162" s="320"/>
      <c r="S1162" s="8" t="s">
        <v>1105</v>
      </c>
      <c r="T1162" s="50">
        <f ca="1">'Parameter Inputs'!F661*'Parameter Inputs'!Q1161</f>
        <v>2918.1095756889495</v>
      </c>
    </row>
    <row r="1163" spans="5:23">
      <c r="J1163" s="158" t="s">
        <v>28</v>
      </c>
      <c r="K1163" s="162"/>
      <c r="L1163" s="98"/>
      <c r="M1163" s="162" t="s">
        <v>29</v>
      </c>
      <c r="N1163" s="156"/>
      <c r="P1163" s="8" t="s">
        <v>1096</v>
      </c>
      <c r="Q1163" s="49">
        <f ca="1">N1167</f>
        <v>2685.6721882165439</v>
      </c>
      <c r="R1163" s="8"/>
      <c r="S1163" s="8" t="s">
        <v>236</v>
      </c>
      <c r="T1163" s="49">
        <f ca="1">Q1163*2</f>
        <v>5371.3443764330877</v>
      </c>
    </row>
    <row r="1164" spans="5:23">
      <c r="J1164" s="8" t="s">
        <v>1093</v>
      </c>
      <c r="K1164" s="50">
        <f ca="1">N1155</f>
        <v>71874.620090860932</v>
      </c>
      <c r="L1164" s="8"/>
      <c r="M1164" s="8" t="s">
        <v>1094</v>
      </c>
      <c r="N1164" s="50">
        <f ca="1">K1164-N1166</f>
        <v>66843.39668450068</v>
      </c>
      <c r="P1164" s="8" t="s">
        <v>1097</v>
      </c>
      <c r="Q1164" s="49">
        <f ca="1">N1168</f>
        <v>2631.3037551325988</v>
      </c>
      <c r="R1164" s="8"/>
      <c r="S1164" s="8" t="s">
        <v>763</v>
      </c>
      <c r="T1164" s="49">
        <f ca="1">Q1164*2</f>
        <v>5262.6075102651976</v>
      </c>
    </row>
    <row r="1165" spans="5:23">
      <c r="J1165" s="8" t="s">
        <v>1114</v>
      </c>
      <c r="K1165" s="8">
        <f ca="1">K1164/1070</f>
        <v>67.172542140991524</v>
      </c>
      <c r="L1165" s="8"/>
      <c r="M1165" s="8" t="s">
        <v>1098</v>
      </c>
      <c r="N1165" s="50">
        <f ca="1">K1168*'Parameter Inputs'!F615</f>
        <v>947.04080024749169</v>
      </c>
    </row>
    <row r="1166" spans="5:23">
      <c r="J1166" s="8" t="s">
        <v>1099</v>
      </c>
      <c r="K1166" s="50">
        <f ca="1">N1156</f>
        <v>2887.8195572220907</v>
      </c>
      <c r="L1166" s="8"/>
      <c r="M1166" s="8" t="s">
        <v>1095</v>
      </c>
      <c r="N1166" s="50">
        <f ca="1">K1164*'Parameter Inputs'!F653</f>
        <v>5031.2234063602618</v>
      </c>
    </row>
    <row r="1167" spans="5:23">
      <c r="J1167" s="8" t="s">
        <v>1097</v>
      </c>
      <c r="K1167" s="8">
        <f ca="1">N1157</f>
        <v>2829.3588764866658</v>
      </c>
      <c r="L1167" s="8"/>
      <c r="M1167" s="50" t="s">
        <v>1096</v>
      </c>
      <c r="N1167" s="49">
        <f ca="1">K1166*'Parameter Inputs'!F651</f>
        <v>2685.6721882165443</v>
      </c>
    </row>
    <row r="1168" spans="5:23">
      <c r="J1168" s="8" t="s">
        <v>1100</v>
      </c>
      <c r="K1168" s="50">
        <f ca="1">N1158</f>
        <v>1262.7210669966557</v>
      </c>
      <c r="L1168" s="8"/>
      <c r="M1168" s="8" t="s">
        <v>1097</v>
      </c>
      <c r="N1168" s="49">
        <f ca="1">K1167*'Parameter Inputs'!F651</f>
        <v>2631.3037551325992</v>
      </c>
      <c r="P1168" s="347" t="s">
        <v>497</v>
      </c>
      <c r="Q1168" s="347"/>
      <c r="R1168" s="347"/>
      <c r="S1168" s="347"/>
      <c r="T1168" s="347"/>
    </row>
    <row r="1169" spans="4:24">
      <c r="M1169" s="105"/>
      <c r="N1169" s="105"/>
      <c r="P1169" s="121" t="s">
        <v>28</v>
      </c>
      <c r="Q1169" s="121"/>
      <c r="R1169" s="157"/>
      <c r="S1169" s="121" t="s">
        <v>29</v>
      </c>
      <c r="T1169" s="121"/>
    </row>
    <row r="1170" spans="4:24">
      <c r="J1170" s="164" t="s">
        <v>709</v>
      </c>
      <c r="K1170" s="165"/>
      <c r="L1170" s="165"/>
      <c r="M1170" s="165"/>
      <c r="N1170" s="166"/>
      <c r="P1170" s="8" t="s">
        <v>1243</v>
      </c>
      <c r="Q1170" s="50">
        <f ca="1">T1161</f>
        <v>2113.1138306713083</v>
      </c>
      <c r="R1170" s="161"/>
      <c r="S1170" s="8" t="s">
        <v>1106</v>
      </c>
      <c r="T1170" s="50">
        <f ca="1">Q1170</f>
        <v>2113.1138306713083</v>
      </c>
      <c r="X1170" s="86"/>
    </row>
    <row r="1171" spans="4:24">
      <c r="J1171" s="42" t="s">
        <v>28</v>
      </c>
      <c r="K1171" s="8"/>
      <c r="L1171" s="8"/>
      <c r="M1171" s="42" t="s">
        <v>29</v>
      </c>
      <c r="N1171" s="8"/>
      <c r="X1171" s="86"/>
    </row>
    <row r="1172" spans="4:24">
      <c r="J1172" s="8" t="s">
        <v>1107</v>
      </c>
      <c r="K1172" s="50">
        <f ca="1">N1164</f>
        <v>66843.39668450068</v>
      </c>
      <c r="L1172" s="8"/>
      <c r="M1172" s="8" t="s">
        <v>1104</v>
      </c>
      <c r="N1172" s="50">
        <f ca="1">K1172*'Parameter Inputs'!F671</f>
        <v>66174.962717655668</v>
      </c>
      <c r="U1172" s="91"/>
      <c r="V1172" s="91"/>
    </row>
    <row r="1173" spans="4:24">
      <c r="J1173" s="8" t="s">
        <v>1108</v>
      </c>
      <c r="K1173" s="8">
        <f ca="1">K1172/1070</f>
        <v>62.470464191122133</v>
      </c>
      <c r="L1173" s="8"/>
      <c r="M1173" s="8" t="s">
        <v>1109</v>
      </c>
      <c r="N1173" s="50">
        <f ca="1">N1165</f>
        <v>947.04080024749169</v>
      </c>
      <c r="P1173" s="90"/>
    </row>
    <row r="1174" spans="4:24">
      <c r="J1174" s="8"/>
      <c r="K1174" s="8"/>
      <c r="L1174" s="8"/>
      <c r="M1174" s="8" t="s">
        <v>1111</v>
      </c>
      <c r="N1174" s="50">
        <f ca="1">N1173*2</f>
        <v>1894.0816004949834</v>
      </c>
      <c r="P1174" s="105"/>
    </row>
    <row r="1176" spans="4:24">
      <c r="J1176" s="298" t="s">
        <v>497</v>
      </c>
      <c r="K1176" s="298"/>
      <c r="L1176" s="298"/>
      <c r="M1176" s="298"/>
      <c r="N1176" s="298"/>
    </row>
    <row r="1177" spans="4:24">
      <c r="J1177" s="42" t="s">
        <v>28</v>
      </c>
      <c r="K1177" s="8"/>
      <c r="L1177" s="8"/>
      <c r="M1177" s="42" t="s">
        <v>29</v>
      </c>
      <c r="N1177" s="8"/>
    </row>
    <row r="1178" spans="4:24">
      <c r="J1178" s="8" t="s">
        <v>1110</v>
      </c>
      <c r="K1178" s="50">
        <f ca="1">N1172</f>
        <v>66174.962717655668</v>
      </c>
      <c r="L1178" s="8"/>
      <c r="M1178" s="8" t="s">
        <v>1106</v>
      </c>
      <c r="N1178" s="50">
        <f ca="1">K1178</f>
        <v>66174.962717655668</v>
      </c>
    </row>
    <row r="1179" spans="4:24">
      <c r="N1179" s="105"/>
    </row>
    <row r="1180" spans="4:24" s="221" customFormat="1">
      <c r="D1180" s="222" t="s">
        <v>1700</v>
      </c>
      <c r="N1180" s="223"/>
    </row>
    <row r="1182" spans="4:24">
      <c r="D1182" s="8" t="s">
        <v>546</v>
      </c>
      <c r="E1182" s="8">
        <f>F36*F32*365</f>
        <v>29882429.550000001</v>
      </c>
    </row>
    <row r="1183" spans="4:24">
      <c r="D1183" s="8" t="s">
        <v>603</v>
      </c>
      <c r="E1183" s="49">
        <f ca="1">IFERROR('Parameter Inputs'!F1404,0)</f>
        <v>6867512.4992822725</v>
      </c>
    </row>
    <row r="1184" spans="4:24">
      <c r="D1184" s="8" t="s">
        <v>1174</v>
      </c>
      <c r="E1184" s="49">
        <f ca="1">'Parameter Inputs'!F1389</f>
        <v>66445.831600142745</v>
      </c>
    </row>
    <row r="1185" spans="4:18">
      <c r="D1185" s="49" t="s">
        <v>1224</v>
      </c>
      <c r="E1185" s="49">
        <f ca="1">E1184+E1183</f>
        <v>6933958.3308824152</v>
      </c>
    </row>
    <row r="1186" spans="4:18">
      <c r="D1186" s="8" t="s">
        <v>1175</v>
      </c>
      <c r="E1186" s="49">
        <f ca="1">E1182+E1183+E1184</f>
        <v>36816387.88088242</v>
      </c>
      <c r="G1186" s="91"/>
      <c r="H1186" s="91"/>
    </row>
    <row r="1187" spans="4:18">
      <c r="D1187" s="8"/>
      <c r="E1187" s="49"/>
    </row>
    <row r="1188" spans="4:18">
      <c r="D1188" s="49" t="s">
        <v>1225</v>
      </c>
      <c r="E1188" s="49">
        <f ca="1">E1205-E1185</f>
        <v>-6933958.3308824152</v>
      </c>
    </row>
    <row r="1189" spans="4:18">
      <c r="D1189" s="8" t="s">
        <v>1226</v>
      </c>
      <c r="E1189" s="49">
        <f ca="1">E1185-E1205</f>
        <v>6933958.3308824152</v>
      </c>
    </row>
    <row r="1190" spans="4:18">
      <c r="D1190" s="49" t="s">
        <v>1227</v>
      </c>
      <c r="E1190" s="49">
        <f ca="1">E1189</f>
        <v>6933958.3308824152</v>
      </c>
    </row>
    <row r="1191" spans="4:18">
      <c r="D1191" s="8" t="s">
        <v>552</v>
      </c>
      <c r="E1191" s="49">
        <f ca="1">'Parameter Inputs'!I1389</f>
        <v>1070516.1757800775</v>
      </c>
      <c r="F1191" s="91"/>
    </row>
    <row r="1192" spans="4:18">
      <c r="D1192" s="8" t="s">
        <v>553</v>
      </c>
      <c r="E1192" s="284">
        <v>0.98</v>
      </c>
      <c r="F1192" s="91"/>
      <c r="G1192" s="113"/>
    </row>
    <row r="1193" spans="4:18">
      <c r="D1193" s="8" t="s">
        <v>554</v>
      </c>
      <c r="E1193" s="293">
        <f ca="1">E1191/E1192</f>
        <v>1092363.4446735485</v>
      </c>
    </row>
    <row r="1194" spans="4:18">
      <c r="D1194" s="8" t="s">
        <v>1195</v>
      </c>
      <c r="E1194" s="293">
        <v>330497.95458286814</v>
      </c>
    </row>
    <row r="1195" spans="4:18">
      <c r="D1195" s="8" t="s">
        <v>604</v>
      </c>
      <c r="E1195" s="293">
        <f ca="1">IFERROR('Parameter Inputs'!I1404,0)</f>
        <v>13664227.39606951</v>
      </c>
      <c r="F1195" s="91" t="s">
        <v>542</v>
      </c>
    </row>
    <row r="1196" spans="4:18">
      <c r="D1196" s="8" t="s">
        <v>1231</v>
      </c>
      <c r="E1196" s="293">
        <f ca="1">E1191+E1195</f>
        <v>14734743.571849588</v>
      </c>
      <c r="F1196" s="91"/>
    </row>
    <row r="1197" spans="4:18">
      <c r="D1197" s="8" t="s">
        <v>605</v>
      </c>
      <c r="E1197" s="293">
        <f ca="1">E1193+E1195</f>
        <v>14756590.840743057</v>
      </c>
    </row>
    <row r="1198" spans="4:18">
      <c r="D1198" s="8" t="s">
        <v>524</v>
      </c>
      <c r="E1198" s="8">
        <f>P1243</f>
        <v>0</v>
      </c>
    </row>
    <row r="1199" spans="4:18">
      <c r="D1199" s="8" t="s">
        <v>525</v>
      </c>
      <c r="E1199" s="49">
        <f>P1246</f>
        <v>0</v>
      </c>
      <c r="R1199" s="5" t="s">
        <v>165</v>
      </c>
    </row>
    <row r="1200" spans="4:18">
      <c r="D1200" s="8" t="s">
        <v>572</v>
      </c>
      <c r="E1200" s="49">
        <f ca="1">IF(F98=D1256,IF(E1186-E1198-E1199&gt;0,E1186-E1198-E1199,0),IF(F98=D1259,IF(E1186-E1198-E1199-E1205-E1207&gt;0,E1186-E1198-E1199-E1205-E1207,0),))</f>
        <v>36816387.88088242</v>
      </c>
      <c r="R1200" s="5" t="s">
        <v>166</v>
      </c>
    </row>
    <row r="1201" spans="4:18">
      <c r="D1201" s="8" t="s">
        <v>1135</v>
      </c>
      <c r="E1201" s="49">
        <f ca="1">('Parameter Inputs'!L1023*365)</f>
        <v>2285091.5141147668</v>
      </c>
      <c r="R1201" s="5" t="s">
        <v>521</v>
      </c>
    </row>
    <row r="1202" spans="4:18">
      <c r="D1202" s="8" t="s">
        <v>1392</v>
      </c>
      <c r="E1202" s="49">
        <f ca="1">E1233</f>
        <v>0</v>
      </c>
      <c r="R1202" s="5" t="s">
        <v>81</v>
      </c>
    </row>
    <row r="1203" spans="4:18">
      <c r="D1203" s="8" t="s">
        <v>559</v>
      </c>
      <c r="E1203" s="8">
        <v>65</v>
      </c>
    </row>
    <row r="1204" spans="4:18">
      <c r="D1204" s="8" t="s">
        <v>1395</v>
      </c>
      <c r="E1204" s="49">
        <f ca="1">(E1202*F106*F104)/3.6</f>
        <v>0</v>
      </c>
      <c r="L1204" s="113"/>
    </row>
    <row r="1205" spans="4:18">
      <c r="D1205" s="8" t="s">
        <v>1145</v>
      </c>
      <c r="E1205" s="49" cm="1">
        <f t="array" aca="1" ref="E1205" ca="1">_xlfn.IFS(F98=D1256,0,F98=D1257,E1202*F106*F102*0.277778,F98=D1258,E1202*F106*F102*0.277778,F98=D1259,E1202*F106*F102*0.277778)</f>
        <v>0</v>
      </c>
      <c r="F1205" s="91"/>
      <c r="L1205" s="113"/>
    </row>
    <row r="1206" spans="4:18">
      <c r="D1206" s="8" t="s">
        <v>1667</v>
      </c>
      <c r="E1206" s="49">
        <f ca="1">E1205</f>
        <v>0</v>
      </c>
      <c r="F1206" s="91"/>
      <c r="L1206" s="113"/>
    </row>
    <row r="1207" spans="4:18">
      <c r="D1207" s="8" t="s">
        <v>568</v>
      </c>
      <c r="E1207" s="49" cm="1">
        <f t="array" ref="E1207">IF(F108=F1257,0, _xlfn.IFS(F98=D1256,0,F98=D1257,E1186-E1205-P1236-P1237,F98=D1258,E1186-E1198-E1199-P1237,F98=D1259,E1235*F114*F102*0.277778))</f>
        <v>0</v>
      </c>
      <c r="L1207" s="113"/>
    </row>
    <row r="1208" spans="4:18">
      <c r="D1208" s="8" t="s">
        <v>1366</v>
      </c>
      <c r="E1208" s="49"/>
      <c r="F1208" s="91"/>
      <c r="L1208" s="113"/>
    </row>
    <row r="1209" spans="4:18">
      <c r="D1209" s="8" t="s">
        <v>1309</v>
      </c>
      <c r="E1209" s="49">
        <f ca="1">E1185*E1217</f>
        <v>6933958.3308824152</v>
      </c>
      <c r="F1209" s="91"/>
      <c r="L1209" s="133"/>
    </row>
    <row r="1210" spans="4:18">
      <c r="D1210" s="8" t="s">
        <v>1308</v>
      </c>
      <c r="E1210" s="49">
        <f ca="1">IF((E1207/(E1185-E1206))&lt;0,0,(E1207/(E1185-E1206)))</f>
        <v>0</v>
      </c>
      <c r="F1210" s="91"/>
      <c r="L1210" s="133"/>
    </row>
    <row r="1211" spans="4:18">
      <c r="D1211" s="8" t="s">
        <v>1698</v>
      </c>
      <c r="E1211" s="285">
        <f ca="1">E1205/E1186</f>
        <v>0</v>
      </c>
      <c r="L1211" s="113"/>
    </row>
    <row r="1212" spans="4:18">
      <c r="D1212" s="8" t="s">
        <v>1228</v>
      </c>
      <c r="E1212" s="285">
        <f ca="1">IF(E1205/E1185&gt;100%,100%,E1205/E1185)</f>
        <v>0</v>
      </c>
      <c r="L1212" s="113"/>
    </row>
    <row r="1213" spans="4:18">
      <c r="D1213" s="8" t="s">
        <v>1233</v>
      </c>
      <c r="E1213" s="285">
        <f ca="1">IF(E1188/E1182&gt;0,E1188/E1182,0)</f>
        <v>0</v>
      </c>
      <c r="F1213" s="91"/>
      <c r="L1213" s="113"/>
    </row>
    <row r="1214" spans="4:18">
      <c r="D1214" s="8" t="s">
        <v>1304</v>
      </c>
      <c r="E1214" s="285">
        <f ca="1">E1210/E1182</f>
        <v>0</v>
      </c>
      <c r="L1214" s="113"/>
    </row>
    <row r="1215" spans="4:18">
      <c r="D1215" s="8" t="s">
        <v>1273</v>
      </c>
      <c r="E1215" s="285" cm="1">
        <f t="array" ref="E1215">IF(F108=F1257,0,_xlfn.IFS(E1185-E1206&lt;0,0,AND((E1185-E1206&gt;0),(E1207/(E1185-E1206))&lt;1),(E1207/(E1185-E1206)),AND((E1185-E1206)&gt;0,(E1207/(E1185-E1206))&gt;1),1))</f>
        <v>0</v>
      </c>
      <c r="L1215" s="113"/>
    </row>
    <row r="1216" spans="4:18">
      <c r="D1216" s="8" t="s">
        <v>1669</v>
      </c>
      <c r="E1216" s="285">
        <f ca="1">IF((1-E1213-E1214)&lt;0,0,1-E1213-E1214)</f>
        <v>1</v>
      </c>
      <c r="L1216" s="113"/>
    </row>
    <row r="1217" spans="4:12">
      <c r="D1217" s="8" t="s">
        <v>1229</v>
      </c>
      <c r="E1217" s="285">
        <f ca="1">IF((1-E1214-E1212)&lt;0,0,(1-E1215-E1212))</f>
        <v>1</v>
      </c>
      <c r="L1217" s="113"/>
    </row>
    <row r="1218" spans="4:12">
      <c r="D1218" s="8" t="s">
        <v>1191</v>
      </c>
      <c r="E1218" s="293">
        <v>17785318.541990098</v>
      </c>
      <c r="F1218" s="91"/>
      <c r="L1218" s="113"/>
    </row>
    <row r="1219" spans="4:12">
      <c r="D1219" s="8" t="s">
        <v>1234</v>
      </c>
      <c r="E1219" s="293">
        <f ca="1">E1182*E1213</f>
        <v>0</v>
      </c>
      <c r="F1219" s="91"/>
      <c r="L1219" s="113"/>
    </row>
    <row r="1220" spans="4:12">
      <c r="D1220" s="8" t="s">
        <v>1192</v>
      </c>
      <c r="E1220" s="293">
        <f ca="1">E1218-E1219</f>
        <v>17785318.541990098</v>
      </c>
      <c r="L1220" s="113"/>
    </row>
    <row r="1221" spans="4:12">
      <c r="D1221" s="8"/>
      <c r="E1221" s="8"/>
      <c r="L1221" s="113"/>
    </row>
    <row r="1222" spans="4:12">
      <c r="D1222" s="8"/>
      <c r="E1222" s="8"/>
      <c r="L1222" s="113"/>
    </row>
    <row r="1223" spans="4:12">
      <c r="D1223" s="8" t="s">
        <v>557</v>
      </c>
      <c r="E1223" s="103">
        <f ca="1">'Parameter Inputs'!L1023</f>
        <v>6260.5246962048404</v>
      </c>
      <c r="L1223" s="113"/>
    </row>
    <row r="1224" spans="4:12">
      <c r="D1224" s="8" t="s">
        <v>559</v>
      </c>
      <c r="E1224" s="8">
        <v>65</v>
      </c>
      <c r="F1224" s="91"/>
      <c r="L1224" s="113"/>
    </row>
    <row r="1225" spans="4:12">
      <c r="D1225" s="8"/>
      <c r="E1225" s="8"/>
    </row>
    <row r="1226" spans="4:12">
      <c r="D1226" s="8"/>
      <c r="E1226" s="8"/>
    </row>
    <row r="1227" spans="4:12">
      <c r="D1227" s="8" t="s">
        <v>558</v>
      </c>
      <c r="E1227" s="49">
        <f ca="1">'Parameter Inputs'!E1223*'Parameter Inputs'!F112*'Parameter Inputs'!F110</f>
        <v>127902.51954346491</v>
      </c>
    </row>
    <row r="1228" spans="4:12">
      <c r="D1228" s="8" t="s">
        <v>561</v>
      </c>
      <c r="E1228" s="49">
        <f ca="1">E1227/3.6</f>
        <v>35528.477650962472</v>
      </c>
    </row>
    <row r="1229" spans="4:12">
      <c r="D1229" s="8" t="s">
        <v>562</v>
      </c>
      <c r="E1229" s="49">
        <f ca="1">E1228*365</f>
        <v>12967894.342601303</v>
      </c>
      <c r="F1229" s="91"/>
    </row>
    <row r="1230" spans="4:12">
      <c r="D1230" s="8" t="s">
        <v>990</v>
      </c>
      <c r="E1230" s="8">
        <v>35.799999999999997</v>
      </c>
    </row>
    <row r="1231" spans="4:12">
      <c r="D1231" s="8" t="s">
        <v>1389</v>
      </c>
      <c r="E1231" s="49">
        <f ca="1">E1196</f>
        <v>14734743.571849588</v>
      </c>
    </row>
    <row r="1232" spans="4:12">
      <c r="D1232" s="8" t="s">
        <v>1390</v>
      </c>
      <c r="E1232" s="293">
        <f ca="1">((E1231/F110)*3.6)/F112</f>
        <v>2596430.5853479453</v>
      </c>
    </row>
    <row r="1233" spans="4:18">
      <c r="D1233" s="8" t="s">
        <v>1391</v>
      </c>
      <c r="E1233" s="49">
        <f ca="1">IF(E1201&gt;E1232,E1201-E1232,0)</f>
        <v>0</v>
      </c>
    </row>
    <row r="1234" spans="4:18">
      <c r="D1234" s="8" t="s">
        <v>1397</v>
      </c>
      <c r="E1234" s="49">
        <f ca="1">IF(E1196-E1229&gt;0,E1196-E1229,0)</f>
        <v>1766849.2292482853</v>
      </c>
    </row>
    <row r="1235" spans="4:18">
      <c r="D1235" s="8" t="s">
        <v>1398</v>
      </c>
      <c r="E1235" s="49">
        <f ca="1">((E1234/F110)*3.6)/F114</f>
        <v>198801.60104059472</v>
      </c>
      <c r="F1235" s="91"/>
    </row>
    <row r="1236" spans="4:18">
      <c r="D1236" s="8" t="s">
        <v>1400</v>
      </c>
      <c r="E1236" s="8">
        <f ca="1">E1238*E1194</f>
        <v>330497.95458286814</v>
      </c>
      <c r="F1236" s="91"/>
      <c r="O1236" s="5" t="s">
        <v>522</v>
      </c>
      <c r="P1236" s="5">
        <f>P1243</f>
        <v>0</v>
      </c>
    </row>
    <row r="1237" spans="4:18">
      <c r="D1237" s="8" t="s">
        <v>1396</v>
      </c>
      <c r="E1237" s="284">
        <f ca="1">IF(E1204/E1194&gt;100%,100%,IF(E1204/E1194&lt;0%,0%,E1204/E1194))</f>
        <v>0</v>
      </c>
      <c r="O1237" s="5" t="s">
        <v>523</v>
      </c>
      <c r="P1237" s="5">
        <f>P1246</f>
        <v>0</v>
      </c>
    </row>
    <row r="1238" spans="4:18">
      <c r="D1238" s="8" t="s">
        <v>1399</v>
      </c>
      <c r="E1238" s="167">
        <f ca="1">1-E1237</f>
        <v>1</v>
      </c>
      <c r="R1238" s="60" t="s">
        <v>541</v>
      </c>
    </row>
    <row r="1239" spans="4:18">
      <c r="D1239" s="8" t="s">
        <v>1668</v>
      </c>
      <c r="E1239" s="49">
        <f ca="1">E1236+E1229</f>
        <v>13298392.297184171</v>
      </c>
    </row>
    <row r="1240" spans="4:18">
      <c r="D1240" s="8" t="s">
        <v>1230</v>
      </c>
      <c r="E1240" s="284">
        <f ca="1">IF(E1229/E1196&lt;100%,E1229/E1196,100%)</f>
        <v>0.88008958414289529</v>
      </c>
      <c r="O1240" s="5" t="s">
        <v>522</v>
      </c>
    </row>
    <row r="1241" spans="4:18">
      <c r="D1241" s="8" t="s">
        <v>1232</v>
      </c>
      <c r="E1241" s="167">
        <f ca="1">1-E1240</f>
        <v>0.11991041585710471</v>
      </c>
      <c r="O1241" s="5" t="s">
        <v>527</v>
      </c>
      <c r="P1241" s="5">
        <v>0</v>
      </c>
    </row>
    <row r="1242" spans="4:18">
      <c r="D1242" s="8" t="s">
        <v>1193</v>
      </c>
      <c r="E1242" s="49">
        <v>330497.95458286768</v>
      </c>
      <c r="O1242" s="5" t="s">
        <v>528</v>
      </c>
      <c r="P1242" s="5">
        <v>0</v>
      </c>
    </row>
    <row r="1243" spans="4:18">
      <c r="D1243" s="8" t="s">
        <v>1312</v>
      </c>
      <c r="E1243" s="49">
        <f ca="1">(E1194)*E1237</f>
        <v>0</v>
      </c>
      <c r="F1243" s="91"/>
      <c r="O1243" s="5" t="s">
        <v>526</v>
      </c>
      <c r="P1243" s="5">
        <f>((1.225*(((2/3)*P1242)^2)*(P1241)^3)*8760)/(1000)</f>
        <v>0</v>
      </c>
    </row>
    <row r="1244" spans="4:18">
      <c r="D1244" s="8" t="s">
        <v>1313</v>
      </c>
      <c r="E1244" s="49">
        <f ca="1">E1242-E1243</f>
        <v>330497.95458286768</v>
      </c>
    </row>
    <row r="1245" spans="4:18">
      <c r="D1245" s="8"/>
      <c r="E1245" s="8"/>
      <c r="O1245" s="5" t="s">
        <v>523</v>
      </c>
    </row>
    <row r="1246" spans="4:18">
      <c r="D1246" s="8" t="s">
        <v>1176</v>
      </c>
      <c r="E1246" s="49">
        <f ca="1">((E1231*3.6)/F102)/F106</f>
        <v>6315641.9643598665</v>
      </c>
      <c r="O1246" s="5" t="s">
        <v>543</v>
      </c>
      <c r="P1246" s="5">
        <f>(P1247*P1248*P1249*P1250*P1251*8760)</f>
        <v>0</v>
      </c>
    </row>
    <row r="1247" spans="4:18">
      <c r="D1247" s="8" t="s">
        <v>1190</v>
      </c>
      <c r="E1247" s="49">
        <f ca="1">((E1184*3.6)/F102)/F106</f>
        <v>28480.175468569345</v>
      </c>
      <c r="O1247" s="5" t="s">
        <v>529</v>
      </c>
      <c r="P1247" s="5">
        <v>0</v>
      </c>
    </row>
    <row r="1248" spans="4:18">
      <c r="D1248" s="8" t="s">
        <v>1177</v>
      </c>
      <c r="E1248" s="49">
        <f ca="1">E1182*E1213</f>
        <v>0</v>
      </c>
      <c r="O1248" s="5" t="s">
        <v>530</v>
      </c>
      <c r="P1248" s="5">
        <v>1.2</v>
      </c>
    </row>
    <row r="1249" spans="4:16">
      <c r="D1249" s="8" t="s">
        <v>1189</v>
      </c>
      <c r="E1249" s="49">
        <f ca="1">E1194*E1237</f>
        <v>0</v>
      </c>
      <c r="O1249" s="5" t="s">
        <v>531</v>
      </c>
      <c r="P1249" s="113">
        <v>0.19</v>
      </c>
    </row>
    <row r="1250" spans="4:16">
      <c r="D1250" s="8"/>
      <c r="E1250" s="8"/>
      <c r="O1250" s="5" t="s">
        <v>589</v>
      </c>
      <c r="P1250" s="5">
        <v>950</v>
      </c>
    </row>
    <row r="1251" spans="4:16">
      <c r="D1251" s="8" t="s">
        <v>991</v>
      </c>
      <c r="E1251" s="47">
        <f>F112/E1230</f>
        <v>0.63407821229050287</v>
      </c>
      <c r="O1251" s="5" t="s">
        <v>532</v>
      </c>
      <c r="P1251" s="92">
        <f>(1-P1252)*(1-P1253)*(1-P1254)*(1-P1255)*(1-P1256)*(1-P1257)*(1-P1258)*(1-P1259)</f>
        <v>0.7495443766899198</v>
      </c>
    </row>
    <row r="1252" spans="4:16">
      <c r="D1252" s="8" t="s">
        <v>1008</v>
      </c>
      <c r="E1252" s="8">
        <f ca="1">E1201*E1251</f>
        <v>1448926.7421900898</v>
      </c>
      <c r="O1252" s="129" t="s">
        <v>533</v>
      </c>
      <c r="P1252" s="167">
        <v>0.08</v>
      </c>
    </row>
    <row r="1253" spans="4:16">
      <c r="D1253" s="8"/>
      <c r="E1253" s="8"/>
      <c r="O1253" s="129" t="s">
        <v>534</v>
      </c>
      <c r="P1253" s="167">
        <v>0.08</v>
      </c>
    </row>
    <row r="1254" spans="4:16">
      <c r="D1254" s="8"/>
      <c r="E1254" s="8"/>
      <c r="O1254" s="129" t="s">
        <v>535</v>
      </c>
      <c r="P1254" s="167">
        <v>0.02</v>
      </c>
    </row>
    <row r="1255" spans="4:16">
      <c r="D1255" s="8" t="s">
        <v>509</v>
      </c>
      <c r="E1255" s="81" t="s">
        <v>520</v>
      </c>
      <c r="F1255" s="8" t="s">
        <v>510</v>
      </c>
      <c r="G1255" s="8" t="s">
        <v>512</v>
      </c>
      <c r="O1255" s="129" t="s">
        <v>536</v>
      </c>
      <c r="P1255" s="167">
        <v>0.02</v>
      </c>
    </row>
    <row r="1256" spans="4:16">
      <c r="D1256" s="8" t="s">
        <v>160</v>
      </c>
      <c r="E1256" s="81" t="s">
        <v>81</v>
      </c>
      <c r="F1256" s="8" t="s">
        <v>507</v>
      </c>
      <c r="G1256" s="284">
        <v>0.53</v>
      </c>
      <c r="J1256" s="5" t="s">
        <v>1459</v>
      </c>
      <c r="K1256" s="5" t="s">
        <v>1461</v>
      </c>
      <c r="L1256" s="5" t="s">
        <v>1460</v>
      </c>
      <c r="O1256" s="129" t="s">
        <v>537</v>
      </c>
      <c r="P1256" s="167">
        <v>0.03</v>
      </c>
    </row>
    <row r="1257" spans="4:16">
      <c r="D1257" s="8" t="s">
        <v>402</v>
      </c>
      <c r="E1257" s="294">
        <v>0.3</v>
      </c>
      <c r="F1257" s="13" t="s">
        <v>511</v>
      </c>
      <c r="G1257" s="295">
        <v>0.9</v>
      </c>
      <c r="H1257" s="5" t="s">
        <v>1457</v>
      </c>
      <c r="I1257" s="5" t="s">
        <v>1458</v>
      </c>
      <c r="J1257" s="5">
        <v>9</v>
      </c>
      <c r="K1257" s="126">
        <v>0.23200000000000001</v>
      </c>
      <c r="O1257" s="129" t="s">
        <v>538</v>
      </c>
      <c r="P1257" s="167">
        <v>0.03</v>
      </c>
    </row>
    <row r="1258" spans="4:16">
      <c r="D1258" s="8" t="s">
        <v>1138</v>
      </c>
      <c r="E1258" s="294">
        <v>0.37</v>
      </c>
      <c r="F1258" s="8"/>
      <c r="G1258" s="8"/>
      <c r="I1258" s="5" t="s">
        <v>1452</v>
      </c>
      <c r="J1258" s="5">
        <v>5</v>
      </c>
      <c r="K1258" s="126">
        <v>0.374</v>
      </c>
      <c r="O1258" s="129" t="s">
        <v>539</v>
      </c>
      <c r="P1258" s="167">
        <v>0.02</v>
      </c>
    </row>
    <row r="1259" spans="4:16">
      <c r="D1259" s="8" t="s">
        <v>1137</v>
      </c>
      <c r="E1259" s="294">
        <v>0.37</v>
      </c>
      <c r="F1259" s="8"/>
      <c r="G1259" s="8"/>
      <c r="I1259" s="5" t="s">
        <v>166</v>
      </c>
      <c r="J1259" s="5">
        <v>8</v>
      </c>
      <c r="K1259" s="92">
        <v>0.1</v>
      </c>
      <c r="O1259" s="129" t="s">
        <v>540</v>
      </c>
      <c r="P1259" s="167">
        <v>0</v>
      </c>
    </row>
    <row r="1260" spans="4:16">
      <c r="D1260" s="8"/>
      <c r="E1260" s="81"/>
      <c r="F1260" s="8"/>
      <c r="G1260" s="8"/>
      <c r="L1260" s="5">
        <f>SUM(D1273:D1275)</f>
        <v>41680.080000000002</v>
      </c>
    </row>
    <row r="1261" spans="4:16">
      <c r="D1261" s="8" t="s">
        <v>516</v>
      </c>
      <c r="E1261" s="81"/>
      <c r="F1261" s="8"/>
      <c r="G1261" s="8"/>
      <c r="L1261" s="5">
        <f>L1260/1000</f>
        <v>41.680080000000004</v>
      </c>
    </row>
    <row r="1262" spans="4:16">
      <c r="D1262" s="8" t="s">
        <v>518</v>
      </c>
      <c r="E1262" s="81"/>
      <c r="F1262" s="8"/>
      <c r="G1262" s="8"/>
    </row>
    <row r="1263" spans="4:16">
      <c r="O1263" s="129" t="s">
        <v>544</v>
      </c>
      <c r="P1263" s="60" t="s">
        <v>545</v>
      </c>
    </row>
    <row r="1264" spans="4:16" ht="15" thickBot="1"/>
    <row r="1265" spans="3:69">
      <c r="D1265" s="45"/>
      <c r="E1265" s="247"/>
      <c r="F1265" s="246"/>
      <c r="G1265" s="245"/>
      <c r="H1265" s="278"/>
      <c r="I1265" s="277"/>
      <c r="J1265" s="276"/>
      <c r="K1265" s="278"/>
      <c r="L1265" s="277"/>
      <c r="M1265" s="276"/>
      <c r="N1265" s="278"/>
      <c r="O1265" s="277"/>
      <c r="P1265" s="276"/>
      <c r="Q1265" s="278"/>
      <c r="R1265" s="277"/>
      <c r="S1265" s="276"/>
      <c r="T1265" s="278"/>
      <c r="U1265" s="277"/>
      <c r="V1265" s="276"/>
      <c r="W1265" s="247"/>
      <c r="X1265" s="246"/>
      <c r="Y1265" s="245"/>
      <c r="Z1265" s="247"/>
      <c r="AA1265" s="246"/>
      <c r="AB1265" s="245"/>
      <c r="AC1265" s="278"/>
      <c r="AD1265" s="277"/>
      <c r="AE1265" s="276"/>
      <c r="AF1265" s="278"/>
      <c r="AG1265" s="277"/>
      <c r="AH1265" s="276"/>
      <c r="AI1265" s="278"/>
      <c r="AJ1265" s="277"/>
      <c r="AK1265" s="276"/>
      <c r="AL1265" s="278"/>
      <c r="AM1265" s="277"/>
      <c r="AN1265" s="277"/>
      <c r="AO1265" s="278"/>
      <c r="AP1265" s="277"/>
      <c r="AQ1265" s="276"/>
      <c r="AR1265" s="278"/>
      <c r="AS1265" s="277"/>
      <c r="AT1265" s="276"/>
      <c r="AU1265" s="278"/>
      <c r="AV1265" s="277"/>
      <c r="AW1265" s="276"/>
      <c r="AX1265" s="278"/>
      <c r="AY1265" s="277"/>
      <c r="AZ1265" s="276"/>
      <c r="BA1265" s="278"/>
      <c r="BB1265" s="277"/>
      <c r="BC1265" s="276"/>
      <c r="BD1265" s="247"/>
      <c r="BE1265" s="246"/>
      <c r="BF1265" s="246"/>
      <c r="BG1265" s="276"/>
      <c r="BP1265" s="16"/>
      <c r="BQ1265" s="16"/>
    </row>
    <row r="1266" spans="3:69">
      <c r="D1266" s="93"/>
      <c r="E1266" s="252" t="s">
        <v>1709</v>
      </c>
      <c r="F1266" s="107"/>
      <c r="G1266" s="251"/>
      <c r="H1266" s="252" t="s">
        <v>895</v>
      </c>
      <c r="I1266" s="107"/>
      <c r="J1266" s="251"/>
      <c r="K1266" s="265" t="s">
        <v>1298</v>
      </c>
      <c r="L1266" s="16"/>
      <c r="M1266" s="264"/>
      <c r="N1266" s="250" t="s">
        <v>1299</v>
      </c>
      <c r="O1266" s="16"/>
      <c r="P1266" s="264"/>
      <c r="Q1266" s="250" t="s">
        <v>1300</v>
      </c>
      <c r="R1266" s="16"/>
      <c r="S1266" s="264"/>
      <c r="T1266" s="248" t="s">
        <v>1295</v>
      </c>
      <c r="U1266" s="107"/>
      <c r="V1266" s="251"/>
      <c r="W1266" s="252" t="s">
        <v>1721</v>
      </c>
      <c r="X1266" s="107"/>
      <c r="Y1266" s="251"/>
      <c r="Z1266" s="248" t="s">
        <v>1722</v>
      </c>
      <c r="AA1266" s="107"/>
      <c r="AB1266" s="251"/>
      <c r="AC1266" s="265" t="s">
        <v>1301</v>
      </c>
      <c r="AD1266" s="16"/>
      <c r="AE1266" s="264"/>
      <c r="AF1266" s="250" t="s">
        <v>1302</v>
      </c>
      <c r="AG1266" s="16"/>
      <c r="AH1266" s="264"/>
      <c r="AI1266" s="250" t="s">
        <v>1432</v>
      </c>
      <c r="AJ1266" s="16"/>
      <c r="AK1266" s="264"/>
      <c r="AL1266" s="250" t="s">
        <v>1723</v>
      </c>
      <c r="AM1266" s="16"/>
      <c r="AN1266" s="16"/>
      <c r="AO1266" s="248" t="s">
        <v>1297</v>
      </c>
      <c r="AP1266" s="107"/>
      <c r="AQ1266" s="251"/>
      <c r="AR1266" s="248" t="s">
        <v>1430</v>
      </c>
      <c r="AS1266" s="107"/>
      <c r="AT1266" s="251"/>
      <c r="AU1266" s="248" t="s">
        <v>1429</v>
      </c>
      <c r="AV1266" s="107"/>
      <c r="AW1266" s="251"/>
      <c r="AX1266" s="248" t="s">
        <v>1428</v>
      </c>
      <c r="AY1266" s="107"/>
      <c r="AZ1266" s="251"/>
      <c r="BA1266" s="248" t="s">
        <v>1427</v>
      </c>
      <c r="BB1266" s="107"/>
      <c r="BC1266" s="251"/>
      <c r="BD1266" s="265" t="s">
        <v>1296</v>
      </c>
      <c r="BE1266" s="16"/>
      <c r="BF1266" s="16"/>
      <c r="BG1266" s="264"/>
      <c r="BP1266" s="16"/>
      <c r="BQ1266" s="16"/>
    </row>
    <row r="1267" spans="3:69">
      <c r="D1267" s="93"/>
      <c r="E1267" s="265" t="s">
        <v>1476</v>
      </c>
      <c r="F1267" s="16" t="s">
        <v>1472</v>
      </c>
      <c r="G1267" s="264" t="s">
        <v>1475</v>
      </c>
      <c r="H1267" s="265" t="s">
        <v>1476</v>
      </c>
      <c r="I1267" s="16" t="s">
        <v>1472</v>
      </c>
      <c r="J1267" s="264" t="s">
        <v>1475</v>
      </c>
      <c r="K1267" s="265" t="s">
        <v>1476</v>
      </c>
      <c r="L1267" s="16" t="s">
        <v>1477</v>
      </c>
      <c r="M1267" s="264" t="s">
        <v>1478</v>
      </c>
      <c r="N1267" s="265" t="s">
        <v>1476</v>
      </c>
      <c r="O1267" s="16" t="s">
        <v>1477</v>
      </c>
      <c r="P1267" s="264" t="s">
        <v>1478</v>
      </c>
      <c r="Q1267" s="265" t="s">
        <v>1476</v>
      </c>
      <c r="R1267" s="16" t="s">
        <v>1477</v>
      </c>
      <c r="S1267" s="264" t="s">
        <v>1478</v>
      </c>
      <c r="T1267" s="265" t="s">
        <v>1476</v>
      </c>
      <c r="U1267" s="16" t="s">
        <v>1477</v>
      </c>
      <c r="V1267" s="264" t="s">
        <v>1478</v>
      </c>
      <c r="W1267" s="265" t="s">
        <v>1476</v>
      </c>
      <c r="X1267" s="16" t="s">
        <v>1472</v>
      </c>
      <c r="Y1267" s="264" t="s">
        <v>1475</v>
      </c>
      <c r="Z1267" s="265" t="s">
        <v>1476</v>
      </c>
      <c r="AA1267" s="16" t="s">
        <v>1472</v>
      </c>
      <c r="AB1267" s="264" t="s">
        <v>1475</v>
      </c>
      <c r="AC1267" s="265" t="s">
        <v>1476</v>
      </c>
      <c r="AD1267" s="16" t="s">
        <v>1477</v>
      </c>
      <c r="AE1267" s="264" t="s">
        <v>1478</v>
      </c>
      <c r="AF1267" s="265" t="s">
        <v>1476</v>
      </c>
      <c r="AG1267" s="16" t="s">
        <v>1477</v>
      </c>
      <c r="AH1267" s="264" t="s">
        <v>1478</v>
      </c>
      <c r="AI1267" s="265" t="s">
        <v>1476</v>
      </c>
      <c r="AJ1267" s="16" t="s">
        <v>1477</v>
      </c>
      <c r="AK1267" s="264" t="s">
        <v>1478</v>
      </c>
      <c r="AL1267" s="265" t="s">
        <v>1476</v>
      </c>
      <c r="AM1267" s="16" t="s">
        <v>1477</v>
      </c>
      <c r="AN1267" s="16" t="s">
        <v>1478</v>
      </c>
      <c r="AO1267" s="265" t="s">
        <v>1476</v>
      </c>
      <c r="AP1267" s="16" t="s">
        <v>1477</v>
      </c>
      <c r="AQ1267" s="264" t="s">
        <v>1478</v>
      </c>
      <c r="AR1267" s="265" t="s">
        <v>1476</v>
      </c>
      <c r="AS1267" s="16" t="s">
        <v>1477</v>
      </c>
      <c r="AT1267" s="264" t="s">
        <v>1478</v>
      </c>
      <c r="AU1267" s="265" t="s">
        <v>1476</v>
      </c>
      <c r="AV1267" s="16" t="s">
        <v>1477</v>
      </c>
      <c r="AW1267" s="264" t="s">
        <v>1478</v>
      </c>
      <c r="AX1267" s="265" t="s">
        <v>1476</v>
      </c>
      <c r="AY1267" s="16" t="s">
        <v>1477</v>
      </c>
      <c r="AZ1267" s="264" t="s">
        <v>1478</v>
      </c>
      <c r="BA1267" s="265" t="s">
        <v>1476</v>
      </c>
      <c r="BB1267" s="16" t="s">
        <v>1477</v>
      </c>
      <c r="BC1267" s="264" t="s">
        <v>1478</v>
      </c>
      <c r="BD1267" s="265" t="s">
        <v>1476</v>
      </c>
      <c r="BE1267" s="16" t="s">
        <v>1477</v>
      </c>
      <c r="BF1267" s="16" t="s">
        <v>1478</v>
      </c>
      <c r="BG1267" s="264"/>
      <c r="BP1267" s="16"/>
      <c r="BQ1267" s="16"/>
    </row>
    <row r="1268" spans="3:69">
      <c r="C1268" s="8" t="s">
        <v>161</v>
      </c>
      <c r="D1268" s="81">
        <v>0</v>
      </c>
      <c r="E1268" s="254">
        <v>5.6032E-3</v>
      </c>
      <c r="F1268" s="103">
        <f>E1268*$E$120</f>
        <v>7.7884480000000005E-4</v>
      </c>
      <c r="G1268" s="244">
        <f>E1268*$E$149</f>
        <v>0</v>
      </c>
      <c r="H1268" s="254">
        <v>1.0408999999999999</v>
      </c>
      <c r="I1268" s="8">
        <f>H1268*E120</f>
        <v>0.14468510000000001</v>
      </c>
      <c r="J1268" s="255">
        <f>H1268*$E$149</f>
        <v>0</v>
      </c>
      <c r="K1268" s="263">
        <v>2.018E-2</v>
      </c>
      <c r="L1268" s="8">
        <f>K1268*E120</f>
        <v>2.8050200000000001E-3</v>
      </c>
      <c r="M1268" s="255">
        <f>K1268*$E$149</f>
        <v>0</v>
      </c>
      <c r="N1268" s="263">
        <v>2.8031E-2</v>
      </c>
      <c r="O1268" s="8">
        <f>N1268*E120</f>
        <v>3.8963090000000006E-3</v>
      </c>
      <c r="P1268" s="255">
        <f>N1268*$E$149</f>
        <v>0</v>
      </c>
      <c r="Q1268" s="263">
        <v>0.54515000000000002</v>
      </c>
      <c r="R1268" s="8">
        <f>Q1268*E120</f>
        <v>7.5775850000000006E-2</v>
      </c>
      <c r="S1268" s="255">
        <f>Q1268*$E$149</f>
        <v>0</v>
      </c>
      <c r="T1268" s="263">
        <v>0.26751000000000003</v>
      </c>
      <c r="U1268" s="8">
        <f>T1268*E120</f>
        <v>3.7183890000000004E-2</v>
      </c>
      <c r="V1268" s="255">
        <f>T1268*$E$149</f>
        <v>0</v>
      </c>
      <c r="W1268" s="254">
        <v>5.6092000000000002E-4</v>
      </c>
      <c r="X1268" s="103">
        <f>W1268*$E$120</f>
        <v>7.7967880000000015E-5</v>
      </c>
      <c r="Y1268" s="255">
        <f>W1268*$E$149</f>
        <v>0</v>
      </c>
      <c r="Z1268" s="254">
        <v>3.7215999999999997E-5</v>
      </c>
      <c r="AA1268" s="103">
        <f>Z1268*$E$120</f>
        <v>5.1730240000000001E-6</v>
      </c>
      <c r="AB1268" s="255">
        <f>Z1268*$E$149</f>
        <v>0</v>
      </c>
      <c r="AC1268" s="263">
        <v>5.3111999999999999E-2</v>
      </c>
      <c r="AD1268" s="103">
        <f>AC1268*$E$120</f>
        <v>7.3825680000000008E-3</v>
      </c>
      <c r="AE1268" s="255">
        <f>AC1268*$E$149</f>
        <v>0</v>
      </c>
      <c r="AF1268" s="263">
        <v>1.0855999999999999</v>
      </c>
      <c r="AG1268" s="8">
        <f>AF1268*E120</f>
        <v>0.15089839999999999</v>
      </c>
      <c r="AH1268" s="255">
        <f>AF1268*$E$149</f>
        <v>0</v>
      </c>
      <c r="AI1268" s="263">
        <v>6.3512999999999998E-3</v>
      </c>
      <c r="AJ1268" s="103">
        <f>AI1268*$E$120</f>
        <v>8.8283070000000005E-4</v>
      </c>
      <c r="AK1268" s="255">
        <f>AI1268*$E$149</f>
        <v>0</v>
      </c>
      <c r="AL1268" s="263">
        <v>9.5005000000000003E-3</v>
      </c>
      <c r="AM1268" s="103">
        <f>AL1268*$E$120</f>
        <v>1.3205695000000001E-3</v>
      </c>
      <c r="AN1268" s="255">
        <f>AL1268*$E$149</f>
        <v>0</v>
      </c>
      <c r="AO1268" s="241">
        <v>2.2309000000000001E-3</v>
      </c>
      <c r="AP1268" s="8">
        <f>AO1268*E120</f>
        <v>3.1009510000000001E-4</v>
      </c>
      <c r="AQ1268" s="262">
        <f>E149*AO1268</f>
        <v>0</v>
      </c>
      <c r="AR1268" s="263">
        <v>1.1424E-7</v>
      </c>
      <c r="AS1268" s="103">
        <f>AR1268*$E$120</f>
        <v>1.5879360000000002E-8</v>
      </c>
      <c r="AT1268" s="244">
        <f>AR1268*$E$149</f>
        <v>0</v>
      </c>
      <c r="AU1268" s="263">
        <v>1.8818000000000001E-3</v>
      </c>
      <c r="AV1268" s="103">
        <f>AU1268*$E$120</f>
        <v>2.6157020000000005E-4</v>
      </c>
      <c r="AW1268" s="244">
        <f>AU1268*$E$149</f>
        <v>0</v>
      </c>
      <c r="AX1268" s="263">
        <v>2.5374E-3</v>
      </c>
      <c r="AY1268" s="103">
        <f>AX1268*$E$120</f>
        <v>3.5269860000000002E-4</v>
      </c>
      <c r="AZ1268" s="244">
        <f>AX1268*$E$149</f>
        <v>0</v>
      </c>
      <c r="BA1268" s="263">
        <v>2.5565000000000002E-3</v>
      </c>
      <c r="BB1268" s="103">
        <f>BA1268*$E$120</f>
        <v>3.5535350000000005E-4</v>
      </c>
      <c r="BC1268" s="244">
        <f>BA1268*$E$149</f>
        <v>0</v>
      </c>
      <c r="BD1268" s="239">
        <v>1.7715000000000001E-3</v>
      </c>
      <c r="BE1268" s="8">
        <f>BD1268*E120</f>
        <v>2.4623850000000003E-4</v>
      </c>
      <c r="BF1268" s="232">
        <f>E149*BD1268</f>
        <v>0</v>
      </c>
      <c r="BG1268" s="236" t="s">
        <v>1468</v>
      </c>
    </row>
    <row r="1269" spans="3:69">
      <c r="C1269" s="8" t="s">
        <v>162</v>
      </c>
      <c r="D1269" s="81">
        <v>0</v>
      </c>
      <c r="E1269" s="253">
        <v>1.4352E-2</v>
      </c>
      <c r="F1269" s="103">
        <f>E1269*$E$122</f>
        <v>1.0763999999999999E-3</v>
      </c>
      <c r="G1269" s="244">
        <f>E1269*$E$151</f>
        <v>0</v>
      </c>
      <c r="H1269" s="253">
        <v>0.99426000000000003</v>
      </c>
      <c r="I1269" s="8">
        <f>H1269*E122</f>
        <v>7.4569499999999997E-2</v>
      </c>
      <c r="J1269" s="255">
        <f>H1269*$E$151</f>
        <v>0</v>
      </c>
      <c r="K1269" s="263">
        <v>2.5252E-3</v>
      </c>
      <c r="L1269" s="8">
        <f>K1269*E122</f>
        <v>1.8939E-4</v>
      </c>
      <c r="M1269" s="255">
        <f>K1269*$E$151</f>
        <v>0</v>
      </c>
      <c r="N1269" s="263">
        <v>5.5931000000000002E-3</v>
      </c>
      <c r="O1269" s="8">
        <f>N1269*E122</f>
        <v>4.194825E-4</v>
      </c>
      <c r="P1269" s="255">
        <f>N1269*$E$151</f>
        <v>0</v>
      </c>
      <c r="Q1269" s="263">
        <v>2.5863</v>
      </c>
      <c r="R1269" s="8">
        <f>Q1269*E122</f>
        <v>0.19397249999999999</v>
      </c>
      <c r="S1269" s="255">
        <f>Q1269*$E$151</f>
        <v>0</v>
      </c>
      <c r="T1269" s="263">
        <v>0.27660000000000001</v>
      </c>
      <c r="U1269" s="8">
        <f>T1269*E122</f>
        <v>2.0745E-2</v>
      </c>
      <c r="V1269" s="255">
        <f>T1269*$E$151</f>
        <v>0</v>
      </c>
      <c r="W1269" s="253">
        <v>1.2931999999999999E-5</v>
      </c>
      <c r="X1269" s="103">
        <f>W1269*$E$122</f>
        <v>9.6989999999999981E-7</v>
      </c>
      <c r="Y1269" s="255">
        <f>W1269*$E$151</f>
        <v>0</v>
      </c>
      <c r="Z1269" s="253">
        <v>4.6081999999999997E-5</v>
      </c>
      <c r="AA1269" s="103">
        <f>Z1269*$E$122</f>
        <v>3.4561499999999995E-6</v>
      </c>
      <c r="AB1269" s="255">
        <f>Z1269*$E$151</f>
        <v>0</v>
      </c>
      <c r="AC1269" s="263">
        <v>9.9716000000000006E-3</v>
      </c>
      <c r="AD1269" s="103">
        <f>AC1269*$E$122</f>
        <v>7.4786999999999998E-4</v>
      </c>
      <c r="AE1269" s="255">
        <f>AC1269*$E$151</f>
        <v>0</v>
      </c>
      <c r="AF1269" s="263">
        <v>7.7690999999999996E-2</v>
      </c>
      <c r="AG1269" s="8">
        <f>AF1269*E122</f>
        <v>5.8268249999999999E-3</v>
      </c>
      <c r="AH1269" s="255">
        <f>AF1269*$E$151</f>
        <v>0</v>
      </c>
      <c r="AI1269" s="263">
        <v>4.4643E-3</v>
      </c>
      <c r="AJ1269" s="103">
        <f>AI1269*$E$122</f>
        <v>3.3482249999999998E-4</v>
      </c>
      <c r="AK1269" s="255">
        <f>AI1269*$E$151</f>
        <v>0</v>
      </c>
      <c r="AL1269" s="263">
        <v>1.8655E-3</v>
      </c>
      <c r="AM1269" s="103">
        <f>AL1269*$E$122</f>
        <v>1.3991249999999999E-4</v>
      </c>
      <c r="AN1269" s="255">
        <f>AL1269*$E$151</f>
        <v>0</v>
      </c>
      <c r="AO1269" s="241">
        <v>3.2997999999999999E-3</v>
      </c>
      <c r="AP1269" s="8">
        <f>AO1269*E122</f>
        <v>2.4748499999999998E-4</v>
      </c>
      <c r="AQ1269" s="262">
        <f>E151*AO1269</f>
        <v>0</v>
      </c>
      <c r="AR1269" s="263">
        <v>4.8238999999999997E-7</v>
      </c>
      <c r="AS1269" s="103">
        <f>AR1269*$E$122</f>
        <v>3.6179249999999996E-8</v>
      </c>
      <c r="AT1269" s="244">
        <f>AR1269*$E$151</f>
        <v>0</v>
      </c>
      <c r="AU1269" s="263">
        <v>4.2759E-3</v>
      </c>
      <c r="AV1269" s="103">
        <f>AU1269*$E$122</f>
        <v>3.2069249999999998E-4</v>
      </c>
      <c r="AW1269" s="244">
        <f>AU1269*$E$151</f>
        <v>0</v>
      </c>
      <c r="AX1269" s="263">
        <v>2.4586E-3</v>
      </c>
      <c r="AY1269" s="103">
        <f>AX1269*$E$122</f>
        <v>1.8439499999999999E-4</v>
      </c>
      <c r="AZ1269" s="244">
        <f>AX1269*$E$151</f>
        <v>0</v>
      </c>
      <c r="BA1269" s="263">
        <v>2.6115999999999999E-3</v>
      </c>
      <c r="BB1269" s="103">
        <f>BA1269*$E$122</f>
        <v>1.9586999999999998E-4</v>
      </c>
      <c r="BC1269" s="244">
        <f>BA1269*$E$151</f>
        <v>0</v>
      </c>
      <c r="BD1269" s="239">
        <v>1.2248000000000001E-3</v>
      </c>
      <c r="BE1269" s="8">
        <f>BD1269*E122</f>
        <v>9.1860000000000005E-5</v>
      </c>
      <c r="BF1269" s="232">
        <f>E151*BD1269</f>
        <v>0</v>
      </c>
      <c r="BG1269" s="236" t="s">
        <v>1469</v>
      </c>
    </row>
    <row r="1270" spans="3:69">
      <c r="C1270" s="8" t="s">
        <v>164</v>
      </c>
      <c r="D1270" s="240">
        <f>D1281-(D1279+D1271)</f>
        <v>10179.383670000003</v>
      </c>
      <c r="E1270" s="253">
        <v>1.1471E-4</v>
      </c>
      <c r="F1270" s="103">
        <f>E1270*$E$124</f>
        <v>5.5749060000000002E-5</v>
      </c>
      <c r="G1270" s="244">
        <f>E1270*$E$153</f>
        <v>2.0960052820902074E-5</v>
      </c>
      <c r="H1270" s="253">
        <v>0.39560000000000001</v>
      </c>
      <c r="I1270" s="8">
        <f>H1270*E124</f>
        <v>0.1922616</v>
      </c>
      <c r="J1270" s="255">
        <f>H1270*$E$153</f>
        <v>7.2284865277210883E-2</v>
      </c>
      <c r="K1270" s="263">
        <v>6.7774999999999997E-4</v>
      </c>
      <c r="L1270" s="8">
        <f>K1270*E124</f>
        <v>3.2938649999999999E-4</v>
      </c>
      <c r="M1270" s="255">
        <f>K1270*$E$153</f>
        <v>1.2383990758753707E-4</v>
      </c>
      <c r="N1270" s="263">
        <v>1.0361999999999999E-3</v>
      </c>
      <c r="O1270" s="8">
        <f>N1270*E124</f>
        <v>5.0359319999999995E-4</v>
      </c>
      <c r="P1270" s="255">
        <f>N1270*$E$153</f>
        <v>1.8933664661336175E-4</v>
      </c>
      <c r="Q1270" s="263">
        <v>5.7965000000000003E-2</v>
      </c>
      <c r="R1270" s="8">
        <f>Q1270*E124</f>
        <v>2.817099E-2</v>
      </c>
      <c r="S1270" s="255">
        <f>Q1270*$E$153</f>
        <v>1.0591486895332479E-2</v>
      </c>
      <c r="T1270" s="263">
        <v>0.16385</v>
      </c>
      <c r="U1270" s="8">
        <f>T1270*E124</f>
        <v>7.9631099999999996E-2</v>
      </c>
      <c r="V1270" s="255">
        <f>T1270*$E$153</f>
        <v>2.9939017127580896E-2</v>
      </c>
      <c r="W1270" s="253">
        <v>3.0232000000000001E-6</v>
      </c>
      <c r="X1270" s="103">
        <f>W1270*$E$124</f>
        <v>1.4692752000000001E-6</v>
      </c>
      <c r="Y1270" s="255">
        <f>W1270*$E$153</f>
        <v>5.5240547195668331E-7</v>
      </c>
      <c r="Z1270" s="253">
        <v>6.1335000000000002E-7</v>
      </c>
      <c r="AA1270" s="103">
        <f>Z1270*$E$124</f>
        <v>2.9808809999999998E-7</v>
      </c>
      <c r="AB1270" s="255">
        <f>Z1270*$E$153</f>
        <v>1.1207260393775857E-7</v>
      </c>
      <c r="AC1270" s="263">
        <v>3.5588E-3</v>
      </c>
      <c r="AD1270" s="103">
        <f>AC1270*$E$124</f>
        <v>1.7295767999999999E-3</v>
      </c>
      <c r="AE1270" s="255">
        <f>AC1270*$E$153</f>
        <v>6.5027143212471709E-4</v>
      </c>
      <c r="AF1270" s="263">
        <v>1.1074000000000001E-2</v>
      </c>
      <c r="AG1270" s="8">
        <f>AF1270*E124</f>
        <v>5.3819640000000004E-3</v>
      </c>
      <c r="AH1270" s="255">
        <f>AF1270*$E$153</f>
        <v>2.0234646058640881E-3</v>
      </c>
      <c r="AI1270" s="263">
        <v>1.1917E-3</v>
      </c>
      <c r="AJ1270" s="103">
        <f>AI1270*$E$124</f>
        <v>5.7916619999999995E-4</v>
      </c>
      <c r="AK1270" s="255">
        <f>AI1270*$E$153</f>
        <v>2.1774993415281141E-4</v>
      </c>
      <c r="AL1270" s="263">
        <v>3.301E-4</v>
      </c>
      <c r="AM1270" s="103">
        <f>AL1270*$E$124</f>
        <v>1.6042859999999999E-4</v>
      </c>
      <c r="AN1270" s="255">
        <f>AL1270*$E$153</f>
        <v>6.0316567310433036E-5</v>
      </c>
      <c r="AO1270" s="241">
        <v>1.3687E-3</v>
      </c>
      <c r="AP1270" s="8">
        <f>AO1270*E124</f>
        <v>6.651882E-4</v>
      </c>
      <c r="AQ1270" s="262">
        <f>E153*AO1270</f>
        <v>2.5009174697906603E-4</v>
      </c>
      <c r="AR1270" s="263">
        <v>1.1454000000000001E-7</v>
      </c>
      <c r="AS1270" s="103">
        <f>AR1270*$E$124</f>
        <v>5.5666439999999998E-8</v>
      </c>
      <c r="AT1270" s="244">
        <f>AR1270*$E$153</f>
        <v>2.0928990062820359E-8</v>
      </c>
      <c r="AU1270" s="263">
        <v>4.5225999999999997E-5</v>
      </c>
      <c r="AV1270" s="103">
        <f>AU1270*$E$124</f>
        <v>2.1979835999999998E-5</v>
      </c>
      <c r="AW1270" s="244">
        <f>AU1270*$E$153</f>
        <v>8.2637899823739607E-6</v>
      </c>
      <c r="AX1270" s="263">
        <v>2.7226000000000003E-4</v>
      </c>
      <c r="AY1270" s="103">
        <f>AX1270*$E$124</f>
        <v>1.3231836E-4</v>
      </c>
      <c r="AZ1270" s="244">
        <f>AX1270*$E$153</f>
        <v>4.9747920678395945E-5</v>
      </c>
      <c r="BA1270" s="263">
        <v>2.8793999999999998E-4</v>
      </c>
      <c r="BB1270" s="103">
        <f>BA1270*$E$124</f>
        <v>1.3993883999999999E-4</v>
      </c>
      <c r="BC1270" s="244">
        <f>BA1270*$E$153</f>
        <v>5.2613003306168096E-5</v>
      </c>
      <c r="BD1270" s="239">
        <v>6.5291000000000004E-4</v>
      </c>
      <c r="BE1270" s="8">
        <f>BD1270*E124</f>
        <v>3.1731426000000001E-4</v>
      </c>
      <c r="BF1270" s="232">
        <f>E153*BD1270</f>
        <v>1.1930109046547966E-4</v>
      </c>
      <c r="BG1270" s="236" t="s">
        <v>1467</v>
      </c>
    </row>
    <row r="1271" spans="3:69">
      <c r="C1271" s="8" t="s">
        <v>514</v>
      </c>
      <c r="D1271" s="240">
        <f>E126*F1301</f>
        <v>962.54531999999995</v>
      </c>
      <c r="E1271" s="254">
        <v>2.1704000000000001E-5</v>
      </c>
      <c r="F1271" s="103">
        <f>E1271*$E$126</f>
        <v>3.9067199999999999E-7</v>
      </c>
      <c r="G1271" s="244">
        <f>E1271*$E$155</f>
        <v>3.7499940349700607E-7</v>
      </c>
      <c r="H1271" s="254">
        <v>5.3315000000000003E-3</v>
      </c>
      <c r="I1271" s="8">
        <f>H1271*E126</f>
        <v>9.5966999999999998E-5</v>
      </c>
      <c r="J1271" s="255">
        <f>H1271*$E$155</f>
        <v>9.211708992555695E-5</v>
      </c>
      <c r="K1271" s="263">
        <v>2.4026999999999998E-3</v>
      </c>
      <c r="L1271" s="8">
        <f>K1271*E126</f>
        <v>4.3248599999999991E-5</v>
      </c>
      <c r="M1271" s="255">
        <f>K1271*$E$155</f>
        <v>4.1513595041570976E-5</v>
      </c>
      <c r="N1271" s="263">
        <v>3.1513999999999999E-3</v>
      </c>
      <c r="O1271" s="8">
        <f>N1271*E126</f>
        <v>5.6725199999999997E-5</v>
      </c>
      <c r="P1271" s="255">
        <f>N1271*$E$155</f>
        <v>5.4449554007577633E-5</v>
      </c>
      <c r="Q1271" s="263">
        <v>2.6553E-2</v>
      </c>
      <c r="R1271" s="8">
        <f>Q1271*E126</f>
        <v>4.7795399999999994E-4</v>
      </c>
      <c r="S1271" s="255">
        <f>Q1271*$E$155</f>
        <v>4.5877990974272032E-4</v>
      </c>
      <c r="T1271" s="263">
        <v>9.3032E-4</v>
      </c>
      <c r="U1271" s="8">
        <f>T1271*E126</f>
        <v>1.6745759999999999E-5</v>
      </c>
      <c r="V1271" s="255">
        <f>T1271*$E$155</f>
        <v>1.6073970008354896E-5</v>
      </c>
      <c r="W1271" s="254">
        <v>1.0502E-5</v>
      </c>
      <c r="X1271" s="103">
        <f>W1271*$E$126</f>
        <v>1.89036E-7</v>
      </c>
      <c r="Y1271" s="255">
        <f>W1271*$E$155</f>
        <v>1.8145243897556017E-7</v>
      </c>
      <c r="Z1271" s="254">
        <v>1.4264E-6</v>
      </c>
      <c r="AA1271" s="103">
        <f>Z1271*$E$126</f>
        <v>2.5675199999999998E-8</v>
      </c>
      <c r="AB1271" s="255">
        <f>Z1271*$E$155</f>
        <v>2.4645187483787755E-8</v>
      </c>
      <c r="AC1271" s="263">
        <v>2.1454E-3</v>
      </c>
      <c r="AD1271" s="103">
        <f>AC1271*$E$126</f>
        <v>3.86172E-5</v>
      </c>
      <c r="AE1271" s="255">
        <f>AC1271*$E$155</f>
        <v>3.7067993008776114E-5</v>
      </c>
      <c r="AF1271" s="263">
        <v>6.1870000000000001E-2</v>
      </c>
      <c r="AG1271" s="8">
        <f>AF1271*E126</f>
        <v>1.11366E-3</v>
      </c>
      <c r="AH1271" s="255">
        <f>AF1271*$E$155</f>
        <v>1.0689832793199302E-3</v>
      </c>
      <c r="AI1271" s="263">
        <v>5.4663000000000002E-5</v>
      </c>
      <c r="AJ1271" s="103">
        <f>AI1271*$E$126</f>
        <v>9.839339999999999E-7</v>
      </c>
      <c r="AK1271" s="255">
        <f>AI1271*$E$155</f>
        <v>9.4446149987821796E-7</v>
      </c>
      <c r="AL1271" s="263">
        <v>1.2178E-4</v>
      </c>
      <c r="AM1271" s="103">
        <f>AL1271*$E$126</f>
        <v>2.1920399999999998E-6</v>
      </c>
      <c r="AN1271" s="255">
        <f>AL1271*$E$155</f>
        <v>2.1041018871113802E-6</v>
      </c>
      <c r="AO1271" s="241">
        <v>1.4919999999999999E-4</v>
      </c>
      <c r="AP1271" s="8">
        <f>AO1271*E126</f>
        <v>2.6855999999999997E-6</v>
      </c>
      <c r="AQ1271" s="262">
        <f>E155*AO1271</f>
        <v>2.577861730637362E-6</v>
      </c>
      <c r="AR1271" s="263">
        <v>6.7340000000000006E-8</v>
      </c>
      <c r="AS1271" s="103">
        <f>AR1271*$E$126</f>
        <v>1.2121199999999999E-9</v>
      </c>
      <c r="AT1271" s="244">
        <f>AR1271*$E$155</f>
        <v>1.1634933575142089E-9</v>
      </c>
      <c r="AU1271" s="263">
        <v>8.2287999999999999E-6</v>
      </c>
      <c r="AV1271" s="103">
        <f>AU1271*$E$126</f>
        <v>1.481184E-7</v>
      </c>
      <c r="AW1271" s="244">
        <f>AU1271*$E$155</f>
        <v>1.4217633115997805E-7</v>
      </c>
      <c r="AX1271" s="263">
        <v>4.0692999999999998E-5</v>
      </c>
      <c r="AY1271" s="103">
        <f>AX1271*$E$126</f>
        <v>7.3247399999999989E-7</v>
      </c>
      <c r="AZ1271" s="244">
        <f>AX1271*$E$155</f>
        <v>7.0308932576961235E-7</v>
      </c>
      <c r="BA1271" s="263">
        <v>4.1202000000000003E-5</v>
      </c>
      <c r="BB1271" s="103">
        <f>BA1271*$E$126</f>
        <v>7.4163599999999996E-7</v>
      </c>
      <c r="BC1271" s="244">
        <f>BA1271*$E$155</f>
        <v>7.1188377363083511E-7</v>
      </c>
      <c r="BD1271" s="239">
        <v>1.9696000000000001E-4</v>
      </c>
      <c r="BE1271" s="8">
        <f>BD1271*E126</f>
        <v>3.54528E-6</v>
      </c>
      <c r="BF1271" s="232">
        <f>E155*BD1271</f>
        <v>3.4030539307395098E-6</v>
      </c>
      <c r="BG1271" s="236" t="s">
        <v>1470</v>
      </c>
    </row>
    <row r="1272" spans="3:69">
      <c r="C1272" s="8" t="s">
        <v>168</v>
      </c>
      <c r="D1272" s="81">
        <v>0</v>
      </c>
      <c r="E1272" s="254">
        <v>2.3126000000000002E-3</v>
      </c>
      <c r="F1272" s="103">
        <f>E1272*$E$128</f>
        <v>3.4688999999999999E-5</v>
      </c>
      <c r="G1272" s="244">
        <f>E1272*$E$157</f>
        <v>0</v>
      </c>
      <c r="H1272" s="254">
        <v>1.0178</v>
      </c>
      <c r="I1272" s="8">
        <f>H1272*E128</f>
        <v>1.5266999999999999E-2</v>
      </c>
      <c r="J1272" s="255">
        <f>H1272*$E$157</f>
        <v>0</v>
      </c>
      <c r="K1272" s="263">
        <v>3.1908000000000001E-3</v>
      </c>
      <c r="L1272" s="8">
        <f>K1272*E128</f>
        <v>4.7862000000000004E-5</v>
      </c>
      <c r="M1272" s="255">
        <f>K1272*$E$157</f>
        <v>0</v>
      </c>
      <c r="N1272" s="263">
        <v>4.3715000000000004E-3</v>
      </c>
      <c r="O1272" s="8">
        <f>N1272*E128</f>
        <v>6.557250000000001E-5</v>
      </c>
      <c r="P1272" s="255">
        <f>N1272*$E$157</f>
        <v>0</v>
      </c>
      <c r="Q1272" s="263">
        <v>0.17519999999999999</v>
      </c>
      <c r="R1272" s="8">
        <f>Q1272*E128</f>
        <v>2.6279999999999997E-3</v>
      </c>
      <c r="S1272" s="255">
        <f>Q1272*$E$157</f>
        <v>0</v>
      </c>
      <c r="T1272" s="263">
        <v>0.24041999999999999</v>
      </c>
      <c r="U1272" s="8">
        <f>T1272*E128</f>
        <v>3.6062999999999998E-3</v>
      </c>
      <c r="V1272" s="255">
        <f>T1272*$E$157</f>
        <v>0</v>
      </c>
      <c r="W1272" s="254">
        <v>8.3907000000000008E-6</v>
      </c>
      <c r="X1272" s="103">
        <f>W1272*$E$128</f>
        <v>1.258605E-7</v>
      </c>
      <c r="Y1272" s="255">
        <f>W1272*$E$157</f>
        <v>0</v>
      </c>
      <c r="Z1272" s="254">
        <v>7.8439999999999996E-7</v>
      </c>
      <c r="AA1272" s="103">
        <f>Z1272*$E$128</f>
        <v>1.1765999999999999E-8</v>
      </c>
      <c r="AB1272" s="255">
        <f>Z1272*$E$157</f>
        <v>0</v>
      </c>
      <c r="AC1272" s="263">
        <v>7.9267999999999995E-3</v>
      </c>
      <c r="AD1272" s="103">
        <f>AC1272*$E$128</f>
        <v>1.1890199999999999E-4</v>
      </c>
      <c r="AE1272" s="255">
        <f>AC1272*$E$157</f>
        <v>0</v>
      </c>
      <c r="AF1272" s="263">
        <v>0.14882000000000001</v>
      </c>
      <c r="AG1272" s="8">
        <f>AF1272*E128</f>
        <v>2.2323E-3</v>
      </c>
      <c r="AH1272" s="255">
        <f>AF1272*$E$157</f>
        <v>0</v>
      </c>
      <c r="AI1272" s="263">
        <v>4.6131999999999996E-3</v>
      </c>
      <c r="AJ1272" s="103">
        <f>AI1272*$E$128</f>
        <v>6.9197999999999997E-5</v>
      </c>
      <c r="AK1272" s="255">
        <f>AI1272*$E$157</f>
        <v>0</v>
      </c>
      <c r="AL1272" s="263">
        <v>1.5122E-3</v>
      </c>
      <c r="AM1272" s="103">
        <f>AL1272*$E$128</f>
        <v>2.2682999999999999E-5</v>
      </c>
      <c r="AN1272" s="255">
        <f>AL1272*$E$157</f>
        <v>0</v>
      </c>
      <c r="AO1272" s="241">
        <v>7.5518000000000004E-4</v>
      </c>
      <c r="AP1272" s="8">
        <f>AO1272*E128</f>
        <v>1.13277E-5</v>
      </c>
      <c r="AQ1272" s="262">
        <f>E157*AO1272</f>
        <v>0</v>
      </c>
      <c r="AR1272" s="263">
        <v>2.7393000000000002E-7</v>
      </c>
      <c r="AS1272" s="103">
        <f>AR1272*$E$128</f>
        <v>4.1089500000000004E-9</v>
      </c>
      <c r="AT1272" s="244">
        <f>AR1272*$E$157</f>
        <v>0</v>
      </c>
      <c r="AU1272" s="263">
        <v>8.5231E-4</v>
      </c>
      <c r="AV1272" s="103">
        <f>AU1272*$E$128</f>
        <v>1.278465E-5</v>
      </c>
      <c r="AW1272" s="244">
        <f>AU1272*$E$157</f>
        <v>0</v>
      </c>
      <c r="AX1272" s="263">
        <v>1.1774000000000001E-3</v>
      </c>
      <c r="AY1272" s="103">
        <f>AX1272*$E$128</f>
        <v>1.7661000000000003E-5</v>
      </c>
      <c r="AZ1272" s="244">
        <f>AX1272*$E$157</f>
        <v>0</v>
      </c>
      <c r="BA1272" s="263">
        <v>1.1800000000000001E-3</v>
      </c>
      <c r="BB1272" s="103">
        <f>BA1272*$E$128</f>
        <v>1.77E-5</v>
      </c>
      <c r="BC1272" s="244">
        <f>BA1272*$E$157</f>
        <v>0</v>
      </c>
      <c r="BD1272" s="239">
        <v>2.3216000000000001E-3</v>
      </c>
      <c r="BE1272" s="8">
        <f>BD1272*E128</f>
        <v>3.4823999999999997E-5</v>
      </c>
      <c r="BF1272" s="232">
        <f>E157*BD1272</f>
        <v>0</v>
      </c>
      <c r="BG1272" s="236" t="s">
        <v>1471</v>
      </c>
    </row>
    <row r="1273" spans="3:69">
      <c r="C1273" s="8" t="s">
        <v>1473</v>
      </c>
      <c r="D1273" s="240">
        <f>J1257*365*24*K1257</f>
        <v>18290.88</v>
      </c>
      <c r="E1273" s="254">
        <v>1.8944E-4</v>
      </c>
      <c r="F1273" s="103">
        <f>E1273*$E$130</f>
        <v>3.2962559999999999E-5</v>
      </c>
      <c r="G1273" s="244">
        <f>E1273*$E$159</f>
        <v>6.2197924799375345E-5</v>
      </c>
      <c r="H1273" s="254">
        <v>2.3019999999999999E-2</v>
      </c>
      <c r="I1273" s="8">
        <f>H1273*E130</f>
        <v>4.0054799999999996E-3</v>
      </c>
      <c r="J1273" s="255">
        <f>H1273*$E$159</f>
        <v>7.5580459717146335E-3</v>
      </c>
      <c r="K1273" s="263">
        <v>4.7286000000000002E-2</v>
      </c>
      <c r="L1273" s="8">
        <f>K1273*E130</f>
        <v>8.2277640000000003E-3</v>
      </c>
      <c r="M1273" s="255">
        <f>K1273*$E$159</f>
        <v>1.5525185135469079E-2</v>
      </c>
      <c r="N1273" s="263">
        <v>5.7647999999999998E-2</v>
      </c>
      <c r="O1273" s="8">
        <f>N1273*E130</f>
        <v>1.0030751999999999E-2</v>
      </c>
      <c r="P1273" s="255">
        <f>N1273*$E$159</f>
        <v>1.8927290798323424E-2</v>
      </c>
      <c r="Q1273" s="263">
        <v>1.1664000000000001</v>
      </c>
      <c r="R1273" s="8">
        <f>Q1273*E130</f>
        <v>0.20295360000000001</v>
      </c>
      <c r="S1273" s="255">
        <f>Q1273*$E$159</f>
        <v>0.38295850657723501</v>
      </c>
      <c r="T1273" s="263">
        <v>5.5133999999999999E-3</v>
      </c>
      <c r="U1273" s="8">
        <f>T1273*E130</f>
        <v>9.5933159999999989E-4</v>
      </c>
      <c r="V1273" s="255">
        <f>T1273*$E$159</f>
        <v>1.8101881259970228E-3</v>
      </c>
      <c r="W1273" s="254">
        <v>2.1126000000000001E-5</v>
      </c>
      <c r="X1273" s="103">
        <f>W1273*$E$130</f>
        <v>3.6759240000000001E-6</v>
      </c>
      <c r="Y1273" s="255">
        <f>W1273*$E$159</f>
        <v>6.9361980537985829E-6</v>
      </c>
      <c r="Z1273" s="254">
        <v>1.5813E-6</v>
      </c>
      <c r="AA1273" s="103">
        <f>Z1273*$E$130</f>
        <v>2.7514620000000001E-7</v>
      </c>
      <c r="AB1273" s="255">
        <f>Z1273*$E$159</f>
        <v>5.1918062967299528E-7</v>
      </c>
      <c r="AC1273" s="263">
        <v>1.1755E-2</v>
      </c>
      <c r="AD1273" s="103">
        <f>AC1273*$E$130</f>
        <v>2.0453699999999999E-3</v>
      </c>
      <c r="AE1273" s="255">
        <f>AC1273*$E$159</f>
        <v>3.8594626584494145E-3</v>
      </c>
      <c r="AF1273" s="263">
        <v>0.19917000000000001</v>
      </c>
      <c r="AG1273" s="8">
        <f>AF1273*E130</f>
        <v>3.4655579999999998E-2</v>
      </c>
      <c r="AH1273" s="255">
        <f>AF1273*$E$159</f>
        <v>6.53925289394615E-2</v>
      </c>
      <c r="AI1273" s="263">
        <v>9.3210999999999999E-4</v>
      </c>
      <c r="AJ1273" s="103">
        <f>AI1273*$E$130</f>
        <v>1.6218713999999998E-4</v>
      </c>
      <c r="AK1273" s="255">
        <f>AI1273*$E$159</f>
        <v>3.06035196815592E-4</v>
      </c>
      <c r="AL1273" s="263">
        <v>1.1536000000000001E-3</v>
      </c>
      <c r="AM1273" s="103">
        <f>AL1273*$E$130</f>
        <v>2.007264E-4</v>
      </c>
      <c r="AN1273" s="255">
        <f>AL1273*$E$159</f>
        <v>3.7875594409079072E-4</v>
      </c>
      <c r="AO1273" s="241">
        <v>3.4077000000000001E-3</v>
      </c>
      <c r="AP1273" s="8">
        <f>AO1273*E130</f>
        <v>5.9293979999999996E-4</v>
      </c>
      <c r="AQ1273" s="262">
        <f>E159*AO1273</f>
        <v>1.1188337644575134E-3</v>
      </c>
      <c r="AR1273" s="263">
        <v>8.3646000000000007E-9</v>
      </c>
      <c r="AS1273" s="103">
        <f>AR1273*$E$130</f>
        <v>1.4554404E-9</v>
      </c>
      <c r="AT1273" s="244">
        <f>AR1273*$E$159</f>
        <v>2.7463089198524863E-9</v>
      </c>
      <c r="AU1273" s="263">
        <v>7.5715000000000003E-5</v>
      </c>
      <c r="AV1273" s="103">
        <f>AU1273*$E$130</f>
        <v>1.3174409999999999E-5</v>
      </c>
      <c r="AW1273" s="244">
        <f>AU1273*$E$159</f>
        <v>2.4859142082900675E-5</v>
      </c>
      <c r="AX1273" s="263">
        <v>7.8758999999999996E-5</v>
      </c>
      <c r="AY1273" s="103">
        <f>AX1273*$E$130</f>
        <v>1.3704065999999998E-5</v>
      </c>
      <c r="AZ1273" s="244">
        <f>AX1273*$E$159</f>
        <v>2.5858563974208204E-5</v>
      </c>
      <c r="BA1273" s="263">
        <v>8.2439000000000001E-5</v>
      </c>
      <c r="BB1273" s="103">
        <f>BA1273*$E$130</f>
        <v>1.4344385999999999E-5</v>
      </c>
      <c r="BC1273" s="244">
        <f>BA1273*$E$159</f>
        <v>2.7066800689060936E-5</v>
      </c>
      <c r="BD1273" s="239">
        <v>2.1582E-4</v>
      </c>
      <c r="BE1273" s="8">
        <f>BD1273*E130</f>
        <v>3.7552679999999996E-5</v>
      </c>
      <c r="BF1273" s="232">
        <f>E159*BD1273</f>
        <v>7.0859143423781593E-5</v>
      </c>
      <c r="BG1273" s="236" t="s">
        <v>1463</v>
      </c>
    </row>
    <row r="1274" spans="3:69">
      <c r="C1274" s="8" t="s">
        <v>1462</v>
      </c>
      <c r="D1274" s="240">
        <f>J1258*365*24*K1258</f>
        <v>16381.2</v>
      </c>
      <c r="E1274" s="254">
        <v>7.0420999999999995E-5</v>
      </c>
      <c r="F1274" s="103">
        <f>E1274*$E$132</f>
        <v>0</v>
      </c>
      <c r="G1274" s="244">
        <f>E1274*$E$161</f>
        <v>2.0707015566790109E-5</v>
      </c>
      <c r="H1274" s="254">
        <v>1.6597000000000001E-2</v>
      </c>
      <c r="I1274" s="8">
        <f>H1274*E132</f>
        <v>0</v>
      </c>
      <c r="J1274" s="255">
        <f>H1274*$E$161</f>
        <v>4.8802819806877994E-3</v>
      </c>
      <c r="K1274" s="263">
        <v>4.5894999999999998E-3</v>
      </c>
      <c r="L1274" s="8">
        <f>K1274*E132</f>
        <v>0</v>
      </c>
      <c r="M1274" s="255">
        <f>K1274*$E$161</f>
        <v>1.3495242604305989E-3</v>
      </c>
      <c r="N1274" s="263">
        <v>5.8355999999999998E-3</v>
      </c>
      <c r="O1274" s="8">
        <f>N1274*E132</f>
        <v>0</v>
      </c>
      <c r="P1274" s="255">
        <f>N1274*$E$161</f>
        <v>1.7159350199735927E-3</v>
      </c>
      <c r="Q1274" s="263">
        <v>0.31333</v>
      </c>
      <c r="R1274" s="8">
        <f>Q1274*E132</f>
        <v>0</v>
      </c>
      <c r="S1274" s="255">
        <f>Q1274*$E$161</f>
        <v>9.21334429721581E-2</v>
      </c>
      <c r="T1274" s="263">
        <v>4.0010000000000002E-3</v>
      </c>
      <c r="U1274" s="8">
        <f>T1274*E132</f>
        <v>0</v>
      </c>
      <c r="V1274" s="255">
        <f>T1274*$E$161</f>
        <v>1.1764781710388555E-3</v>
      </c>
      <c r="W1274" s="254">
        <v>6.9175000000000003E-6</v>
      </c>
      <c r="X1274" s="103">
        <f>W1274*$E$132</f>
        <v>0</v>
      </c>
      <c r="Y1274" s="255">
        <f>W1274*$E$161</f>
        <v>2.0340634211850245E-6</v>
      </c>
      <c r="Z1274" s="254">
        <v>1.4653E-6</v>
      </c>
      <c r="AA1274" s="103">
        <f>Z1274*$E$132</f>
        <v>0</v>
      </c>
      <c r="AB1274" s="255">
        <f>Z1274*$E$161</f>
        <v>4.3086564959341036E-7</v>
      </c>
      <c r="AC1274" s="263">
        <v>1.1877E-2</v>
      </c>
      <c r="AD1274" s="103">
        <f>AC1274*$E$132</f>
        <v>0</v>
      </c>
      <c r="AE1274" s="255">
        <f>AC1274*$E$161</f>
        <v>3.4923847131788266E-3</v>
      </c>
      <c r="AF1274" s="263">
        <v>4.6378000000000003E-2</v>
      </c>
      <c r="AG1274" s="8">
        <f>AF1274*E132</f>
        <v>0</v>
      </c>
      <c r="AH1274" s="255">
        <f>AF1274*$E$161</f>
        <v>1.363726683740066E-2</v>
      </c>
      <c r="AI1274" s="263">
        <v>5.9155999999999998E-4</v>
      </c>
      <c r="AJ1274" s="103">
        <f>AI1274*$E$132</f>
        <v>0</v>
      </c>
      <c r="AK1274" s="255">
        <f>AI1274*$E$161</f>
        <v>1.7394587024737446E-4</v>
      </c>
      <c r="AL1274" s="263">
        <v>3.8096000000000001E-4</v>
      </c>
      <c r="AM1274" s="103">
        <f>AL1274*$E$132</f>
        <v>0</v>
      </c>
      <c r="AN1274" s="255">
        <f>AL1274*$E$161</f>
        <v>1.1201977606572416E-4</v>
      </c>
      <c r="AO1274" s="241">
        <v>2.0890000000000001E-3</v>
      </c>
      <c r="AP1274" s="8">
        <f>AO1274*E132</f>
        <v>0</v>
      </c>
      <c r="AQ1274" s="262">
        <f>E161*AO1274</f>
        <v>6.1426215928522094E-4</v>
      </c>
      <c r="AR1274" s="263">
        <v>6.3024999999999997E-9</v>
      </c>
      <c r="AS1274" s="103">
        <f>AR1274*$E$132</f>
        <v>0</v>
      </c>
      <c r="AT1274" s="244">
        <f>AR1274*$E$161</f>
        <v>1.8532251119651052E-9</v>
      </c>
      <c r="AU1274" s="263">
        <v>3.6322999999999998E-5</v>
      </c>
      <c r="AV1274" s="103">
        <f>AU1274*$E$132</f>
        <v>0</v>
      </c>
      <c r="AW1274" s="244">
        <f>AU1274*$E$161</f>
        <v>1.0680633993162794E-5</v>
      </c>
      <c r="AX1274" s="263">
        <v>4.5108000000000002E-5</v>
      </c>
      <c r="AY1274" s="103">
        <f>AX1274*$E$132</f>
        <v>0</v>
      </c>
      <c r="AZ1274" s="244">
        <f>AX1274*$E$161</f>
        <v>1.3263828377710746E-5</v>
      </c>
      <c r="BA1274" s="263">
        <v>4.7419000000000001E-5</v>
      </c>
      <c r="BB1274" s="103">
        <f>BA1274*$E$132</f>
        <v>0</v>
      </c>
      <c r="BC1274" s="244">
        <f>BA1274*$E$161</f>
        <v>1.3943368755933888E-5</v>
      </c>
      <c r="BD1274" s="239">
        <v>1.8804E-4</v>
      </c>
      <c r="BE1274" s="8">
        <f>BD1274*E132</f>
        <v>0</v>
      </c>
      <c r="BF1274" s="232">
        <f>E161*BD1274</f>
        <v>5.5292415716607438E-5</v>
      </c>
      <c r="BG1274" s="236" t="s">
        <v>1464</v>
      </c>
    </row>
    <row r="1275" spans="3:69">
      <c r="C1275" s="8" t="s">
        <v>166</v>
      </c>
      <c r="D1275" s="240">
        <f>J1259*365*24*K1259</f>
        <v>7008</v>
      </c>
      <c r="E1275" s="253">
        <v>3.5279000000000002E-4</v>
      </c>
      <c r="F1275" s="103">
        <f>E1275*$E$134</f>
        <v>3.5279000000000001E-6</v>
      </c>
      <c r="G1275" s="244">
        <f>E1275*$E$163</f>
        <v>4.437925106539384E-5</v>
      </c>
      <c r="H1275" s="253">
        <v>8.2005999999999996E-2</v>
      </c>
      <c r="I1275" s="8">
        <f>H1275*E134</f>
        <v>8.2005999999999995E-4</v>
      </c>
      <c r="J1275" s="255">
        <f>H1275*$E$163</f>
        <v>1.0315952444424974E-2</v>
      </c>
      <c r="K1275" s="263">
        <v>1.7333999999999999E-2</v>
      </c>
      <c r="L1275" s="8">
        <f>K1275*E134</f>
        <v>1.7333999999999999E-4</v>
      </c>
      <c r="M1275" s="255">
        <f>K1275*$E$163</f>
        <v>2.1805321521798709E-3</v>
      </c>
      <c r="N1275" s="263">
        <v>2.2814999999999998E-2</v>
      </c>
      <c r="O1275" s="8">
        <f>N1275*E134</f>
        <v>2.2814999999999999E-4</v>
      </c>
      <c r="P1275" s="255">
        <f>N1275*$E$163</f>
        <v>2.8700150601121358E-3</v>
      </c>
      <c r="Q1275" s="263">
        <v>2.0105</v>
      </c>
      <c r="R1275" s="8">
        <f>Q1275*E134</f>
        <v>2.0105000000000001E-2</v>
      </c>
      <c r="S1275" s="255">
        <f>Q1275*$E$163</f>
        <v>0.25291103565003065</v>
      </c>
      <c r="T1275" s="263">
        <v>2.0639999999999999E-2</v>
      </c>
      <c r="U1275" s="8">
        <f>T1275*E134</f>
        <v>2.064E-4</v>
      </c>
      <c r="V1275" s="255">
        <f>T1275*$E$163</f>
        <v>2.5964107315675864E-3</v>
      </c>
      <c r="W1275" s="253">
        <v>4.0200000000000001E-5</v>
      </c>
      <c r="X1275" s="103">
        <f>W1275*$E$134</f>
        <v>4.0200000000000003E-7</v>
      </c>
      <c r="Y1275" s="255">
        <f>W1275*$E$163</f>
        <v>5.0569627620647763E-6</v>
      </c>
      <c r="Z1275" s="253">
        <v>6.2568E-6</v>
      </c>
      <c r="AA1275" s="103">
        <f>Z1275*$E$134</f>
        <v>6.2567999999999995E-8</v>
      </c>
      <c r="AB1275" s="255">
        <f>Z1275*$E$163</f>
        <v>7.8707474153449972E-7</v>
      </c>
      <c r="AC1275" s="263">
        <v>1.3820000000000001E-2</v>
      </c>
      <c r="AD1275" s="103">
        <f>AC1275*$E$134</f>
        <v>1.382E-4</v>
      </c>
      <c r="AE1275" s="255">
        <f>AC1275*$E$163</f>
        <v>1.7384881933267464E-3</v>
      </c>
      <c r="AF1275" s="263">
        <v>0.20386000000000001</v>
      </c>
      <c r="AG1275" s="8">
        <f>AF1275*E134</f>
        <v>2.0386000000000002E-3</v>
      </c>
      <c r="AH1275" s="255">
        <f>AF1275*$E$163</f>
        <v>2.5644587777973266E-2</v>
      </c>
      <c r="AI1275" s="263">
        <v>5.5513000000000003E-3</v>
      </c>
      <c r="AJ1275" s="103">
        <f>AI1275*$E$134</f>
        <v>5.5513000000000002E-5</v>
      </c>
      <c r="AK1275" s="255">
        <f>AI1275*$E$163</f>
        <v>6.983263030111988E-4</v>
      </c>
      <c r="AL1275" s="263">
        <v>2.8788999999999999E-2</v>
      </c>
      <c r="AM1275" s="103">
        <f>AL1275*$E$134</f>
        <v>2.8789000000000001E-4</v>
      </c>
      <c r="AN1275" s="255">
        <f>AL1275*$E$163</f>
        <v>3.6215149491811648E-3</v>
      </c>
      <c r="AO1275" s="241">
        <v>3.7583999999999998E-3</v>
      </c>
      <c r="AP1275" s="8">
        <f>AO1275*E134</f>
        <v>3.7583999999999998E-5</v>
      </c>
      <c r="AQ1275" s="262">
        <f>E163*AO1275</f>
        <v>4.7278827972498143E-4</v>
      </c>
      <c r="AR1275" s="263">
        <v>2.9595000000000001E-8</v>
      </c>
      <c r="AS1275" s="103">
        <f>AR1275*$E$134</f>
        <v>2.9595E-10</v>
      </c>
      <c r="AT1275" s="244">
        <f>AR1275*$E$163</f>
        <v>3.7229057946096281E-9</v>
      </c>
      <c r="AU1275" s="263">
        <v>1.6830999999999999E-4</v>
      </c>
      <c r="AV1275" s="103">
        <f>AU1275*$E$134</f>
        <v>1.6831E-6</v>
      </c>
      <c r="AW1275" s="244">
        <f>AU1275*$E$163</f>
        <v>2.1172572201072697E-5</v>
      </c>
      <c r="AX1275" s="263">
        <v>2.185E-4</v>
      </c>
      <c r="AY1275" s="103">
        <f>AX1275*$E$134</f>
        <v>2.1849999999999998E-6</v>
      </c>
      <c r="AZ1275" s="244">
        <f>AX1275*$E$163</f>
        <v>2.7486227948038643E-5</v>
      </c>
      <c r="BA1275" s="263">
        <v>2.3078000000000001E-4</v>
      </c>
      <c r="BB1275" s="103">
        <f>BA1275*$E$134</f>
        <v>2.3078000000000002E-6</v>
      </c>
      <c r="BC1275" s="244">
        <f>BA1275*$E$163</f>
        <v>2.9030991697246493E-5</v>
      </c>
      <c r="BD1275" s="239">
        <v>2.7637999999999999E-3</v>
      </c>
      <c r="BE1275" s="8">
        <f>BD1275*E134</f>
        <v>2.7637999999999999E-5</v>
      </c>
      <c r="BF1275" s="232">
        <f>E163*BD1275</f>
        <v>3.4767247964663251E-4</v>
      </c>
      <c r="BG1275" s="236" t="s">
        <v>1465</v>
      </c>
    </row>
    <row r="1276" spans="3:69">
      <c r="C1276" s="8" t="s">
        <v>167</v>
      </c>
      <c r="D1276" s="240">
        <f>E136*F1301</f>
        <v>695.17161999999996</v>
      </c>
      <c r="E1276" s="254">
        <v>1.1124999999999999E-5</v>
      </c>
      <c r="F1276" s="103">
        <f>E1276*$E$136</f>
        <v>1.4462499999999999E-7</v>
      </c>
      <c r="G1276" s="244">
        <f>E1276*$E$165</f>
        <v>1.3882307595823223E-7</v>
      </c>
      <c r="H1276" s="254">
        <v>4.2662000000000004E-3</v>
      </c>
      <c r="I1276" s="8">
        <f>H1276*E136</f>
        <v>5.5460600000000002E-5</v>
      </c>
      <c r="J1276" s="255">
        <f>H1276*$E$165</f>
        <v>5.323568599128184E-5</v>
      </c>
      <c r="K1276" s="263">
        <v>1.8136000000000001E-4</v>
      </c>
      <c r="L1276" s="8">
        <f>K1276*E136</f>
        <v>2.3576800000000002E-6</v>
      </c>
      <c r="M1276" s="255">
        <f>K1276*$E$165</f>
        <v>2.2630969038907867E-6</v>
      </c>
      <c r="N1276" s="263">
        <v>2.5468000000000002E-4</v>
      </c>
      <c r="O1276" s="8">
        <f>N1276*E136</f>
        <v>3.31084E-6</v>
      </c>
      <c r="P1276" s="255">
        <f>N1276*$E$165</f>
        <v>3.1780189649476487E-6</v>
      </c>
      <c r="Q1276" s="263">
        <v>1.8321E-2</v>
      </c>
      <c r="R1276" s="8">
        <f>Q1276*E136</f>
        <v>2.38173E-4</v>
      </c>
      <c r="S1276" s="255">
        <f>Q1276*$E$165</f>
        <v>2.286182089555751E-4</v>
      </c>
      <c r="T1276" s="263">
        <v>8.3286999999999999E-4</v>
      </c>
      <c r="U1276" s="8">
        <f>T1276*E136</f>
        <v>1.082731E-5</v>
      </c>
      <c r="V1276" s="255">
        <f>T1276*$E$165</f>
        <v>1.0392950586367001E-5</v>
      </c>
      <c r="W1276" s="254">
        <v>1.0663000000000001E-6</v>
      </c>
      <c r="X1276" s="103">
        <f>W1276*$E$136</f>
        <v>1.38619E-8</v>
      </c>
      <c r="Y1276" s="255">
        <f>W1276*$E$165</f>
        <v>1.3305801878136005E-8</v>
      </c>
      <c r="Z1276" s="254">
        <v>1.4214E-7</v>
      </c>
      <c r="AA1276" s="103">
        <f>Z1276*$E$136</f>
        <v>1.8478199999999999E-9</v>
      </c>
      <c r="AB1276" s="255">
        <f>Z1276*$E$165</f>
        <v>1.7736909677935398E-9</v>
      </c>
      <c r="AC1276" s="263">
        <v>1.8649000000000001E-3</v>
      </c>
      <c r="AD1276" s="103">
        <f>AC1276*$E$136</f>
        <v>2.42437E-5</v>
      </c>
      <c r="AE1276" s="255">
        <f>AC1276*$E$165</f>
        <v>2.327111499815796E-5</v>
      </c>
      <c r="AF1276" s="263">
        <v>3.8479E-3</v>
      </c>
      <c r="AG1276" s="8">
        <f>AF1276*E136</f>
        <v>5.0022699999999998E-5</v>
      </c>
      <c r="AH1276" s="255">
        <f>AF1276*$E$165</f>
        <v>4.8015938335252299E-5</v>
      </c>
      <c r="AI1276" s="263">
        <v>2.2403000000000001E-4</v>
      </c>
      <c r="AJ1276" s="103">
        <f>AI1276*$E$136</f>
        <v>2.91239E-6</v>
      </c>
      <c r="AK1276" s="255">
        <f>AI1276*$E$165</f>
        <v>2.7955535916335077E-6</v>
      </c>
      <c r="AL1276" s="263">
        <v>1.7736E-4</v>
      </c>
      <c r="AM1276" s="103">
        <f>AL1276*$E$136</f>
        <v>2.3056799999999997E-6</v>
      </c>
      <c r="AN1276" s="255">
        <f>AL1276*$E$165</f>
        <v>2.213182988939512E-6</v>
      </c>
      <c r="AO1276" s="241">
        <v>4.1634000000000002E-4</v>
      </c>
      <c r="AP1276" s="8">
        <f>AO1276*E136</f>
        <v>5.4124199999999998E-6</v>
      </c>
      <c r="AQ1276" s="262">
        <f>E165*AO1276</f>
        <v>5.1952898377034078E-6</v>
      </c>
      <c r="AR1276" s="263">
        <v>7.7813999999999996E-10</v>
      </c>
      <c r="AS1276" s="103">
        <f>AR1276*$E$136</f>
        <v>1.0115819999999999E-11</v>
      </c>
      <c r="AT1276" s="244">
        <f>AR1276*$E$165</f>
        <v>9.7100034450461866E-12</v>
      </c>
      <c r="AU1276" s="263">
        <v>8.1601E-6</v>
      </c>
      <c r="AV1276" s="103">
        <f>AU1276*$E$136</f>
        <v>1.060813E-7</v>
      </c>
      <c r="AW1276" s="244">
        <f>AU1276*$E$165</f>
        <v>1.0182563434847379E-7</v>
      </c>
      <c r="AX1276" s="263">
        <v>1.5468000000000002E-5</v>
      </c>
      <c r="AY1276" s="103">
        <f>AX1276*$E$136</f>
        <v>2.01084E-7</v>
      </c>
      <c r="AZ1276" s="244">
        <f>AX1276*$E$165</f>
        <v>1.9301710911657856E-7</v>
      </c>
      <c r="BA1276" s="263">
        <v>1.609E-5</v>
      </c>
      <c r="BB1276" s="103">
        <f>BA1276*$E$136</f>
        <v>2.0916999999999999E-7</v>
      </c>
      <c r="BC1276" s="244">
        <f>BA1276*$E$165</f>
        <v>2.0077872289150173E-7</v>
      </c>
      <c r="BD1276" s="239">
        <v>2.1509E-5</v>
      </c>
      <c r="BE1276" s="8">
        <f>BD1276*E136</f>
        <v>2.7961699999999998E-7</v>
      </c>
      <c r="BF1276" s="232">
        <f>E165*BD1276</f>
        <v>2.6839959917174088E-7</v>
      </c>
      <c r="BG1276" s="236" t="s">
        <v>1466</v>
      </c>
    </row>
    <row r="1277" spans="3:69">
      <c r="C1277" s="8" t="s">
        <v>515</v>
      </c>
      <c r="D1277" s="240">
        <f>E138*F1301</f>
        <v>1069.4947999999999</v>
      </c>
      <c r="E1277" s="254">
        <v>2.1704000000000001E-5</v>
      </c>
      <c r="F1277" s="103">
        <f>E1277*$E$138</f>
        <v>4.3408000000000003E-7</v>
      </c>
      <c r="G1277" s="244">
        <f>E1277*$E$167</f>
        <v>4.166660038855624E-7</v>
      </c>
      <c r="H1277" s="254">
        <v>5.3315000000000003E-3</v>
      </c>
      <c r="I1277" s="8">
        <f>H1277*E138</f>
        <v>1.0663000000000001E-4</v>
      </c>
      <c r="J1277" s="255">
        <f>H1277*$E$167</f>
        <v>1.0235232213950774E-4</v>
      </c>
      <c r="K1277" s="263">
        <v>2.4026999999999998E-3</v>
      </c>
      <c r="L1277" s="8">
        <f>K1277*E138</f>
        <v>4.8053999999999998E-5</v>
      </c>
      <c r="M1277" s="255">
        <f>K1277*$E$167</f>
        <v>4.6126216712856643E-5</v>
      </c>
      <c r="N1277" s="263">
        <v>3.1513999999999999E-3</v>
      </c>
      <c r="O1277" s="8">
        <f>N1277*E138</f>
        <v>6.3027999999999994E-5</v>
      </c>
      <c r="P1277" s="255">
        <f>N1277*$E$167</f>
        <v>6.0499504452864041E-5</v>
      </c>
      <c r="Q1277" s="263">
        <v>2.6553E-2</v>
      </c>
      <c r="R1277" s="8">
        <f>Q1277*E138</f>
        <v>5.3105999999999997E-4</v>
      </c>
      <c r="S1277" s="255">
        <f>Q1277*$E$167</f>
        <v>5.0975545526968933E-4</v>
      </c>
      <c r="T1277" s="263">
        <v>9.3032E-4</v>
      </c>
      <c r="U1277" s="8">
        <f>T1277*E138</f>
        <v>1.8606400000000002E-5</v>
      </c>
      <c r="V1277" s="255">
        <f>T1277*$E$167</f>
        <v>1.7859966675949889E-5</v>
      </c>
      <c r="W1277" s="254">
        <v>1.0502E-5</v>
      </c>
      <c r="X1277" s="103">
        <f>W1277*$E$138</f>
        <v>2.1004000000000002E-7</v>
      </c>
      <c r="Y1277" s="255">
        <f>W1277*$E$167</f>
        <v>2.0161382108395577E-7</v>
      </c>
      <c r="Z1277" s="254">
        <v>1.4264E-6</v>
      </c>
      <c r="AA1277" s="103">
        <f>Z1277*$E$138</f>
        <v>2.8528000000000002E-8</v>
      </c>
      <c r="AB1277" s="255">
        <f>Z1277*$E$167</f>
        <v>2.7383541648653068E-8</v>
      </c>
      <c r="AC1277" s="263">
        <v>2.1454E-3</v>
      </c>
      <c r="AD1277" s="103">
        <f>AC1277*$E$138</f>
        <v>4.2908000000000003E-5</v>
      </c>
      <c r="AE1277" s="255">
        <f>AC1277*$E$167</f>
        <v>4.1186658898640132E-5</v>
      </c>
      <c r="AF1277" s="263">
        <v>6.1870000000000001E-2</v>
      </c>
      <c r="AG1277" s="8">
        <f>AF1277*E138</f>
        <v>1.2374E-3</v>
      </c>
      <c r="AH1277" s="255">
        <f>AF1277*$E$167</f>
        <v>1.1877591992443671E-3</v>
      </c>
      <c r="AI1277" s="263">
        <v>5.4663000000000002E-5</v>
      </c>
      <c r="AJ1277" s="103">
        <f>AI1277*$E$138</f>
        <v>1.0932600000000001E-6</v>
      </c>
      <c r="AK1277" s="255">
        <f>AI1277*$E$167</f>
        <v>1.0494016665313535E-6</v>
      </c>
      <c r="AL1277" s="263">
        <v>1.2178E-4</v>
      </c>
      <c r="AM1277" s="103">
        <f>AL1277*$E$138</f>
        <v>2.4356E-6</v>
      </c>
      <c r="AN1277" s="255">
        <f>AL1277*$E$167</f>
        <v>2.3378909856793119E-6</v>
      </c>
      <c r="AO1277" s="241">
        <v>1.4919999999999999E-4</v>
      </c>
      <c r="AP1277" s="8">
        <f>AO1277*E138</f>
        <v>2.9840000000000001E-6</v>
      </c>
      <c r="AQ1277" s="262">
        <f>E167*AO1277</f>
        <v>2.8642908118192914E-6</v>
      </c>
      <c r="AR1277" s="263">
        <v>6.7340000000000006E-8</v>
      </c>
      <c r="AS1277" s="103">
        <f>AR1277*$E$138</f>
        <v>1.3468000000000001E-9</v>
      </c>
      <c r="AT1277" s="244">
        <f>AR1277*$E$167</f>
        <v>1.2927703972380102E-9</v>
      </c>
      <c r="AU1277" s="263">
        <v>8.2287999999999999E-6</v>
      </c>
      <c r="AV1277" s="103">
        <f>AU1277*$E$138</f>
        <v>1.64576E-7</v>
      </c>
      <c r="AW1277" s="244">
        <f>AU1277*$E$167</f>
        <v>1.5797370128886453E-7</v>
      </c>
      <c r="AX1277" s="263">
        <v>4.0692999999999998E-5</v>
      </c>
      <c r="AY1277" s="103">
        <f>AX1277*$E$138</f>
        <v>8.1386000000000001E-7</v>
      </c>
      <c r="AZ1277" s="244">
        <f>AX1277*$E$167</f>
        <v>7.8121036196623614E-7</v>
      </c>
      <c r="BA1277" s="263">
        <v>4.1202000000000003E-5</v>
      </c>
      <c r="BB1277" s="103">
        <f>BA1277*$E$138</f>
        <v>8.2404000000000012E-7</v>
      </c>
      <c r="BC1277" s="244">
        <f>BA1277*$E$167</f>
        <v>7.9098197070092797E-7</v>
      </c>
      <c r="BD1277" s="239">
        <v>1.9696000000000001E-4</v>
      </c>
      <c r="BE1277" s="8">
        <f>BD1277*E138</f>
        <v>3.9392000000000003E-6</v>
      </c>
      <c r="BF1277" s="232">
        <f>E167*BD1277</f>
        <v>3.7811710341550113E-6</v>
      </c>
      <c r="BG1277" s="236" t="s">
        <v>1470</v>
      </c>
    </row>
    <row r="1278" spans="3:69">
      <c r="C1278" s="8" t="s">
        <v>170</v>
      </c>
      <c r="D1278" s="240">
        <f>E140*F1301</f>
        <v>1122.9695400000001</v>
      </c>
      <c r="E1278" s="254">
        <v>8.2939999999999999E-4</v>
      </c>
      <c r="F1278" s="103">
        <f>E1278*$E$140</f>
        <v>1.74174E-5</v>
      </c>
      <c r="G1278" s="244">
        <f>E1278*$E$169</f>
        <v>1.6718665812929402E-5</v>
      </c>
      <c r="H1278" s="254">
        <v>0.12321</v>
      </c>
      <c r="I1278" s="8">
        <f>H1278*E140</f>
        <v>2.5874100000000001E-3</v>
      </c>
      <c r="J1278" s="255">
        <f>H1278*$E$169</f>
        <v>2.4836108208476388E-3</v>
      </c>
      <c r="K1278" s="263">
        <v>7.9375000000000001E-3</v>
      </c>
      <c r="L1278" s="8">
        <f>K1278*E140</f>
        <v>1.6668750000000001E-4</v>
      </c>
      <c r="M1278" s="255">
        <f>K1278*$E$169</f>
        <v>1.6000049420078022E-4</v>
      </c>
      <c r="N1278" s="263">
        <v>1.1323E-2</v>
      </c>
      <c r="O1278" s="8">
        <f>N1278*E140</f>
        <v>2.3778300000000001E-4</v>
      </c>
      <c r="P1278" s="255">
        <f>N1278*$E$169</f>
        <v>2.2824385459344057E-4</v>
      </c>
      <c r="Q1278" s="263">
        <v>1.9893000000000001</v>
      </c>
      <c r="R1278" s="8">
        <f>Q1278*E140</f>
        <v>4.1775300000000001E-2</v>
      </c>
      <c r="S1278" s="255">
        <f>Q1278*$E$169</f>
        <v>4.0099399447384207E-2</v>
      </c>
      <c r="T1278" s="263">
        <v>3.2620000000000003E-2</v>
      </c>
      <c r="U1278" s="8">
        <f>T1278*E140</f>
        <v>6.8502000000000016E-4</v>
      </c>
      <c r="V1278" s="255">
        <f>T1278*$E$169</f>
        <v>6.5753903884465531E-4</v>
      </c>
      <c r="W1278" s="254">
        <v>5.4837999999999999E-5</v>
      </c>
      <c r="X1278" s="103">
        <f>W1278*$E$140</f>
        <v>1.1515980000000001E-6</v>
      </c>
      <c r="Y1278" s="255">
        <f>W1278*$E$169</f>
        <v>1.1053993198088044E-6</v>
      </c>
      <c r="Z1278" s="254">
        <v>9.7474999999999994E-6</v>
      </c>
      <c r="AA1278" s="103">
        <f>Z1278*$E$140</f>
        <v>2.0469750000000001E-7</v>
      </c>
      <c r="AB1278" s="255">
        <f>Z1278*$E$169</f>
        <v>1.9648564626420222E-7</v>
      </c>
      <c r="AC1278" s="263">
        <v>1.8128999999999999E-2</v>
      </c>
      <c r="AD1278" s="103">
        <f>AC1278*$E$140</f>
        <v>3.8070900000000002E-4</v>
      </c>
      <c r="AE1278" s="255">
        <f>AC1278*$E$169</f>
        <v>3.6543608936893788E-4</v>
      </c>
      <c r="AF1278" s="263">
        <v>0.33062000000000002</v>
      </c>
      <c r="AG1278" s="8">
        <f>AF1278*E140</f>
        <v>6.9430200000000011E-3</v>
      </c>
      <c r="AH1278" s="255">
        <f>AF1278*$E$169</f>
        <v>6.6644867266345779E-3</v>
      </c>
      <c r="AI1278" s="263">
        <v>2.9485000000000001E-2</v>
      </c>
      <c r="AJ1278" s="103">
        <f>AI1278*$E$140</f>
        <v>6.1918500000000007E-4</v>
      </c>
      <c r="AK1278" s="255">
        <f>AI1278*$E$169</f>
        <v>5.9434514286740218E-4</v>
      </c>
      <c r="AL1278" s="263">
        <v>0.23447999999999999</v>
      </c>
      <c r="AM1278" s="103">
        <f>AL1278*$E$140</f>
        <v>4.92408E-3</v>
      </c>
      <c r="AN1278" s="255">
        <f>AL1278*$E$169</f>
        <v>4.7265405833321504E-3</v>
      </c>
      <c r="AO1278" s="241">
        <v>4.1124999999999998E-3</v>
      </c>
      <c r="AP1278" s="8">
        <f>AO1278*E140</f>
        <v>8.6362500000000005E-5</v>
      </c>
      <c r="AQ1278" s="262">
        <f>E169*AO1278</f>
        <v>8.2897893845758575E-5</v>
      </c>
      <c r="AR1278" s="263">
        <v>5.4387999999999997E-7</v>
      </c>
      <c r="AS1278" s="103">
        <f>AR1278*$E$140</f>
        <v>1.1421479999999999E-8</v>
      </c>
      <c r="AT1278" s="244">
        <f>AR1278*$E$169</f>
        <v>1.0963284256493901E-8</v>
      </c>
      <c r="AU1278" s="263">
        <v>5.0628999999999995E-4</v>
      </c>
      <c r="AV1278" s="103">
        <f>AU1278*$E$140</f>
        <v>1.063209E-5</v>
      </c>
      <c r="AW1278" s="244">
        <f>AU1278*$E$169</f>
        <v>1.0205562231044159E-5</v>
      </c>
      <c r="AX1278" s="263">
        <v>1.3856999999999999E-3</v>
      </c>
      <c r="AY1278" s="103">
        <f>AX1278*$E$140</f>
        <v>2.9099699999999999E-5</v>
      </c>
      <c r="AZ1278" s="244">
        <f>AX1278*$E$169</f>
        <v>2.7932306748223135E-5</v>
      </c>
      <c r="BA1278" s="263">
        <v>1.4119E-3</v>
      </c>
      <c r="BB1278" s="103">
        <f>BA1278*$E$140</f>
        <v>2.9649900000000002E-5</v>
      </c>
      <c r="BC1278" s="244">
        <f>BA1278*$E$169</f>
        <v>2.8460434363726816E-5</v>
      </c>
      <c r="BD1278" s="239">
        <v>1.8611999999999999E-3</v>
      </c>
      <c r="BE1278" s="8">
        <f>BD1278*E140</f>
        <v>3.9085200000000003E-5</v>
      </c>
      <c r="BF1278" s="232">
        <f>E169*BD1278</f>
        <v>3.7517218243337593E-5</v>
      </c>
      <c r="BG1278" s="236" t="s">
        <v>1474</v>
      </c>
    </row>
    <row r="1279" spans="3:69">
      <c r="D1279" s="212">
        <f>SUM(D1273:D1278)</f>
        <v>44567.715960000001</v>
      </c>
      <c r="E1279" s="261"/>
      <c r="F1279" s="90">
        <f>SUM(F1268:F1278)</f>
        <v>2.0005600970000002E-3</v>
      </c>
      <c r="G1279" s="243">
        <f>SUM(G1268:G1278)</f>
        <v>1.6589339854873155E-4</v>
      </c>
      <c r="H1279" s="261"/>
      <c r="I1279" s="5">
        <f>SUM(I1268:I1278)</f>
        <v>0.43445420759999998</v>
      </c>
      <c r="J1279" s="260">
        <f>SUM(J1268:J1278)</f>
        <v>9.7770461592942268E-2</v>
      </c>
      <c r="K1279" s="261"/>
      <c r="L1279" s="5">
        <f>SUM(L1268:L1278)</f>
        <v>1.203311028E-2</v>
      </c>
      <c r="M1279" s="260">
        <f>SUM(M1268:M1278)</f>
        <v>1.9428984858526184E-2</v>
      </c>
      <c r="N1279" s="261"/>
      <c r="O1279" s="5">
        <f>SUM(O1268:O1278)</f>
        <v>1.5504706239999997E-2</v>
      </c>
      <c r="P1279" s="260">
        <f>SUM(P1268:P1278)</f>
        <v>2.4048948457041346E-2</v>
      </c>
      <c r="Q1279" s="261"/>
      <c r="R1279" s="5">
        <f>SUM(R1268:R1278)</f>
        <v>0.56662842700000005</v>
      </c>
      <c r="S1279" s="260">
        <f>SUM(S1268:S1278)</f>
        <v>0.77989102511610842</v>
      </c>
      <c r="T1279" s="261"/>
      <c r="U1279" s="5">
        <f>SUM(U1268:U1278)</f>
        <v>0.14306322107</v>
      </c>
      <c r="V1279" s="260">
        <f>SUM(V1268:V1278)</f>
        <v>3.6223960082299687E-2</v>
      </c>
      <c r="W1279" s="261"/>
      <c r="X1279" s="90">
        <f>SUM(X1268:X1278)</f>
        <v>8.6175375600000016E-5</v>
      </c>
      <c r="Y1279" s="243">
        <f>SUM(Y1268:Y1278)</f>
        <v>1.6081401090751524E-5</v>
      </c>
      <c r="Z1279" s="261"/>
      <c r="AA1279" s="90">
        <f>SUM(AA1268:AA1278)</f>
        <v>9.5374908199999999E-6</v>
      </c>
      <c r="AB1279" s="243">
        <f>SUM(AB1268:AB1278)</f>
        <v>2.0994816911031002E-6</v>
      </c>
      <c r="AC1279" s="261"/>
      <c r="AD1279" s="110">
        <f>SUM(AD1268:AD1278)</f>
        <v>1.2648964700000001E-2</v>
      </c>
      <c r="AE1279" s="260">
        <f>SUM(AE1268:AE1278)</f>
        <v>1.0207568853354219E-2</v>
      </c>
      <c r="AF1279" s="261"/>
      <c r="AG1279" s="5">
        <f>SUM(AG1268:AG1278)</f>
        <v>0.21037777169999997</v>
      </c>
      <c r="AH1279" s="260">
        <f>SUM(AH1268:AH1278)</f>
        <v>0.11566709330423365</v>
      </c>
      <c r="AI1279" s="261"/>
      <c r="AJ1279" s="5">
        <f>SUM(AJ1268:AJ1278)</f>
        <v>2.7078921239999999E-3</v>
      </c>
      <c r="AK1279" s="260">
        <f>SUM(AK1268:AK1278)</f>
        <v>1.9951918638524222E-3</v>
      </c>
      <c r="AL1279" s="261"/>
      <c r="AM1279" s="5">
        <f>SUM(AM1268:AM1278)</f>
        <v>7.06322332E-3</v>
      </c>
      <c r="AN1279" s="5">
        <f>SUM(AN1268:AN1278)</f>
        <v>8.9058029958419931E-3</v>
      </c>
      <c r="AO1279" s="261"/>
      <c r="AP1279" s="5">
        <f>SUM(AP1268:AP1278)</f>
        <v>1.9620643199999999E-3</v>
      </c>
      <c r="AQ1279" s="260">
        <f>SUM(AQ1268:AQ1278)</f>
        <v>2.5495112866727003E-3</v>
      </c>
      <c r="AR1279" s="261"/>
      <c r="AS1279" s="5">
        <f>SUM(AS1268:AS1278)</f>
        <v>1.2757590621999998E-7</v>
      </c>
      <c r="AT1279" s="260">
        <f>SUM(AT1268:AT1278)</f>
        <v>4.2680687903938744E-8</v>
      </c>
      <c r="AU1279" s="261"/>
      <c r="AV1279" s="5">
        <f>SUM(AV1268:AV1278)</f>
        <v>6.4293556169999996E-4</v>
      </c>
      <c r="AW1279" s="260">
        <f>SUM(AW1268:AW1278)</f>
        <v>7.5583676157351597E-5</v>
      </c>
      <c r="AX1279" s="261"/>
      <c r="AY1279" s="5">
        <f>SUM(AY1268:AY1278)</f>
        <v>7.3380914400000006E-4</v>
      </c>
      <c r="AZ1279" s="260">
        <f>SUM(AZ1268:AZ1278)</f>
        <v>1.4596616452342909E-4</v>
      </c>
      <c r="BA1279" s="261"/>
      <c r="BB1279" s="5">
        <f>SUM(BB1268:BB1278)</f>
        <v>7.5693927200000009E-4</v>
      </c>
      <c r="BC1279" s="260">
        <f>SUM(BC1268:BC1278)</f>
        <v>1.5281824327935953E-4</v>
      </c>
      <c r="BD1279" s="261"/>
      <c r="BE1279" s="5">
        <f>SUM(BE1268:BE1278)</f>
        <v>8.0227673700000008E-4</v>
      </c>
      <c r="BF1279" s="88">
        <f>SUM(BF1268:BF1278)</f>
        <v>6.3809497205990519E-4</v>
      </c>
      <c r="BG1279" s="238"/>
    </row>
    <row r="1280" spans="3:69">
      <c r="D1280" s="213">
        <v>0.8</v>
      </c>
      <c r="E1280" s="261"/>
      <c r="F1280" s="5" t="s">
        <v>1475</v>
      </c>
      <c r="G1280" s="259">
        <f>G1279/F1279</f>
        <v>8.2923476679107003E-2</v>
      </c>
      <c r="H1280" s="261"/>
      <c r="I1280" s="5" t="s">
        <v>1475</v>
      </c>
      <c r="J1280" s="259">
        <f>J1279/I1279</f>
        <v>0.22504204098527017</v>
      </c>
      <c r="K1280" s="261"/>
      <c r="M1280" s="259">
        <f>M1279/L1279</f>
        <v>1.6146270088473071</v>
      </c>
      <c r="N1280" s="261"/>
      <c r="P1280" s="259">
        <f>P1279/O1279</f>
        <v>1.5510741116138265</v>
      </c>
      <c r="Q1280" s="261"/>
      <c r="S1280" s="259">
        <f>S1279/R1279</f>
        <v>1.3763711595713999</v>
      </c>
      <c r="T1280" s="261"/>
      <c r="V1280" s="259">
        <f>V1279/U1279</f>
        <v>0.25320246399719687</v>
      </c>
      <c r="W1280" s="261"/>
      <c r="X1280" s="5" t="s">
        <v>1475</v>
      </c>
      <c r="Y1280" s="259">
        <f>Y1279/X1279</f>
        <v>0.18661248620947724</v>
      </c>
      <c r="Z1280" s="261"/>
      <c r="AA1280" s="5" t="s">
        <v>1475</v>
      </c>
      <c r="AB1280" s="259">
        <f>AB1279/AA1279</f>
        <v>0.22012935380241866</v>
      </c>
      <c r="AC1280" s="261"/>
      <c r="AE1280" s="259">
        <f>AE1279/AD1279</f>
        <v>0.80698848446894778</v>
      </c>
      <c r="AF1280" s="261"/>
      <c r="AH1280" s="259">
        <f>AH1279/AG1279</f>
        <v>0.54980662818872161</v>
      </c>
      <c r="AI1280" s="261"/>
      <c r="AK1280" s="259">
        <f>AK1279/AJ1279</f>
        <v>0.73680625833247648</v>
      </c>
      <c r="AL1280" s="261"/>
      <c r="AN1280" s="85">
        <f>AN1279/AM1279</f>
        <v>1.2608695198160593</v>
      </c>
      <c r="AO1280" s="261"/>
      <c r="AQ1280" s="259">
        <f>AQ1279/AP1279</f>
        <v>1.2994025020916238</v>
      </c>
      <c r="AR1280" s="261"/>
      <c r="AT1280" s="259">
        <f>AT1279/AS1279</f>
        <v>0.33455132061015863</v>
      </c>
      <c r="AU1280" s="261"/>
      <c r="AW1280" s="259">
        <f>AW1279/AV1279</f>
        <v>0.11756026678241152</v>
      </c>
      <c r="AX1280" s="261"/>
      <c r="AZ1280" s="259">
        <f>AZ1279/AY1279</f>
        <v>0.19891570678414588</v>
      </c>
      <c r="BA1280" s="261"/>
      <c r="BC1280" s="259">
        <f>BC1279/BB1279</f>
        <v>0.20188970097373876</v>
      </c>
      <c r="BD1280" s="261"/>
      <c r="BF1280" s="85">
        <f>BF1279/BE1279</f>
        <v>0.79535519681895639</v>
      </c>
      <c r="BG1280" s="260"/>
    </row>
    <row r="1281" spans="4:59" ht="15" thickBot="1">
      <c r="D1281" s="11">
        <f>D1279/D1280</f>
        <v>55709.644950000002</v>
      </c>
      <c r="E1281" s="258"/>
      <c r="F1281" s="257" t="s">
        <v>1421</v>
      </c>
      <c r="G1281" s="256">
        <f>(G1279-F1279)/F1279</f>
        <v>-0.91707652332089296</v>
      </c>
      <c r="H1281" s="258"/>
      <c r="I1281" s="257" t="s">
        <v>1421</v>
      </c>
      <c r="J1281" s="256">
        <f>(J1279-I1279)/I1279</f>
        <v>-0.77495795901472975</v>
      </c>
      <c r="K1281" s="258"/>
      <c r="L1281" s="257"/>
      <c r="M1281" s="256">
        <f>(M1279-L1279)/L1279</f>
        <v>0.61462700884730725</v>
      </c>
      <c r="N1281" s="258"/>
      <c r="O1281" s="257"/>
      <c r="P1281" s="256">
        <f>(P1279-O1279)/O1279</f>
        <v>0.55107411161382636</v>
      </c>
      <c r="Q1281" s="258"/>
      <c r="R1281" s="257"/>
      <c r="S1281" s="256">
        <f>(S1279-R1279)/R1279</f>
        <v>0.37637115957139994</v>
      </c>
      <c r="T1281" s="258"/>
      <c r="U1281" s="257"/>
      <c r="V1281" s="256">
        <f>(V1279-U1279)/U1279</f>
        <v>-0.74679753600280308</v>
      </c>
      <c r="W1281" s="258"/>
      <c r="X1281" s="257" t="s">
        <v>1421</v>
      </c>
      <c r="Y1281" s="256">
        <f>(Y1279-X1279)/X1279</f>
        <v>-0.81338751379052276</v>
      </c>
      <c r="Z1281" s="258"/>
      <c r="AA1281" s="257" t="s">
        <v>1421</v>
      </c>
      <c r="AB1281" s="256">
        <f>(AB1279-AA1279)/AA1279</f>
        <v>-0.7798706461975814</v>
      </c>
      <c r="AC1281" s="258"/>
      <c r="AD1281" s="257"/>
      <c r="AE1281" s="256">
        <f>(AE1279-AD1279)/AD1279</f>
        <v>-0.19301151553105225</v>
      </c>
      <c r="AF1281" s="258"/>
      <c r="AG1281" s="257"/>
      <c r="AH1281" s="256">
        <f>(AH1279-AG1279)/AG1279</f>
        <v>-0.45019337181127833</v>
      </c>
      <c r="AI1281" s="258"/>
      <c r="AJ1281" s="257"/>
      <c r="AK1281" s="256">
        <f>(AK1279-AJ1279)/AJ1279</f>
        <v>-0.26319374166752357</v>
      </c>
      <c r="AL1281" s="258"/>
      <c r="AM1281" s="257"/>
      <c r="AN1281" s="242">
        <f>(AN1279-AM1279)/AM1279</f>
        <v>0.26086951981605944</v>
      </c>
      <c r="AO1281" s="258"/>
      <c r="AP1281" s="257"/>
      <c r="AQ1281" s="256">
        <f>(AQ1279-AP1279)/AP1279</f>
        <v>0.29940250209162378</v>
      </c>
      <c r="AR1281" s="258"/>
      <c r="AS1281" s="257"/>
      <c r="AT1281" s="256">
        <f>(AT1279-AS1279)/AS1279</f>
        <v>-0.66544867938984131</v>
      </c>
      <c r="AU1281" s="258"/>
      <c r="AV1281" s="257"/>
      <c r="AW1281" s="256">
        <f>(AW1279-AV1279)/AV1279</f>
        <v>-0.8824397332175884</v>
      </c>
      <c r="AX1281" s="258"/>
      <c r="AY1281" s="257"/>
      <c r="AZ1281" s="256">
        <f>(AZ1279-AY1279)/AY1279</f>
        <v>-0.80108429321585406</v>
      </c>
      <c r="BA1281" s="258"/>
      <c r="BB1281" s="257"/>
      <c r="BC1281" s="256">
        <f>(BC1279-BB1279)/BB1279</f>
        <v>-0.79811029902626118</v>
      </c>
      <c r="BD1281" s="258"/>
      <c r="BE1281" s="257"/>
      <c r="BF1281" s="242">
        <f>(BF1279-BE1279)/BE1279</f>
        <v>-0.20464480318104358</v>
      </c>
      <c r="BG1281" s="237"/>
    </row>
    <row r="1284" spans="4:59">
      <c r="D1284" s="42" t="s">
        <v>163</v>
      </c>
      <c r="E1284" s="42" t="s">
        <v>1488</v>
      </c>
      <c r="F1284" s="42" t="s">
        <v>1489</v>
      </c>
      <c r="G1284" s="42" t="s">
        <v>1488</v>
      </c>
      <c r="H1284" s="42" t="s">
        <v>1489</v>
      </c>
      <c r="I1284" s="42" t="s">
        <v>513</v>
      </c>
    </row>
    <row r="1285" spans="4:59">
      <c r="D1285" s="8" t="s">
        <v>161</v>
      </c>
      <c r="E1285" s="285">
        <v>0.13900000000000001</v>
      </c>
      <c r="F1285" s="49">
        <v>7826.99</v>
      </c>
      <c r="G1285" s="285">
        <v>0</v>
      </c>
      <c r="H1285" s="49">
        <v>0</v>
      </c>
      <c r="I1285" s="8" t="s">
        <v>518</v>
      </c>
    </row>
    <row r="1286" spans="4:59">
      <c r="D1286" s="8" t="s">
        <v>162</v>
      </c>
      <c r="E1286" s="285">
        <v>7.4999999999999997E-2</v>
      </c>
      <c r="F1286" s="49">
        <v>4186.8</v>
      </c>
      <c r="G1286" s="285">
        <v>0</v>
      </c>
      <c r="H1286" s="49">
        <v>0</v>
      </c>
      <c r="I1286" s="8" t="s">
        <v>518</v>
      </c>
      <c r="M1286" s="110"/>
      <c r="N1286" s="92"/>
      <c r="O1286" s="110"/>
    </row>
    <row r="1287" spans="4:59">
      <c r="D1287" s="8" t="s">
        <v>164</v>
      </c>
      <c r="E1287" s="285">
        <v>0.48599999999999999</v>
      </c>
      <c r="F1287" s="49">
        <v>27249.09</v>
      </c>
      <c r="G1287" s="285">
        <v>0.19016293469401463</v>
      </c>
      <c r="H1287" s="49">
        <v>10412.85010499999</v>
      </c>
      <c r="I1287" s="8" t="s">
        <v>518</v>
      </c>
      <c r="M1287" s="110"/>
      <c r="N1287" s="92"/>
      <c r="O1287" s="110"/>
    </row>
    <row r="1288" spans="4:59">
      <c r="D1288" s="8" t="s">
        <v>514</v>
      </c>
      <c r="E1288" s="285">
        <v>1.7999999999999999E-2</v>
      </c>
      <c r="F1288" s="49">
        <v>1035.07</v>
      </c>
      <c r="G1288" s="285">
        <v>9.837065305985309E-3</v>
      </c>
      <c r="H1288" s="49">
        <v>28.679579999999998</v>
      </c>
      <c r="I1288" s="8" t="s">
        <v>518</v>
      </c>
      <c r="M1288" s="110"/>
      <c r="N1288" s="92"/>
      <c r="O1288" s="110"/>
    </row>
    <row r="1289" spans="4:59">
      <c r="D1289" s="8" t="s">
        <v>168</v>
      </c>
      <c r="E1289" s="285">
        <v>1.4999999999999999E-2</v>
      </c>
      <c r="F1289" s="49">
        <v>825.73</v>
      </c>
      <c r="G1289" s="285">
        <v>0</v>
      </c>
      <c r="H1289" s="49">
        <v>0</v>
      </c>
      <c r="I1289" s="8" t="s">
        <v>518</v>
      </c>
      <c r="M1289" s="110"/>
      <c r="N1289" s="92"/>
      <c r="O1289" s="110"/>
    </row>
    <row r="1290" spans="4:59">
      <c r="D1290" s="8" t="s">
        <v>1473</v>
      </c>
      <c r="E1290" s="285">
        <v>0.17399999999999999</v>
      </c>
      <c r="F1290" s="49">
        <v>9780.83</v>
      </c>
      <c r="G1290" s="285">
        <v>0.33812119018985037</v>
      </c>
      <c r="H1290" s="49">
        <v>18290.88</v>
      </c>
      <c r="I1290" s="8" t="s">
        <v>516</v>
      </c>
      <c r="M1290" s="110"/>
      <c r="N1290" s="92"/>
      <c r="O1290" s="110"/>
    </row>
    <row r="1291" spans="4:59">
      <c r="D1291" s="8" t="s">
        <v>1462</v>
      </c>
      <c r="E1291" s="285">
        <v>0</v>
      </c>
      <c r="F1291" s="49">
        <v>0</v>
      </c>
      <c r="G1291" s="285">
        <v>0.30281926516045027</v>
      </c>
      <c r="H1291" s="49">
        <v>16381.2</v>
      </c>
      <c r="I1291" s="8" t="s">
        <v>516</v>
      </c>
      <c r="L1291" s="134"/>
      <c r="M1291" s="110"/>
      <c r="N1291" s="92"/>
      <c r="O1291" s="110"/>
    </row>
    <row r="1292" spans="4:59">
      <c r="D1292" s="8" t="s">
        <v>166</v>
      </c>
      <c r="E1292" s="285">
        <v>0.01</v>
      </c>
      <c r="F1292" s="49">
        <v>546.61</v>
      </c>
      <c r="G1292" s="285">
        <v>0.12954834873174342</v>
      </c>
      <c r="H1292" s="49">
        <v>7008</v>
      </c>
      <c r="I1292" s="8" t="s">
        <v>516</v>
      </c>
      <c r="L1292" s="134"/>
      <c r="M1292" s="110"/>
      <c r="N1292" s="92"/>
      <c r="O1292" s="110"/>
    </row>
    <row r="1293" spans="4:59">
      <c r="D1293" s="8" t="s">
        <v>167</v>
      </c>
      <c r="E1293" s="285">
        <v>1.2999999999999999E-2</v>
      </c>
      <c r="F1293" s="49">
        <v>744.32</v>
      </c>
      <c r="G1293" s="285">
        <v>7.1045471654338352E-3</v>
      </c>
      <c r="H1293" s="49">
        <v>20.71303</v>
      </c>
      <c r="I1293" s="8" t="s">
        <v>516</v>
      </c>
      <c r="M1293" s="110"/>
      <c r="N1293" s="92"/>
      <c r="O1293" s="110"/>
    </row>
    <row r="1294" spans="4:59">
      <c r="D1294" s="8" t="s">
        <v>515</v>
      </c>
      <c r="E1294" s="285">
        <v>0.02</v>
      </c>
      <c r="F1294" s="49">
        <v>1128.1099999999999</v>
      </c>
      <c r="G1294" s="285">
        <v>1.0930072562205901E-2</v>
      </c>
      <c r="H1294" s="49">
        <v>31.866199999999999</v>
      </c>
      <c r="I1294" s="8" t="s">
        <v>516</v>
      </c>
      <c r="L1294" s="134"/>
      <c r="M1294" s="110"/>
      <c r="N1294" s="92"/>
      <c r="O1294" s="110"/>
    </row>
    <row r="1295" spans="4:59">
      <c r="D1295" s="8" t="s">
        <v>170</v>
      </c>
      <c r="E1295" s="285">
        <v>2.1000000000000001E-2</v>
      </c>
      <c r="F1295" s="49">
        <v>1186.26</v>
      </c>
      <c r="G1295" s="285">
        <v>1.1476576190316197E-2</v>
      </c>
      <c r="H1295" s="49">
        <v>33.459510000000002</v>
      </c>
      <c r="I1295" s="8" t="s">
        <v>516</v>
      </c>
    </row>
    <row r="1296" spans="4:59">
      <c r="D1296" s="8" t="s">
        <v>517</v>
      </c>
      <c r="E1296" s="285">
        <v>0.23799999999999999</v>
      </c>
      <c r="F1296" s="49">
        <f>SUM(F1290:F1295)</f>
        <v>13386.130000000001</v>
      </c>
      <c r="G1296" s="299">
        <v>0.8</v>
      </c>
      <c r="H1296" s="49">
        <v>41766.118739999998</v>
      </c>
      <c r="I1296" s="8"/>
    </row>
    <row r="1297" spans="4:28">
      <c r="D1297" s="8" t="s">
        <v>492</v>
      </c>
      <c r="E1297" s="8"/>
      <c r="F1297" s="49">
        <f>SUM(F1285:F1295)</f>
        <v>54509.810000000012</v>
      </c>
      <c r="G1297" s="8"/>
      <c r="H1297" s="49">
        <v>52207.648424999992</v>
      </c>
      <c r="I1297" s="8"/>
    </row>
    <row r="1300" spans="4:28">
      <c r="D1300" s="8" t="s">
        <v>1453</v>
      </c>
      <c r="E1300" s="8" t="s">
        <v>1454</v>
      </c>
      <c r="F1300" s="8" t="s">
        <v>1455</v>
      </c>
      <c r="G1300" s="8" t="s">
        <v>1456</v>
      </c>
    </row>
    <row r="1301" spans="4:28">
      <c r="D1301" s="8">
        <f>3447+1151</f>
        <v>4598</v>
      </c>
      <c r="E1301" s="8">
        <f>D1301*11630</f>
        <v>53474740</v>
      </c>
      <c r="F1301" s="8">
        <f>E1301/1000</f>
        <v>53474.74</v>
      </c>
      <c r="G1301" s="8">
        <f>F1301/1000</f>
        <v>53.474739999999997</v>
      </c>
    </row>
    <row r="1303" spans="4:28">
      <c r="D1303" s="5" t="s">
        <v>1</v>
      </c>
    </row>
    <row r="1304" spans="4:28">
      <c r="D1304" s="5" t="s">
        <v>452</v>
      </c>
    </row>
    <row r="1305" spans="4:28" ht="29">
      <c r="D1305" s="8" t="s">
        <v>74</v>
      </c>
      <c r="E1305" s="8" t="s">
        <v>117</v>
      </c>
      <c r="F1305" s="8" t="s">
        <v>149</v>
      </c>
      <c r="G1305" s="8" t="s">
        <v>118</v>
      </c>
      <c r="H1305" s="8" t="s">
        <v>122</v>
      </c>
      <c r="I1305" s="8" t="s">
        <v>123</v>
      </c>
      <c r="J1305" s="8" t="s">
        <v>121</v>
      </c>
      <c r="K1305" s="8" t="s">
        <v>150</v>
      </c>
      <c r="L1305" s="8" t="s">
        <v>151</v>
      </c>
      <c r="M1305" s="8" t="s">
        <v>152</v>
      </c>
      <c r="N1305" s="8" t="s">
        <v>154</v>
      </c>
      <c r="O1305" s="8" t="s">
        <v>411</v>
      </c>
      <c r="P1305" s="8" t="s">
        <v>450</v>
      </c>
      <c r="Q1305" s="8" t="s">
        <v>453</v>
      </c>
      <c r="R1305" s="8"/>
      <c r="S1305" s="8" t="s">
        <v>1244</v>
      </c>
      <c r="T1305" s="8" t="s">
        <v>119</v>
      </c>
      <c r="U1305" s="8" t="s">
        <v>120</v>
      </c>
      <c r="V1305" s="8" t="s">
        <v>153</v>
      </c>
      <c r="W1305" s="102" t="s">
        <v>469</v>
      </c>
      <c r="X1305" s="8" t="s">
        <v>470</v>
      </c>
      <c r="Y1305" s="8" t="s">
        <v>471</v>
      </c>
      <c r="Z1305" s="8" t="s">
        <v>472</v>
      </c>
      <c r="AA1305" s="8" t="s">
        <v>473</v>
      </c>
      <c r="AB1305" s="8"/>
    </row>
    <row r="1306" spans="4:28">
      <c r="D1306" s="8" t="s">
        <v>62</v>
      </c>
      <c r="E1306" s="8">
        <f>'Parameter Inputs'!E70</f>
        <v>6</v>
      </c>
      <c r="F1306" s="8">
        <v>6.9686411149825798</v>
      </c>
      <c r="G1306" s="8">
        <v>120</v>
      </c>
      <c r="H1306" s="50">
        <f ca="1">2*PI()*('Parameter Inputs'!K786/2)*'Parameter Inputs'!L786</f>
        <v>455.7825920239099</v>
      </c>
      <c r="I1306" s="50">
        <f ca="1">PI()*(('Parameter Inputs'!K786/2)^2)</f>
        <v>113.94564800597747</v>
      </c>
      <c r="J1306" s="50">
        <f t="shared" ref="J1306:J1317" ca="1" si="18">I1306</f>
        <v>113.94564800597747</v>
      </c>
      <c r="K1306" s="8">
        <f ca="1">'Parameter Inputs'!F178*'Parameter Inputs'!H1306*('Parameter Inputs'!G1306-'Parameter Inputs'!E1306)*(60*30)</f>
        <v>65468611.518314414</v>
      </c>
      <c r="L1306" s="8">
        <f ca="1">'Parameter Inputs'!H178*'Parameter Inputs'!J1306*('Parameter Inputs'!G1306-'Parameter Inputs'!F1306)*(60*30)</f>
        <v>32456167.211536761</v>
      </c>
      <c r="M1306" s="8">
        <f ca="1">'Parameter Inputs'!J178*'Parameter Inputs'!I1306*('Parameter Inputs'!G1306-'Parameter Inputs'!E1306)*(60*30)</f>
        <v>66637693.866855748</v>
      </c>
      <c r="N1306" s="8">
        <f t="shared" ref="N1306:N1317" ca="1" si="19">K1306+L1306+M1306</f>
        <v>164562472.59670693</v>
      </c>
      <c r="O1306" s="8">
        <v>1</v>
      </c>
      <c r="P1306" s="8">
        <f t="shared" ref="P1306:P1317" ca="1" si="20">N1306*O1306</f>
        <v>164562472.59670693</v>
      </c>
      <c r="Q1306" s="8">
        <f ca="1">P1306*31</f>
        <v>5101436650.4979143</v>
      </c>
      <c r="R1306" s="8"/>
      <c r="S1306" s="49">
        <f ca="1">'Parameter Inputs'!L906</f>
        <v>25283.801978745334</v>
      </c>
      <c r="T1306" s="8">
        <v>4200</v>
      </c>
      <c r="U1306" s="103">
        <v>10.9876543209876</v>
      </c>
      <c r="V1306" s="8">
        <v>35</v>
      </c>
      <c r="W1306" s="58">
        <f t="shared" ref="W1306:W1317" ca="1" si="21">S1306*T1306*(V1306-U1306)</f>
        <v>2549918251.4119887</v>
      </c>
      <c r="X1306" s="58">
        <f ca="1">W1306*31</f>
        <v>79047465793.771652</v>
      </c>
      <c r="Y1306" s="58">
        <f t="shared" ref="Y1306:Y1317" ca="1" si="22">X1306+Q1306</f>
        <v>84148902444.269562</v>
      </c>
      <c r="Z1306" s="47">
        <f ca="1">0.000000277778*Y1306</f>
        <v>23374.713823164308</v>
      </c>
      <c r="AA1306" s="8"/>
      <c r="AB1306" s="58"/>
    </row>
    <row r="1307" spans="4:28">
      <c r="D1307" s="8" t="s">
        <v>63</v>
      </c>
      <c r="E1307" s="8">
        <f>'Parameter Inputs'!E72</f>
        <v>5</v>
      </c>
      <c r="F1307" s="8">
        <f>'Parameter Inputs'!F72</f>
        <v>5.8072009291521489</v>
      </c>
      <c r="G1307" s="8">
        <v>120</v>
      </c>
      <c r="H1307" s="50">
        <f ca="1">2*PI()*('Parameter Inputs'!K786/2)*'Parameter Inputs'!L786</f>
        <v>455.7825920239099</v>
      </c>
      <c r="I1307" s="50">
        <f ca="1">PI()*(('Parameter Inputs'!K786/2)^2)</f>
        <v>113.94564800597747</v>
      </c>
      <c r="J1307" s="50">
        <f t="shared" ca="1" si="18"/>
        <v>113.94564800597747</v>
      </c>
      <c r="K1307" s="8">
        <f ca="1">'Parameter Inputs'!F178*'Parameter Inputs'!H1307*('Parameter Inputs'!G1307-'Parameter Inputs'!E1307)*(60*30)</f>
        <v>66042897.584264532</v>
      </c>
      <c r="L1307" s="8">
        <f ca="1">'Parameter Inputs'!H178*'Parameter Inputs'!J1307*('Parameter Inputs'!G1307-'Parameter Inputs'!F1307)*(60*30)</f>
        <v>32789666.669115238</v>
      </c>
      <c r="M1307" s="8">
        <f ca="1">'Parameter Inputs'!J178*'Parameter Inputs'!I1307*('Parameter Inputs'!G1307-'Parameter Inputs'!E1307)*(60*30)</f>
        <v>67222235.041126415</v>
      </c>
      <c r="N1307" s="8">
        <f t="shared" ca="1" si="19"/>
        <v>166054799.29450619</v>
      </c>
      <c r="O1307" s="8">
        <v>1</v>
      </c>
      <c r="P1307" s="8">
        <f t="shared" ca="1" si="20"/>
        <v>166054799.29450619</v>
      </c>
      <c r="Q1307" s="8">
        <f ca="1">P1307*28</f>
        <v>4649534380.2461739</v>
      </c>
      <c r="R1307" s="8"/>
      <c r="S1307" s="49">
        <f ca="1">'Parameter Inputs'!L906</f>
        <v>25283.801978745334</v>
      </c>
      <c r="T1307" s="8">
        <v>4200</v>
      </c>
      <c r="U1307" s="103">
        <v>11.8518518518518</v>
      </c>
      <c r="V1307" s="8">
        <v>35</v>
      </c>
      <c r="W1307" s="58">
        <f t="shared" ca="1" si="21"/>
        <v>2458147414.6002464</v>
      </c>
      <c r="X1307" s="58">
        <f ca="1">W1307*28</f>
        <v>68828127608.8069</v>
      </c>
      <c r="Y1307" s="58">
        <f t="shared" ca="1" si="22"/>
        <v>73477661989.05307</v>
      </c>
      <c r="Z1307" s="47">
        <f t="shared" ref="Z1307:Z1317" ca="1" si="23">0.000000277778*Y1307</f>
        <v>20410.477991995183</v>
      </c>
      <c r="AA1307" s="8"/>
      <c r="AB1307" s="58"/>
    </row>
    <row r="1308" spans="4:28">
      <c r="D1308" s="8" t="s">
        <v>64</v>
      </c>
      <c r="E1308" s="8">
        <f>'Parameter Inputs'!E74</f>
        <v>7</v>
      </c>
      <c r="F1308" s="8">
        <f>'Parameter Inputs'!F74</f>
        <v>7.9006772009029342</v>
      </c>
      <c r="G1308" s="8">
        <v>120</v>
      </c>
      <c r="H1308" s="50">
        <f ca="1">2*PI()*('Parameter Inputs'!K786/2)*'Parameter Inputs'!L786</f>
        <v>455.7825920239099</v>
      </c>
      <c r="I1308" s="50">
        <f ca="1">PI()*(('Parameter Inputs'!K786/2)^2)</f>
        <v>113.94564800597747</v>
      </c>
      <c r="J1308" s="50">
        <f t="shared" ca="1" si="18"/>
        <v>113.94564800597747</v>
      </c>
      <c r="K1308" s="8">
        <f ca="1">'Parameter Inputs'!F178*'Parameter Inputs'!H1308*('Parameter Inputs'!G1308-'Parameter Inputs'!E1308)*(60*30)</f>
        <v>64894325.452364288</v>
      </c>
      <c r="L1308" s="8">
        <f ca="1">'Parameter Inputs'!H178*'Parameter Inputs'!J1308*('Parameter Inputs'!G1308-'Parameter Inputs'!F1308)*(60*30)</f>
        <v>32188539.542983383</v>
      </c>
      <c r="M1308" s="8">
        <f ca="1">'Parameter Inputs'!J178*'Parameter Inputs'!I1308*('Parameter Inputs'!G1308-'Parameter Inputs'!E1308)*(60*30)</f>
        <v>66053152.692585081</v>
      </c>
      <c r="N1308" s="8">
        <f t="shared" ca="1" si="19"/>
        <v>163136017.68793276</v>
      </c>
      <c r="O1308" s="8">
        <v>1</v>
      </c>
      <c r="P1308" s="8">
        <f t="shared" ca="1" si="20"/>
        <v>163136017.68793276</v>
      </c>
      <c r="Q1308" s="8">
        <f ca="1">P1308*31</f>
        <v>5057216548.3259153</v>
      </c>
      <c r="R1308" s="8"/>
      <c r="S1308" s="49">
        <f ca="1">'Parameter Inputs'!L906</f>
        <v>25283.801978745334</v>
      </c>
      <c r="T1308" s="8">
        <v>4200</v>
      </c>
      <c r="U1308" s="103">
        <v>12.592592592592499</v>
      </c>
      <c r="V1308" s="8">
        <v>35</v>
      </c>
      <c r="W1308" s="58">
        <f t="shared" ca="1" si="21"/>
        <v>2379486697.3330431</v>
      </c>
      <c r="X1308" s="58">
        <f ca="1">W1308*31</f>
        <v>73764087617.324341</v>
      </c>
      <c r="Y1308" s="58">
        <f t="shared" ca="1" si="22"/>
        <v>78821304165.650253</v>
      </c>
      <c r="Z1308" s="47">
        <f t="shared" ca="1" si="23"/>
        <v>21894.824228525995</v>
      </c>
      <c r="AA1308" s="8"/>
      <c r="AB1308" s="58"/>
    </row>
    <row r="1309" spans="4:28">
      <c r="D1309" s="8" t="s">
        <v>65</v>
      </c>
      <c r="E1309" s="8">
        <f>'Parameter Inputs'!E76</f>
        <v>8</v>
      </c>
      <c r="F1309" s="8">
        <f>'Parameter Inputs'!F76</f>
        <v>9.0293453724604973</v>
      </c>
      <c r="G1309" s="8">
        <v>120</v>
      </c>
      <c r="H1309" s="50">
        <f ca="1">2*PI()*('Parameter Inputs'!K786/2)*'Parameter Inputs'!L786</f>
        <v>455.7825920239099</v>
      </c>
      <c r="I1309" s="50">
        <f ca="1">PI()*(('Parameter Inputs'!K786/2)^2)</f>
        <v>113.94564800597747</v>
      </c>
      <c r="J1309" s="50">
        <f t="shared" ca="1" si="18"/>
        <v>113.94564800597747</v>
      </c>
      <c r="K1309" s="8">
        <f ca="1">'Parameter Inputs'!F178*'Parameter Inputs'!H1309*('Parameter Inputs'!G1309-'Parameter Inputs'!E1309)*(60*30)</f>
        <v>64320039.386414163</v>
      </c>
      <c r="L1309" s="8">
        <f ca="1">'Parameter Inputs'!H178*'Parameter Inputs'!J1309*('Parameter Inputs'!G1309-'Parameter Inputs'!F1309)*(60*30)</f>
        <v>31864450.340979926</v>
      </c>
      <c r="M1309" s="8">
        <f ca="1">'Parameter Inputs'!J178*'Parameter Inputs'!I1309*('Parameter Inputs'!G1309-'Parameter Inputs'!E1309)*(60*30)</f>
        <v>65468611.518314414</v>
      </c>
      <c r="N1309" s="8">
        <f t="shared" ca="1" si="19"/>
        <v>161653101.2457085</v>
      </c>
      <c r="O1309" s="8">
        <v>1</v>
      </c>
      <c r="P1309" s="8">
        <f t="shared" ca="1" si="20"/>
        <v>161653101.2457085</v>
      </c>
      <c r="Q1309" s="8">
        <f ca="1">P1309*30</f>
        <v>4849593037.3712549</v>
      </c>
      <c r="R1309" s="8"/>
      <c r="S1309" s="49">
        <f ca="1">'Parameter Inputs'!L906</f>
        <v>25283.801978745334</v>
      </c>
      <c r="T1309" s="8">
        <v>4200</v>
      </c>
      <c r="U1309" s="103">
        <v>15.1851851851851</v>
      </c>
      <c r="V1309" s="8">
        <v>35</v>
      </c>
      <c r="W1309" s="58">
        <f t="shared" ca="1" si="21"/>
        <v>2104174186.8978152</v>
      </c>
      <c r="X1309" s="58">
        <f ca="1">W1309*30</f>
        <v>63125225606.934456</v>
      </c>
      <c r="Y1309" s="58">
        <f t="shared" ca="1" si="22"/>
        <v>67974818644.30571</v>
      </c>
      <c r="Z1309" s="47">
        <f t="shared" ca="1" si="23"/>
        <v>18881.90917337795</v>
      </c>
      <c r="AA1309" s="8"/>
      <c r="AB1309" s="58"/>
    </row>
    <row r="1310" spans="4:28">
      <c r="D1310" s="8" t="s">
        <v>66</v>
      </c>
      <c r="E1310" s="8">
        <f>'Parameter Inputs'!E78</f>
        <v>11</v>
      </c>
      <c r="F1310" s="8">
        <f>'Parameter Inputs'!F78</f>
        <v>12.415349887133182</v>
      </c>
      <c r="G1310" s="8">
        <v>120</v>
      </c>
      <c r="H1310" s="50">
        <f ca="1">2*PI()*('Parameter Inputs'!K786/2)*'Parameter Inputs'!L786</f>
        <v>455.7825920239099</v>
      </c>
      <c r="I1310" s="50">
        <f ca="1">PI()*(('Parameter Inputs'!K786/2)^2)</f>
        <v>113.94564800597747</v>
      </c>
      <c r="J1310" s="50">
        <f t="shared" ca="1" si="18"/>
        <v>113.94564800597747</v>
      </c>
      <c r="K1310" s="8">
        <f ca="1">'Parameter Inputs'!F178*'Parameter Inputs'!H1310*('Parameter Inputs'!G1310-'Parameter Inputs'!E1310)*(60*30)</f>
        <v>62597181.188563779</v>
      </c>
      <c r="L1310" s="8">
        <f ca="1">'Parameter Inputs'!H178*'Parameter Inputs'!J1310*('Parameter Inputs'!G1310-'Parameter Inputs'!F1310)*(60*30)</f>
        <v>30892182.734969556</v>
      </c>
      <c r="M1310" s="8">
        <f ca="1">'Parameter Inputs'!J178*'Parameter Inputs'!I1310*('Parameter Inputs'!G1310-'Parameter Inputs'!E1310)*(60*30)</f>
        <v>63714987.99550242</v>
      </c>
      <c r="N1310" s="8">
        <f t="shared" ca="1" si="19"/>
        <v>157204351.91903576</v>
      </c>
      <c r="O1310" s="8">
        <v>1</v>
      </c>
      <c r="P1310" s="8">
        <f t="shared" ca="1" si="20"/>
        <v>157204351.91903576</v>
      </c>
      <c r="Q1310" s="8">
        <f ca="1">P1310*31</f>
        <v>4873334909.4901085</v>
      </c>
      <c r="R1310" s="8"/>
      <c r="S1310" s="8">
        <f ca="1">'Parameter Inputs'!E792*'Parameter Inputs'!$F$309</f>
        <v>25283.801978745327</v>
      </c>
      <c r="T1310" s="8">
        <v>4200</v>
      </c>
      <c r="U1310" s="103">
        <v>17.037037037036999</v>
      </c>
      <c r="V1310" s="8">
        <v>35</v>
      </c>
      <c r="W1310" s="58">
        <f t="shared" ca="1" si="21"/>
        <v>1907522393.7297902</v>
      </c>
      <c r="X1310" s="58">
        <f ca="1">W1310*31</f>
        <v>59133194205.623497</v>
      </c>
      <c r="Y1310" s="58">
        <f t="shared" ca="1" si="22"/>
        <v>64006529115.113602</v>
      </c>
      <c r="Z1310" s="47">
        <f t="shared" ca="1" si="23"/>
        <v>17779.605644538024</v>
      </c>
      <c r="AA1310" s="8"/>
      <c r="AB1310" s="58"/>
    </row>
    <row r="1311" spans="4:28">
      <c r="D1311" s="8" t="s">
        <v>67</v>
      </c>
      <c r="E1311" s="8">
        <f>'Parameter Inputs'!E80</f>
        <v>13</v>
      </c>
      <c r="F1311" s="8">
        <f>'Parameter Inputs'!F80</f>
        <v>18.465909090909093</v>
      </c>
      <c r="G1311" s="8">
        <v>120</v>
      </c>
      <c r="H1311" s="50">
        <f ca="1">2*PI()*('Parameter Inputs'!K786/2)*'Parameter Inputs'!L786</f>
        <v>455.7825920239099</v>
      </c>
      <c r="I1311" s="50">
        <f ca="1">PI()*(('Parameter Inputs'!K786/2)^2)</f>
        <v>113.94564800597747</v>
      </c>
      <c r="J1311" s="50">
        <f t="shared" ca="1" si="18"/>
        <v>113.94564800597747</v>
      </c>
      <c r="K1311" s="8">
        <f ca="1">'Parameter Inputs'!F178*'Parameter Inputs'!H1311*('Parameter Inputs'!G1311-'Parameter Inputs'!E1311)*(60*30)</f>
        <v>61448609.056663528</v>
      </c>
      <c r="L1311" s="8">
        <f ca="1">'Parameter Inputs'!H178*'Parameter Inputs'!J1311*('Parameter Inputs'!G1311-'Parameter Inputs'!F1311)*(60*30)</f>
        <v>29154806.814002156</v>
      </c>
      <c r="M1311" s="8">
        <f ca="1">'Parameter Inputs'!J178*'Parameter Inputs'!I1311*('Parameter Inputs'!G1311-'Parameter Inputs'!E1311)*(60*30)</f>
        <v>62545905.646961093</v>
      </c>
      <c r="N1311" s="8">
        <f t="shared" ca="1" si="19"/>
        <v>153149321.51762676</v>
      </c>
      <c r="O1311" s="8">
        <v>1</v>
      </c>
      <c r="P1311" s="8">
        <f t="shared" ca="1" si="20"/>
        <v>153149321.51762676</v>
      </c>
      <c r="Q1311" s="8">
        <f ca="1">P1311*30</f>
        <v>4594479645.5288029</v>
      </c>
      <c r="R1311" s="8"/>
      <c r="S1311" s="8">
        <f ca="1">'Parameter Inputs'!E792*'Parameter Inputs'!$F$309</f>
        <v>25283.801978745327</v>
      </c>
      <c r="T1311" s="8">
        <v>4200</v>
      </c>
      <c r="U1311" s="103">
        <v>18.148148148148099</v>
      </c>
      <c r="V1311" s="8">
        <v>35</v>
      </c>
      <c r="W1311" s="58">
        <f t="shared" ca="1" si="21"/>
        <v>1789531317.82898</v>
      </c>
      <c r="X1311" s="58">
        <f ca="1">W1311*30</f>
        <v>53685939534.8694</v>
      </c>
      <c r="Y1311" s="58">
        <f t="shared" ca="1" si="22"/>
        <v>58280419180.398201</v>
      </c>
      <c r="Z1311" s="47">
        <f t="shared" ca="1" si="23"/>
        <v>16189.01827909265</v>
      </c>
      <c r="AA1311" s="8"/>
      <c r="AB1311" s="58"/>
    </row>
    <row r="1312" spans="4:28">
      <c r="D1312" s="8" t="s">
        <v>68</v>
      </c>
      <c r="E1312" s="8">
        <f>'Parameter Inputs'!E82</f>
        <v>15</v>
      </c>
      <c r="F1312" s="8">
        <f>'Parameter Inputs'!F82</f>
        <v>21.306818181818183</v>
      </c>
      <c r="G1312" s="8">
        <v>120</v>
      </c>
      <c r="H1312" s="50">
        <f ca="1">2*PI()*('Parameter Inputs'!K786/2)*'Parameter Inputs'!L786</f>
        <v>455.7825920239099</v>
      </c>
      <c r="I1312" s="50">
        <f ca="1">PI()*(('Parameter Inputs'!K786/2)^2)</f>
        <v>113.94564800597747</v>
      </c>
      <c r="J1312" s="50">
        <f t="shared" ca="1" si="18"/>
        <v>113.94564800597747</v>
      </c>
      <c r="K1312" s="8">
        <f ca="1">'Parameter Inputs'!F178*'Parameter Inputs'!H1312*('Parameter Inputs'!G1312-'Parameter Inputs'!E1312)*(60*30)</f>
        <v>60300036.924763285</v>
      </c>
      <c r="L1312" s="8">
        <f ca="1">'Parameter Inputs'!H178*'Parameter Inputs'!J1312*('Parameter Inputs'!G1312-'Parameter Inputs'!F1312)*(60*30)</f>
        <v>28339059.56123209</v>
      </c>
      <c r="M1312" s="8">
        <f ca="1">'Parameter Inputs'!J178*'Parameter Inputs'!I1312*('Parameter Inputs'!G1312-'Parameter Inputs'!E1312)*(60*30)</f>
        <v>61376823.298419759</v>
      </c>
      <c r="N1312" s="8">
        <f t="shared" ca="1" si="19"/>
        <v>150015919.78441513</v>
      </c>
      <c r="O1312" s="8">
        <v>1</v>
      </c>
      <c r="P1312" s="8">
        <f t="shared" ca="1" si="20"/>
        <v>150015919.78441513</v>
      </c>
      <c r="Q1312" s="8">
        <f ca="1">P1312*31</f>
        <v>4650493513.3168688</v>
      </c>
      <c r="R1312" s="8"/>
      <c r="S1312" s="8">
        <f ca="1">'Parameter Inputs'!E792*'Parameter Inputs'!$F$309</f>
        <v>25283.801978745327</v>
      </c>
      <c r="T1312" s="8">
        <v>4200</v>
      </c>
      <c r="U1312" s="103">
        <v>18.6419753086419</v>
      </c>
      <c r="V1312" s="8">
        <v>35</v>
      </c>
      <c r="W1312" s="58">
        <f t="shared" ca="1" si="21"/>
        <v>1737090839.6508443</v>
      </c>
      <c r="X1312" s="58">
        <f ca="1">W1312*31</f>
        <v>53849816029.176178</v>
      </c>
      <c r="Y1312" s="58">
        <f t="shared" ca="1" si="22"/>
        <v>58500309542.49305</v>
      </c>
      <c r="Z1312" s="47">
        <f t="shared" ca="1" si="23"/>
        <v>16250.098984094633</v>
      </c>
      <c r="AA1312" s="8"/>
      <c r="AB1312" s="58"/>
    </row>
    <row r="1313" spans="4:43">
      <c r="D1313" s="8" t="s">
        <v>69</v>
      </c>
      <c r="E1313" s="8">
        <f>'Parameter Inputs'!E84</f>
        <v>15</v>
      </c>
      <c r="F1313" s="8">
        <f>'Parameter Inputs'!F84</f>
        <v>21.306818181818183</v>
      </c>
      <c r="G1313" s="8">
        <v>120</v>
      </c>
      <c r="H1313" s="50">
        <f ca="1">2*PI()*('Parameter Inputs'!K786/2)*'Parameter Inputs'!L786</f>
        <v>455.7825920239099</v>
      </c>
      <c r="I1313" s="50">
        <f ca="1">PI()*(('Parameter Inputs'!K786/2)^2)</f>
        <v>113.94564800597747</v>
      </c>
      <c r="J1313" s="50">
        <f t="shared" ca="1" si="18"/>
        <v>113.94564800597747</v>
      </c>
      <c r="K1313" s="8">
        <f ca="1">'Parameter Inputs'!F178*'Parameter Inputs'!H1313*('Parameter Inputs'!G1313-'Parameter Inputs'!E1313)*(60*30)</f>
        <v>60300036.924763285</v>
      </c>
      <c r="L1313" s="8">
        <f ca="1">'Parameter Inputs'!H178*'Parameter Inputs'!J1313*('Parameter Inputs'!G1313-'Parameter Inputs'!F1313)*(60*30)</f>
        <v>28339059.56123209</v>
      </c>
      <c r="M1313" s="8">
        <f ca="1">'Parameter Inputs'!J178*'Parameter Inputs'!I1313*('Parameter Inputs'!G1313-'Parameter Inputs'!E1313)*(60*30)</f>
        <v>61376823.298419759</v>
      </c>
      <c r="N1313" s="8">
        <f t="shared" ca="1" si="19"/>
        <v>150015919.78441513</v>
      </c>
      <c r="O1313" s="8">
        <v>1</v>
      </c>
      <c r="P1313" s="8">
        <f t="shared" ca="1" si="20"/>
        <v>150015919.78441513</v>
      </c>
      <c r="Q1313" s="8">
        <f ca="1">P1313*31</f>
        <v>4650493513.3168688</v>
      </c>
      <c r="R1313" s="8"/>
      <c r="S1313" s="8">
        <f ca="1">'Parameter Inputs'!E792*'Parameter Inputs'!$F$309</f>
        <v>25283.801978745327</v>
      </c>
      <c r="T1313" s="8">
        <v>4200</v>
      </c>
      <c r="U1313" s="103">
        <v>17.7777777777777</v>
      </c>
      <c r="V1313" s="8">
        <v>35</v>
      </c>
      <c r="W1313" s="58">
        <f t="shared" ca="1" si="21"/>
        <v>1828861676.4625869</v>
      </c>
      <c r="X1313" s="58">
        <f ca="1">W1313*31</f>
        <v>56694711970.340195</v>
      </c>
      <c r="Y1313" s="58">
        <f t="shared" ca="1" si="22"/>
        <v>61345205483.657066</v>
      </c>
      <c r="Z1313" s="47">
        <f t="shared" ca="1" si="23"/>
        <v>17040.348488839292</v>
      </c>
      <c r="AA1313" s="8"/>
      <c r="AB1313" s="58"/>
    </row>
    <row r="1314" spans="4:43">
      <c r="D1314" s="8" t="s">
        <v>70</v>
      </c>
      <c r="E1314" s="8">
        <f>'Parameter Inputs'!E86</f>
        <v>13</v>
      </c>
      <c r="F1314" s="8">
        <f>'Parameter Inputs'!F86</f>
        <v>15.911872705018361</v>
      </c>
      <c r="G1314" s="8">
        <v>120</v>
      </c>
      <c r="H1314" s="50">
        <f ca="1">2*PI()*('Parameter Inputs'!K786/2)*'Parameter Inputs'!L786</f>
        <v>455.7825920239099</v>
      </c>
      <c r="I1314" s="50">
        <f ca="1">PI()*(('Parameter Inputs'!K786/2)^2)</f>
        <v>113.94564800597747</v>
      </c>
      <c r="J1314" s="50">
        <f t="shared" ca="1" si="18"/>
        <v>113.94564800597747</v>
      </c>
      <c r="K1314" s="8">
        <f ca="1">'Parameter Inputs'!F178*'Parameter Inputs'!H1314*('Parameter Inputs'!G1314-'Parameter Inputs'!E1314)*(60*30)</f>
        <v>61448609.056663528</v>
      </c>
      <c r="L1314" s="8">
        <f ca="1">'Parameter Inputs'!H178*'Parameter Inputs'!J1314*('Parameter Inputs'!G1314-'Parameter Inputs'!F1314)*(60*30)</f>
        <v>29888180.568175491</v>
      </c>
      <c r="M1314" s="8">
        <f ca="1">'Parameter Inputs'!J178*'Parameter Inputs'!I1314*('Parameter Inputs'!G1314-'Parameter Inputs'!E1314)*(60*30)</f>
        <v>62545905.646961093</v>
      </c>
      <c r="N1314" s="8">
        <f t="shared" ca="1" si="19"/>
        <v>153882695.2718001</v>
      </c>
      <c r="O1314" s="8">
        <v>1</v>
      </c>
      <c r="P1314" s="8">
        <f t="shared" ca="1" si="20"/>
        <v>153882695.2718001</v>
      </c>
      <c r="Q1314" s="8">
        <f ca="1">P1314*30</f>
        <v>4616480858.1540031</v>
      </c>
      <c r="R1314" s="8"/>
      <c r="S1314" s="8">
        <f ca="1">'Parameter Inputs'!E792*'Parameter Inputs'!$F$309</f>
        <v>25283.801978745327</v>
      </c>
      <c r="T1314" s="8">
        <v>4200</v>
      </c>
      <c r="U1314" s="103">
        <v>15.432098765432</v>
      </c>
      <c r="V1314" s="8">
        <v>35</v>
      </c>
      <c r="W1314" s="58">
        <f t="shared" ca="1" si="21"/>
        <v>2077953947.8087466</v>
      </c>
      <c r="X1314" s="58">
        <f ca="1">W1314*30</f>
        <v>62338618434.262398</v>
      </c>
      <c r="Y1314" s="58">
        <f t="shared" ca="1" si="22"/>
        <v>66955099292.416397</v>
      </c>
      <c r="Z1314" s="47">
        <f t="shared" ca="1" si="23"/>
        <v>18598.65357124884</v>
      </c>
      <c r="AA1314" s="8"/>
      <c r="AB1314" s="58"/>
    </row>
    <row r="1315" spans="4:43">
      <c r="D1315" s="8" t="s">
        <v>71</v>
      </c>
      <c r="E1315" s="8">
        <f>'Parameter Inputs'!E88</f>
        <v>10</v>
      </c>
      <c r="F1315" s="8">
        <f>'Parameter Inputs'!F88</f>
        <v>12.239902080783354</v>
      </c>
      <c r="G1315" s="8">
        <v>120</v>
      </c>
      <c r="H1315" s="50">
        <f ca="1">2*PI()*('Parameter Inputs'!K786/2)*'Parameter Inputs'!L786</f>
        <v>455.7825920239099</v>
      </c>
      <c r="I1315" s="50">
        <f ca="1">PI()*(('Parameter Inputs'!K786/2)^2)</f>
        <v>113.94564800597747</v>
      </c>
      <c r="J1315" s="50">
        <f t="shared" ca="1" si="18"/>
        <v>113.94564800597747</v>
      </c>
      <c r="K1315" s="8">
        <f ca="1">'Parameter Inputs'!F178*'Parameter Inputs'!H1315*('Parameter Inputs'!G1315-'Parameter Inputs'!E1315)*(60*30)</f>
        <v>63171467.254513904</v>
      </c>
      <c r="L1315" s="8">
        <f ca="1">'Parameter Inputs'!H178*'Parameter Inputs'!J1315*('Parameter Inputs'!G1315-'Parameter Inputs'!F1315)*(60*30)</f>
        <v>30942561.350213669</v>
      </c>
      <c r="M1315" s="8">
        <f ca="1">'Parameter Inputs'!J178*'Parameter Inputs'!I1315*('Parameter Inputs'!G1315-'Parameter Inputs'!E1315)*(60*30)</f>
        <v>64299529.169773087</v>
      </c>
      <c r="N1315" s="8">
        <f t="shared" ca="1" si="19"/>
        <v>158413557.77450067</v>
      </c>
      <c r="O1315" s="8">
        <v>1</v>
      </c>
      <c r="P1315" s="8">
        <f t="shared" ca="1" si="20"/>
        <v>158413557.77450067</v>
      </c>
      <c r="Q1315" s="8">
        <f ca="1">P1315*31</f>
        <v>4910820291.0095205</v>
      </c>
      <c r="R1315" s="8"/>
      <c r="S1315" s="8">
        <f ca="1">'Parameter Inputs'!E792*'Parameter Inputs'!$F$309</f>
        <v>25283.801978745327</v>
      </c>
      <c r="T1315" s="8">
        <v>4200</v>
      </c>
      <c r="U1315" s="103">
        <v>13.703703703703701</v>
      </c>
      <c r="V1315" s="8">
        <v>35</v>
      </c>
      <c r="W1315" s="58">
        <f t="shared" ca="1" si="21"/>
        <v>2261495621.4322209</v>
      </c>
      <c r="X1315" s="58">
        <f ca="1">W1315*31</f>
        <v>70106364264.398849</v>
      </c>
      <c r="Y1315" s="58">
        <f t="shared" ca="1" si="22"/>
        <v>75017184555.408371</v>
      </c>
      <c r="Z1315" s="47">
        <f t="shared" ca="1" si="23"/>
        <v>20838.123491432227</v>
      </c>
      <c r="AA1315" s="8"/>
      <c r="AB1315" s="58"/>
    </row>
    <row r="1316" spans="4:43">
      <c r="D1316" s="8" t="s">
        <v>72</v>
      </c>
      <c r="E1316" s="8">
        <f>'Parameter Inputs'!E90</f>
        <v>8</v>
      </c>
      <c r="F1316" s="8">
        <f>'Parameter Inputs'!F90</f>
        <v>9.7919216646266829</v>
      </c>
      <c r="G1316" s="8">
        <v>120</v>
      </c>
      <c r="H1316" s="50">
        <f ca="1">2*PI()*('Parameter Inputs'!K786/2)*'Parameter Inputs'!L786</f>
        <v>455.7825920239099</v>
      </c>
      <c r="I1316" s="50">
        <f ca="1">PI()*(('Parameter Inputs'!K786/2)^2)</f>
        <v>113.94564800597747</v>
      </c>
      <c r="J1316" s="50">
        <f t="shared" ca="1" si="18"/>
        <v>113.94564800597747</v>
      </c>
      <c r="K1316" s="8">
        <f ca="1">'Parameter Inputs'!F178*'Parameter Inputs'!H1316*('Parameter Inputs'!G1316-'Parameter Inputs'!E1316)*(60*30)</f>
        <v>64320039.386414163</v>
      </c>
      <c r="L1316" s="8">
        <f ca="1">'Parameter Inputs'!H178*'Parameter Inputs'!J1316*('Parameter Inputs'!G1316-'Parameter Inputs'!F1316)*(60*30)</f>
        <v>31645481.871572446</v>
      </c>
      <c r="M1316" s="8">
        <f ca="1">'Parameter Inputs'!J178*'Parameter Inputs'!I1316*('Parameter Inputs'!G1316-'Parameter Inputs'!E1316)*(60*30)</f>
        <v>65468611.518314414</v>
      </c>
      <c r="N1316" s="8">
        <f t="shared" ca="1" si="19"/>
        <v>161434132.77630103</v>
      </c>
      <c r="O1316" s="8">
        <v>1</v>
      </c>
      <c r="P1316" s="8">
        <f t="shared" ca="1" si="20"/>
        <v>161434132.77630103</v>
      </c>
      <c r="Q1316" s="8">
        <f ca="1">P1316*30</f>
        <v>4843023983.289031</v>
      </c>
      <c r="R1316" s="8"/>
      <c r="S1316" s="8">
        <f ca="1">'Parameter Inputs'!E792*'Parameter Inputs'!$F$309</f>
        <v>25283.801978745327</v>
      </c>
      <c r="T1316" s="8">
        <v>4200</v>
      </c>
      <c r="U1316" s="103">
        <v>12.469135802469101</v>
      </c>
      <c r="V1316" s="8">
        <v>35</v>
      </c>
      <c r="W1316" s="58">
        <f t="shared" ca="1" si="21"/>
        <v>2392596816.8775706</v>
      </c>
      <c r="X1316" s="58">
        <f ca="1">W1316*30</f>
        <v>71777904506.327118</v>
      </c>
      <c r="Y1316" s="58">
        <f t="shared" ca="1" si="22"/>
        <v>76620928489.61615</v>
      </c>
      <c r="Z1316" s="47">
        <f t="shared" ca="1" si="23"/>
        <v>21283.608273988593</v>
      </c>
      <c r="AA1316" s="8"/>
      <c r="AB1316" s="58"/>
    </row>
    <row r="1317" spans="4:43" ht="15" thickBot="1">
      <c r="D1317" s="53" t="s">
        <v>73</v>
      </c>
      <c r="E1317" s="53">
        <f>'Parameter Inputs'!E92</f>
        <v>6</v>
      </c>
      <c r="F1317" s="8">
        <f>'Parameter Inputs'!F92</f>
        <v>6.9686411149825789</v>
      </c>
      <c r="G1317" s="8">
        <v>120</v>
      </c>
      <c r="H1317" s="54">
        <f ca="1">2*PI()*('Parameter Inputs'!K786/2)*'Parameter Inputs'!L786</f>
        <v>455.7825920239099</v>
      </c>
      <c r="I1317" s="50">
        <f ca="1">PI()*(('Parameter Inputs'!K786/2)^2)</f>
        <v>113.94564800597747</v>
      </c>
      <c r="J1317" s="50">
        <f t="shared" ca="1" si="18"/>
        <v>113.94564800597747</v>
      </c>
      <c r="K1317" s="8">
        <f ca="1">'Parameter Inputs'!F178*'Parameter Inputs'!H1317*('Parameter Inputs'!G1317-'Parameter Inputs'!E1317)*(60*30)</f>
        <v>65468611.518314414</v>
      </c>
      <c r="L1317" s="8">
        <f ca="1">'Parameter Inputs'!H178*'Parameter Inputs'!J1317*('Parameter Inputs'!G1317-'Parameter Inputs'!F1317)*(60*30)</f>
        <v>32456167.211536761</v>
      </c>
      <c r="M1317" s="8">
        <f ca="1">'Parameter Inputs'!J178*'Parameter Inputs'!I1317*('Parameter Inputs'!G1317-'Parameter Inputs'!E1317)*(60*30)</f>
        <v>66637693.866855748</v>
      </c>
      <c r="N1317" s="53">
        <f t="shared" ca="1" si="19"/>
        <v>164562472.59670693</v>
      </c>
      <c r="O1317" s="8">
        <v>1</v>
      </c>
      <c r="P1317" s="53">
        <f t="shared" ca="1" si="20"/>
        <v>164562472.59670693</v>
      </c>
      <c r="Q1317" s="53">
        <f ca="1">P1317*31</f>
        <v>5101436650.4979143</v>
      </c>
      <c r="R1317" s="53"/>
      <c r="S1317" s="53">
        <f ca="1">'Parameter Inputs'!E792*'Parameter Inputs'!$F$309</f>
        <v>25283.801978745327</v>
      </c>
      <c r="T1317" s="53">
        <v>4200</v>
      </c>
      <c r="U1317" s="53">
        <v>12.468999999999999</v>
      </c>
      <c r="V1317" s="53">
        <v>35</v>
      </c>
      <c r="W1317" s="104">
        <f t="shared" ca="1" si="21"/>
        <v>2392611238.0090656</v>
      </c>
      <c r="X1317" s="104">
        <f ca="1">W1317*31</f>
        <v>74170948378.281036</v>
      </c>
      <c r="Y1317" s="104">
        <f t="shared" ca="1" si="22"/>
        <v>79272385028.778946</v>
      </c>
      <c r="Z1317" s="56">
        <f t="shared" ca="1" si="23"/>
        <v>22020.124568524156</v>
      </c>
      <c r="AA1317" s="53"/>
      <c r="AB1317" s="104"/>
    </row>
    <row r="1318" spans="4:43" ht="15" thickTop="1">
      <c r="D1318" s="14" t="s">
        <v>477</v>
      </c>
      <c r="H1318" s="105"/>
      <c r="I1318" s="105"/>
      <c r="J1318" s="105"/>
      <c r="X1318" s="106"/>
      <c r="Y1318" s="106"/>
      <c r="Z1318" s="91">
        <f ca="1">SUM(Z1306:Z1317)</f>
        <v>234561.50651882184</v>
      </c>
      <c r="AA1318" s="91">
        <f ca="1">SUM(Z1306:Z1317)</f>
        <v>234561.50651882184</v>
      </c>
      <c r="AC1318" s="106"/>
    </row>
    <row r="1319" spans="4:43">
      <c r="H1319" s="105"/>
      <c r="I1319" s="105"/>
      <c r="J1319" s="105"/>
      <c r="X1319" s="106">
        <f ca="1">W1306+P1306</f>
        <v>2714480724.0086956</v>
      </c>
      <c r="Y1319" s="106"/>
      <c r="Z1319" s="91">
        <f ca="1">'Parameter Inputs'!E1229</f>
        <v>12967894.342601303</v>
      </c>
    </row>
    <row r="1320" spans="4:43">
      <c r="D1320" s="5" t="s">
        <v>1</v>
      </c>
      <c r="Z1320" s="91">
        <f ca="1">Z1319-Z1318</f>
        <v>12733332.836082481</v>
      </c>
    </row>
    <row r="1321" spans="4:43">
      <c r="D1321" s="5" t="s">
        <v>452</v>
      </c>
    </row>
    <row r="1322" spans="4:43">
      <c r="D1322" s="8" t="s">
        <v>74</v>
      </c>
      <c r="E1322" s="8" t="s">
        <v>117</v>
      </c>
      <c r="F1322" s="8" t="s">
        <v>149</v>
      </c>
      <c r="G1322" s="8" t="s">
        <v>118</v>
      </c>
      <c r="H1322" s="8" t="s">
        <v>122</v>
      </c>
      <c r="I1322" s="8" t="s">
        <v>123</v>
      </c>
      <c r="J1322" s="8" t="s">
        <v>121</v>
      </c>
      <c r="K1322" s="8" t="s">
        <v>150</v>
      </c>
      <c r="L1322" s="8" t="s">
        <v>151</v>
      </c>
      <c r="M1322" s="8" t="s">
        <v>152</v>
      </c>
      <c r="N1322" s="8" t="s">
        <v>154</v>
      </c>
      <c r="O1322" s="8" t="s">
        <v>411</v>
      </c>
      <c r="P1322" s="8" t="s">
        <v>450</v>
      </c>
      <c r="Q1322" s="8" t="s">
        <v>453</v>
      </c>
      <c r="R1322" s="8" t="s">
        <v>157</v>
      </c>
      <c r="S1322" s="8"/>
      <c r="T1322" s="8" t="s">
        <v>451</v>
      </c>
      <c r="U1322" s="8" t="s">
        <v>119</v>
      </c>
      <c r="V1322" s="8" t="s">
        <v>120</v>
      </c>
      <c r="W1322" s="8" t="s">
        <v>153</v>
      </c>
      <c r="X1322" s="8" t="s">
        <v>469</v>
      </c>
      <c r="Y1322" s="8" t="s">
        <v>470</v>
      </c>
      <c r="Z1322" s="8" t="s">
        <v>471</v>
      </c>
      <c r="AA1322" s="8" t="s">
        <v>472</v>
      </c>
      <c r="AB1322" s="8" t="s">
        <v>473</v>
      </c>
      <c r="AC1322" s="8" t="s">
        <v>410</v>
      </c>
      <c r="AF1322" s="5" t="s">
        <v>787</v>
      </c>
      <c r="AI1322" s="5" t="s">
        <v>788</v>
      </c>
      <c r="AL1322" s="5" t="s">
        <v>793</v>
      </c>
      <c r="AM1322" s="5" t="s">
        <v>794</v>
      </c>
      <c r="AN1322" s="5" t="s">
        <v>795</v>
      </c>
      <c r="AO1322" s="5" t="s">
        <v>796</v>
      </c>
      <c r="AP1322" s="5" t="s">
        <v>797</v>
      </c>
      <c r="AQ1322" s="5" t="s">
        <v>798</v>
      </c>
    </row>
    <row r="1323" spans="4:43">
      <c r="D1323" s="8" t="s">
        <v>62</v>
      </c>
      <c r="E1323" s="8">
        <f>'Parameter Inputs'!E70</f>
        <v>6</v>
      </c>
      <c r="F1323" s="8">
        <f>'Parameter Inputs'!F70</f>
        <v>6.9686411149825789</v>
      </c>
      <c r="G1323" s="8">
        <v>35</v>
      </c>
      <c r="H1323" s="50">
        <f ca="1">2*PI()*('Parameter Inputs'!$K$786/2)*'Parameter Inputs'!$L$786</f>
        <v>455.7825920239099</v>
      </c>
      <c r="I1323" s="50">
        <f ca="1">PI()*(('Parameter Inputs'!$K$786/2)^2)</f>
        <v>113.94564800597747</v>
      </c>
      <c r="J1323" s="50">
        <f t="shared" ref="J1323:J1334" ca="1" si="24">I1323</f>
        <v>113.94564800597747</v>
      </c>
      <c r="K1323" s="8">
        <f ca="1">'Parameter Inputs'!$F$180*'Parameter Inputs'!H1323*('Parameter Inputs'!G1323-'Parameter Inputs'!E1323)*86400</f>
        <v>799406203.80257607</v>
      </c>
      <c r="L1323" s="8">
        <f ca="1">'Parameter Inputs'!$H$180*'Parameter Inputs'!J1323*('Parameter Inputs'!G1323-'Parameter Inputs'!F1323)*86400</f>
        <v>386352451.61550671</v>
      </c>
      <c r="M1323" s="8">
        <f ca="1">'Parameter Inputs'!$J$180*'Parameter Inputs'!I1323*('Parameter Inputs'!G1323-'Parameter Inputs'!E1323)*86400</f>
        <v>813681314.58476484</v>
      </c>
      <c r="N1323" s="8">
        <f t="shared" ref="N1323:N1334" ca="1" si="25">K1323+L1323+M1323</f>
        <v>1999439970.0028477</v>
      </c>
      <c r="O1323" s="8">
        <f>'Parameter Inputs'!I786</f>
        <v>5</v>
      </c>
      <c r="P1323" s="8">
        <f t="shared" ref="P1323:P1334" ca="1" si="26">N1323*O1323</f>
        <v>9997199850.0142384</v>
      </c>
      <c r="Q1323" s="8">
        <f ca="1">P1323*31</f>
        <v>309913195350.44141</v>
      </c>
      <c r="R1323" s="8">
        <f ca="1">N1323*'Parameter Inputs'!$F$411</f>
        <v>9997199850.0142384</v>
      </c>
      <c r="S1323" s="8"/>
      <c r="T1323" s="8">
        <f ca="1">'Parameter Inputs'!H1064</f>
        <v>1247696.5896061466</v>
      </c>
      <c r="U1323" s="8">
        <v>4200</v>
      </c>
      <c r="V1323" s="103">
        <v>10.9876543209876</v>
      </c>
      <c r="W1323" s="8">
        <v>35</v>
      </c>
      <c r="X1323" s="58">
        <f t="shared" ref="X1323:X1334" ca="1" si="27">T1323*U1323*(W1323-V1323)</f>
        <v>125832511611.02017</v>
      </c>
      <c r="Y1323" s="58">
        <f ca="1">X1323*31</f>
        <v>3900807859941.6255</v>
      </c>
      <c r="Z1323" s="58">
        <f t="shared" ref="Z1323:Z1334" ca="1" si="28">Y1323+Q1323</f>
        <v>4210721055292.0669</v>
      </c>
      <c r="AA1323" s="47">
        <f ca="1">(0.000000277778)*Z1323</f>
        <v>1169645.6732969198</v>
      </c>
      <c r="AB1323" s="8"/>
      <c r="AC1323" s="58">
        <f ca="1">(X1323+R1323)/'Parameter Inputs'!$F$439</f>
        <v>156126105127.62576</v>
      </c>
      <c r="AF1323" s="106">
        <f ca="1">((X1323+N1323)*0.000001)/24</f>
        <v>5326.3313158759593</v>
      </c>
      <c r="AL1323" s="5">
        <f ca="1">'Parameter Inputs'!H1065</f>
        <v>1247.6965896061465</v>
      </c>
      <c r="AM1323" s="5">
        <f ca="1">AL1323/1000</f>
        <v>1.2476965896061465</v>
      </c>
      <c r="AN1323" s="5">
        <f>1000*1000</f>
        <v>1000000</v>
      </c>
      <c r="AO1323" s="5">
        <f>AM1330</f>
        <v>106.02875205865553</v>
      </c>
      <c r="AP1323" s="5">
        <f>AO1323*4200</f>
        <v>445320.75864635321</v>
      </c>
      <c r="AQ1323" s="5">
        <f>AP1323*(35-10)</f>
        <v>11133018.96615883</v>
      </c>
    </row>
    <row r="1324" spans="4:43">
      <c r="D1324" s="8" t="s">
        <v>63</v>
      </c>
      <c r="E1324" s="8">
        <f>'Parameter Inputs'!E72</f>
        <v>5</v>
      </c>
      <c r="F1324" s="8">
        <f>'Parameter Inputs'!F72</f>
        <v>5.8072009291521489</v>
      </c>
      <c r="G1324" s="8">
        <v>35</v>
      </c>
      <c r="H1324" s="50">
        <f ca="1">2*PI()*('Parameter Inputs'!$K$786/2)*'Parameter Inputs'!$L$786</f>
        <v>455.7825920239099</v>
      </c>
      <c r="I1324" s="50">
        <f ca="1">PI()*(('Parameter Inputs'!$K$786/2)^2)</f>
        <v>113.94564800597747</v>
      </c>
      <c r="J1324" s="50">
        <f t="shared" ca="1" si="24"/>
        <v>113.94564800597747</v>
      </c>
      <c r="K1324" s="8">
        <f ca="1">'Parameter Inputs'!$F$180*'Parameter Inputs'!H1324*('Parameter Inputs'!G1324-'Parameter Inputs'!E1324)*86400</f>
        <v>826971934.96818197</v>
      </c>
      <c r="L1324" s="8">
        <f ca="1">'Parameter Inputs'!$H$180*'Parameter Inputs'!J1324*('Parameter Inputs'!G1324-'Parameter Inputs'!F1324)*86400</f>
        <v>402360425.57927322</v>
      </c>
      <c r="M1324" s="8">
        <f ca="1">'Parameter Inputs'!$J$180*'Parameter Inputs'!I1324*('Parameter Inputs'!G1324-'Parameter Inputs'!E1324)*86400</f>
        <v>841739290.94975674</v>
      </c>
      <c r="N1324" s="8">
        <f t="shared" ca="1" si="25"/>
        <v>2071071651.4972119</v>
      </c>
      <c r="O1324" s="8">
        <f>'Parameter Inputs'!I786</f>
        <v>5</v>
      </c>
      <c r="P1324" s="8">
        <f t="shared" ca="1" si="26"/>
        <v>10355358257.486059</v>
      </c>
      <c r="Q1324" s="8">
        <f ca="1">P1324*28</f>
        <v>289950031209.60968</v>
      </c>
      <c r="R1324" s="8">
        <f ca="1">N1324*'Parameter Inputs'!$F$411</f>
        <v>10355358257.486059</v>
      </c>
      <c r="S1324" s="8"/>
      <c r="T1324" s="8">
        <f ca="1">'Parameter Inputs'!H1064</f>
        <v>1247696.5896061466</v>
      </c>
      <c r="U1324" s="8">
        <v>4200</v>
      </c>
      <c r="V1324" s="103">
        <v>11.8518518518518</v>
      </c>
      <c r="W1324" s="8">
        <v>35</v>
      </c>
      <c r="X1324" s="58">
        <f t="shared" ca="1" si="27"/>
        <v>121303835100.59787</v>
      </c>
      <c r="Y1324" s="58">
        <f ca="1">X1324*28</f>
        <v>3396507382816.7402</v>
      </c>
      <c r="Z1324" s="58">
        <f t="shared" ca="1" si="28"/>
        <v>3686457414026.3501</v>
      </c>
      <c r="AA1324" s="47">
        <f t="shared" ref="AA1324:AA1334" ca="1" si="29">(0.000000277778)*Z1324</f>
        <v>1024016.7675534114</v>
      </c>
      <c r="AB1324" s="8"/>
      <c r="AC1324" s="58">
        <f ca="1">(X1324+R1324)/'Parameter Inputs'!$F$439</f>
        <v>151332406158.71716</v>
      </c>
      <c r="AQ1324" s="5">
        <f ca="1">N1323/(60*60*24)</f>
        <v>23141.666319477405</v>
      </c>
    </row>
    <row r="1325" spans="4:43">
      <c r="D1325" s="8" t="s">
        <v>64</v>
      </c>
      <c r="E1325" s="8">
        <f>'Parameter Inputs'!E74</f>
        <v>7</v>
      </c>
      <c r="F1325" s="8">
        <f>'Parameter Inputs'!F74</f>
        <v>7.9006772009029342</v>
      </c>
      <c r="G1325" s="8">
        <v>35</v>
      </c>
      <c r="H1325" s="50">
        <f ca="1">2*PI()*('Parameter Inputs'!$K$786/2)*'Parameter Inputs'!$L$786</f>
        <v>455.7825920239099</v>
      </c>
      <c r="I1325" s="50">
        <f ca="1">PI()*(('Parameter Inputs'!$K$786/2)^2)</f>
        <v>113.94564800597747</v>
      </c>
      <c r="J1325" s="50">
        <f t="shared" ca="1" si="24"/>
        <v>113.94564800597747</v>
      </c>
      <c r="K1325" s="8">
        <f ca="1">'Parameter Inputs'!$F$180*'Parameter Inputs'!H1325*('Parameter Inputs'!G1325-'Parameter Inputs'!E1325)*86400</f>
        <v>771840472.63696992</v>
      </c>
      <c r="L1325" s="8">
        <f ca="1">'Parameter Inputs'!$H$180*'Parameter Inputs'!J1325*('Parameter Inputs'!G1325-'Parameter Inputs'!F1325)*86400</f>
        <v>373506323.5249446</v>
      </c>
      <c r="M1325" s="8">
        <f ca="1">'Parameter Inputs'!$J$180*'Parameter Inputs'!I1325*('Parameter Inputs'!G1325-'Parameter Inputs'!E1325)*86400</f>
        <v>785623338.21977293</v>
      </c>
      <c r="N1325" s="8">
        <f t="shared" ca="1" si="25"/>
        <v>1930970134.3816876</v>
      </c>
      <c r="O1325" s="8">
        <f>'Parameter Inputs'!I786</f>
        <v>5</v>
      </c>
      <c r="P1325" s="8">
        <f t="shared" ca="1" si="26"/>
        <v>9654850671.9084377</v>
      </c>
      <c r="Q1325" s="8">
        <f ca="1">P1325*31</f>
        <v>299300370829.16156</v>
      </c>
      <c r="R1325" s="8">
        <f ca="1">N1325*'Parameter Inputs'!$F$411</f>
        <v>9654850671.9084377</v>
      </c>
      <c r="S1325" s="8"/>
      <c r="T1325" s="8">
        <f ca="1">'Parameter Inputs'!H1064</f>
        <v>1247696.5896061466</v>
      </c>
      <c r="U1325" s="8">
        <v>4200</v>
      </c>
      <c r="V1325" s="103">
        <v>12.592592592592499</v>
      </c>
      <c r="W1325" s="8">
        <v>35</v>
      </c>
      <c r="X1325" s="58">
        <f t="shared" ca="1" si="27"/>
        <v>117422112377.37895</v>
      </c>
      <c r="Y1325" s="58">
        <f ca="1">X1325*31</f>
        <v>3640085483698.7476</v>
      </c>
      <c r="Z1325" s="58">
        <f t="shared" ca="1" si="28"/>
        <v>3939385854527.9092</v>
      </c>
      <c r="AA1325" s="47">
        <f t="shared" ca="1" si="29"/>
        <v>1094274.7238990534</v>
      </c>
      <c r="AB1325" s="8"/>
      <c r="AC1325" s="58">
        <f ca="1">(X1325+R1325)/'Parameter Inputs'!$F$439</f>
        <v>146065474769.29584</v>
      </c>
      <c r="AF1325" s="5" t="s">
        <v>780</v>
      </c>
      <c r="AG1325" s="5">
        <v>90</v>
      </c>
      <c r="AQ1325" s="106">
        <f ca="1">X1323/(60*60*24)</f>
        <v>1456394.8103127335</v>
      </c>
    </row>
    <row r="1326" spans="4:43">
      <c r="D1326" s="8" t="s">
        <v>65</v>
      </c>
      <c r="E1326" s="8">
        <f>'Parameter Inputs'!E76</f>
        <v>8</v>
      </c>
      <c r="F1326" s="8">
        <f>'Parameter Inputs'!F76</f>
        <v>9.0293453724604973</v>
      </c>
      <c r="G1326" s="8">
        <v>35</v>
      </c>
      <c r="H1326" s="50">
        <f ca="1">2*PI()*('Parameter Inputs'!$K$786/2)*'Parameter Inputs'!$L$786</f>
        <v>455.7825920239099</v>
      </c>
      <c r="I1326" s="50">
        <f ca="1">PI()*(('Parameter Inputs'!$K$786/2)^2)</f>
        <v>113.94564800597747</v>
      </c>
      <c r="J1326" s="50">
        <f t="shared" ca="1" si="24"/>
        <v>113.94564800597747</v>
      </c>
      <c r="K1326" s="8">
        <f ca="1">'Parameter Inputs'!$F$180*'Parameter Inputs'!H1326*('Parameter Inputs'!G1326-'Parameter Inputs'!E1326)*86400</f>
        <v>744274741.4713639</v>
      </c>
      <c r="L1326" s="8">
        <f ca="1">'Parameter Inputs'!$H$180*'Parameter Inputs'!J1326*('Parameter Inputs'!G1326-'Parameter Inputs'!F1326)*86400</f>
        <v>357950041.82877862</v>
      </c>
      <c r="M1326" s="8">
        <f ca="1">'Parameter Inputs'!$J$180*'Parameter Inputs'!I1326*('Parameter Inputs'!G1326-'Parameter Inputs'!E1326)*86400</f>
        <v>757565361.85478115</v>
      </c>
      <c r="N1326" s="8">
        <f t="shared" ca="1" si="25"/>
        <v>1859790145.1549237</v>
      </c>
      <c r="O1326" s="8">
        <f>'Parameter Inputs'!I786</f>
        <v>5</v>
      </c>
      <c r="P1326" s="8">
        <f t="shared" ca="1" si="26"/>
        <v>9298950725.7746181</v>
      </c>
      <c r="Q1326" s="8">
        <f ca="1">P1326*30</f>
        <v>278968521773.23853</v>
      </c>
      <c r="R1326" s="8">
        <f ca="1">N1326*'Parameter Inputs'!$F$411</f>
        <v>9298950725.7746181</v>
      </c>
      <c r="S1326" s="8"/>
      <c r="T1326" s="8">
        <f ca="1">'Parameter Inputs'!H1064</f>
        <v>1247696.5896061466</v>
      </c>
      <c r="U1326" s="8">
        <v>4200</v>
      </c>
      <c r="V1326" s="103">
        <v>15.1851851851851</v>
      </c>
      <c r="W1326" s="8">
        <v>35</v>
      </c>
      <c r="X1326" s="58">
        <f t="shared" ca="1" si="27"/>
        <v>103836082846.11198</v>
      </c>
      <c r="Y1326" s="58">
        <f ca="1">X1326*30</f>
        <v>3115082485383.3594</v>
      </c>
      <c r="Z1326" s="58">
        <f t="shared" ca="1" si="28"/>
        <v>3394051007156.5977</v>
      </c>
      <c r="AA1326" s="47">
        <f t="shared" ca="1" si="29"/>
        <v>942792.7006659453</v>
      </c>
      <c r="AB1326" s="8"/>
      <c r="AC1326" s="58">
        <f ca="1">(X1326+R1326)/'Parameter Inputs'!$F$439</f>
        <v>130040268473.43288</v>
      </c>
      <c r="AF1326" s="5" t="s">
        <v>781</v>
      </c>
      <c r="AG1326" s="5">
        <v>40</v>
      </c>
      <c r="AQ1326" s="91">
        <f ca="1">AQ1325+AQ1324</f>
        <v>1479536.4766322109</v>
      </c>
    </row>
    <row r="1327" spans="4:43">
      <c r="D1327" s="8" t="s">
        <v>66</v>
      </c>
      <c r="E1327" s="8">
        <f>'Parameter Inputs'!E78</f>
        <v>11</v>
      </c>
      <c r="F1327" s="8">
        <f>'Parameter Inputs'!F78</f>
        <v>12.415349887133182</v>
      </c>
      <c r="G1327" s="8">
        <v>35</v>
      </c>
      <c r="H1327" s="50">
        <f ca="1">2*PI()*('Parameter Inputs'!$K$786/2)*'Parameter Inputs'!$L$786</f>
        <v>455.7825920239099</v>
      </c>
      <c r="I1327" s="50">
        <f ca="1">PI()*(('Parameter Inputs'!$K$786/2)^2)</f>
        <v>113.94564800597747</v>
      </c>
      <c r="J1327" s="50">
        <f t="shared" ca="1" si="24"/>
        <v>113.94564800597747</v>
      </c>
      <c r="K1327" s="8">
        <f ca="1">'Parameter Inputs'!$F$180*'Parameter Inputs'!H1327*('Parameter Inputs'!G1327-'Parameter Inputs'!E1327)*86400</f>
        <v>661577547.97454572</v>
      </c>
      <c r="L1327" s="8">
        <f ca="1">'Parameter Inputs'!$H$180*'Parameter Inputs'!J1327*('Parameter Inputs'!G1327-'Parameter Inputs'!F1327)*86400</f>
        <v>311281196.74028075</v>
      </c>
      <c r="M1327" s="8">
        <f ca="1">'Parameter Inputs'!$J$180*'Parameter Inputs'!I1327*('Parameter Inputs'!G1327-'Parameter Inputs'!E1327)*86400</f>
        <v>673391432.75980544</v>
      </c>
      <c r="N1327" s="8">
        <f t="shared" ca="1" si="25"/>
        <v>1646250177.4746318</v>
      </c>
      <c r="O1327" s="8">
        <f>'Parameter Inputs'!I786</f>
        <v>5</v>
      </c>
      <c r="P1327" s="8">
        <f t="shared" ca="1" si="26"/>
        <v>8231250887.3731594</v>
      </c>
      <c r="Q1327" s="8">
        <f ca="1">P1327*31</f>
        <v>255168777508.56793</v>
      </c>
      <c r="R1327" s="8">
        <f ca="1">N1327*'Parameter Inputs'!$F$411</f>
        <v>8231250887.3731594</v>
      </c>
      <c r="S1327" s="8"/>
      <c r="T1327" s="8">
        <f ca="1">'Parameter Inputs'!H1064</f>
        <v>1247696.5896061466</v>
      </c>
      <c r="U1327" s="8">
        <v>4200</v>
      </c>
      <c r="V1327" s="103">
        <v>17.037037037036999</v>
      </c>
      <c r="W1327" s="8">
        <v>35</v>
      </c>
      <c r="X1327" s="58">
        <f t="shared" ca="1" si="27"/>
        <v>94131776038.063919</v>
      </c>
      <c r="Y1327" s="58">
        <f ca="1">X1327*31</f>
        <v>2918085057179.9814</v>
      </c>
      <c r="Z1327" s="58">
        <f t="shared" ca="1" si="28"/>
        <v>3173253834688.5493</v>
      </c>
      <c r="AA1327" s="47">
        <f t="shared" ca="1" si="29"/>
        <v>881460.10369211587</v>
      </c>
      <c r="AB1327" s="8"/>
      <c r="AC1327" s="58">
        <f ca="1">(X1327+R1327)/'Parameter Inputs'!$F$439</f>
        <v>117658651638.43341</v>
      </c>
      <c r="AF1327" s="5" t="s">
        <v>782</v>
      </c>
      <c r="AG1327" s="5">
        <v>10</v>
      </c>
    </row>
    <row r="1328" spans="4:43">
      <c r="D1328" s="8" t="s">
        <v>67</v>
      </c>
      <c r="E1328" s="8">
        <f>'Parameter Inputs'!E80</f>
        <v>13</v>
      </c>
      <c r="F1328" s="8">
        <f>'Parameter Inputs'!F80</f>
        <v>18.465909090909093</v>
      </c>
      <c r="G1328" s="8">
        <v>35</v>
      </c>
      <c r="H1328" s="50">
        <f ca="1">2*PI()*('Parameter Inputs'!$K$786/2)*'Parameter Inputs'!$L$786</f>
        <v>455.7825920239099</v>
      </c>
      <c r="I1328" s="50">
        <f ca="1">PI()*(('Parameter Inputs'!$K$786/2)^2)</f>
        <v>113.94564800597747</v>
      </c>
      <c r="J1328" s="50">
        <f t="shared" ca="1" si="24"/>
        <v>113.94564800597747</v>
      </c>
      <c r="K1328" s="8">
        <f ca="1">'Parameter Inputs'!$F$180*'Parameter Inputs'!H1328*('Parameter Inputs'!G1328-'Parameter Inputs'!E1328)*86400</f>
        <v>606446085.64333344</v>
      </c>
      <c r="L1328" s="8">
        <f ca="1">'Parameter Inputs'!$H$180*'Parameter Inputs'!J1328*('Parameter Inputs'!G1328-'Parameter Inputs'!F1328)*86400</f>
        <v>227887152.5338456</v>
      </c>
      <c r="M1328" s="8">
        <f ca="1">'Parameter Inputs'!$J$180*'Parameter Inputs'!I1328*('Parameter Inputs'!G1328-'Parameter Inputs'!E1328)*86400</f>
        <v>617275480.02982163</v>
      </c>
      <c r="N1328" s="8">
        <f t="shared" ca="1" si="25"/>
        <v>1451608718.2070007</v>
      </c>
      <c r="O1328" s="8">
        <f>'Parameter Inputs'!I786</f>
        <v>5</v>
      </c>
      <c r="P1328" s="8">
        <f t="shared" ca="1" si="26"/>
        <v>7258043591.0350037</v>
      </c>
      <c r="Q1328" s="8">
        <f ca="1">P1328*30</f>
        <v>217741307731.05011</v>
      </c>
      <c r="R1328" s="8">
        <f ca="1">N1328*'Parameter Inputs'!$F$411</f>
        <v>7258043591.0350037</v>
      </c>
      <c r="S1328" s="8"/>
      <c r="T1328" s="8">
        <f ca="1">'Parameter Inputs'!H1064</f>
        <v>1247696.5896061466</v>
      </c>
      <c r="U1328" s="8">
        <v>4200</v>
      </c>
      <c r="V1328" s="103">
        <v>18.148148148148099</v>
      </c>
      <c r="W1328" s="8">
        <v>35</v>
      </c>
      <c r="X1328" s="58">
        <f t="shared" ca="1" si="27"/>
        <v>88309191953.235306</v>
      </c>
      <c r="Y1328" s="58">
        <f ca="1">X1328*30</f>
        <v>2649275758597.0591</v>
      </c>
      <c r="Z1328" s="58">
        <f t="shared" ca="1" si="28"/>
        <v>2867017066328.1094</v>
      </c>
      <c r="AA1328" s="47">
        <f t="shared" ca="1" si="29"/>
        <v>796394.26665048953</v>
      </c>
      <c r="AB1328" s="8"/>
      <c r="AC1328" s="58">
        <f ca="1">(X1328+R1328)/'Parameter Inputs'!$F$439</f>
        <v>109847397177.32219</v>
      </c>
      <c r="AF1328" s="5" t="s">
        <v>783</v>
      </c>
      <c r="AG1328" s="5">
        <v>35</v>
      </c>
    </row>
    <row r="1329" spans="4:39">
      <c r="D1329" s="8" t="s">
        <v>68</v>
      </c>
      <c r="E1329" s="8">
        <f>'Parameter Inputs'!E82</f>
        <v>15</v>
      </c>
      <c r="F1329" s="8">
        <f>'Parameter Inputs'!F82</f>
        <v>21.306818181818183</v>
      </c>
      <c r="G1329" s="8">
        <v>35</v>
      </c>
      <c r="H1329" s="50">
        <f ca="1">2*PI()*('Parameter Inputs'!$K$786/2)*'Parameter Inputs'!$L$786</f>
        <v>455.7825920239099</v>
      </c>
      <c r="I1329" s="50">
        <f ca="1">PI()*(('Parameter Inputs'!$K$786/2)^2)</f>
        <v>113.94564800597747</v>
      </c>
      <c r="J1329" s="50">
        <f t="shared" ca="1" si="24"/>
        <v>113.94564800597747</v>
      </c>
      <c r="K1329" s="8">
        <f ca="1">'Parameter Inputs'!$F$180*'Parameter Inputs'!H1329*('Parameter Inputs'!G1329-'Parameter Inputs'!E1329)*86400</f>
        <v>551314623.31212139</v>
      </c>
      <c r="L1329" s="8">
        <f ca="1">'Parameter Inputs'!$H$180*'Parameter Inputs'!J1329*('Parameter Inputs'!G1329-'Parameter Inputs'!F1329)*86400</f>
        <v>188731284.40088242</v>
      </c>
      <c r="M1329" s="8">
        <f ca="1">'Parameter Inputs'!$J$180*'Parameter Inputs'!I1329*('Parameter Inputs'!G1329-'Parameter Inputs'!E1329)*86400</f>
        <v>561159527.29983783</v>
      </c>
      <c r="N1329" s="8">
        <f t="shared" ca="1" si="25"/>
        <v>1301205435.0128417</v>
      </c>
      <c r="O1329" s="8">
        <f>'Parameter Inputs'!I786</f>
        <v>5</v>
      </c>
      <c r="P1329" s="8">
        <f t="shared" ca="1" si="26"/>
        <v>6506027175.064209</v>
      </c>
      <c r="Q1329" s="8">
        <f ca="1">P1329*31</f>
        <v>201686842426.99048</v>
      </c>
      <c r="R1329" s="8">
        <f ca="1">N1329*'Parameter Inputs'!$F$411</f>
        <v>6506027175.064209</v>
      </c>
      <c r="S1329" s="8"/>
      <c r="T1329" s="8">
        <f ca="1">'Parameter Inputs'!H1064</f>
        <v>1247696.5896061466</v>
      </c>
      <c r="U1329" s="8">
        <v>4200</v>
      </c>
      <c r="V1329" s="103">
        <v>18.6419753086419</v>
      </c>
      <c r="W1329" s="8">
        <v>35</v>
      </c>
      <c r="X1329" s="58">
        <f t="shared" ca="1" si="27"/>
        <v>85721376804.422684</v>
      </c>
      <c r="Y1329" s="58">
        <f ca="1">X1329*31</f>
        <v>2657362680937.103</v>
      </c>
      <c r="Z1329" s="58">
        <f t="shared" ca="1" si="28"/>
        <v>2859049523364.0938</v>
      </c>
      <c r="AA1329" s="47">
        <f t="shared" ca="1" si="29"/>
        <v>794181.05850103125</v>
      </c>
      <c r="AB1329" s="8"/>
      <c r="AC1329" s="58">
        <f ca="1">(X1329+R1329)/'Parameter Inputs'!$F$439</f>
        <v>106008510321.2493</v>
      </c>
      <c r="AF1329" s="5" t="s">
        <v>784</v>
      </c>
      <c r="AG1329" s="86">
        <f>((AG1326-AG1328)-(AG1325-AG1327))/(LN(AG1331))</f>
        <v>27.050532016668065</v>
      </c>
      <c r="AL1329" s="5" t="s">
        <v>801</v>
      </c>
      <c r="AM1329" s="5">
        <f ca="1">AL1323*1000</f>
        <v>1247696.5896061466</v>
      </c>
    </row>
    <row r="1330" spans="4:39">
      <c r="D1330" s="8" t="s">
        <v>69</v>
      </c>
      <c r="E1330" s="8">
        <f>'Parameter Inputs'!E84</f>
        <v>15</v>
      </c>
      <c r="F1330" s="8">
        <f>'Parameter Inputs'!F84</f>
        <v>21.306818181818183</v>
      </c>
      <c r="G1330" s="8">
        <v>35</v>
      </c>
      <c r="H1330" s="50">
        <f ca="1">2*PI()*('Parameter Inputs'!$K$786/2)*'Parameter Inputs'!$L$786</f>
        <v>455.7825920239099</v>
      </c>
      <c r="I1330" s="50">
        <f ca="1">PI()*(('Parameter Inputs'!$K$786/2)^2)</f>
        <v>113.94564800597747</v>
      </c>
      <c r="J1330" s="50">
        <f t="shared" ca="1" si="24"/>
        <v>113.94564800597747</v>
      </c>
      <c r="K1330" s="8">
        <f ca="1">'Parameter Inputs'!$F$180*'Parameter Inputs'!H1330*('Parameter Inputs'!G1330-'Parameter Inputs'!E1330)*86400</f>
        <v>551314623.31212139</v>
      </c>
      <c r="L1330" s="8">
        <f ca="1">'Parameter Inputs'!$H$180*'Parameter Inputs'!J1330*('Parameter Inputs'!G1330-'Parameter Inputs'!F1330)*86400</f>
        <v>188731284.40088242</v>
      </c>
      <c r="M1330" s="8">
        <f ca="1">'Parameter Inputs'!$J$180*'Parameter Inputs'!I1330*('Parameter Inputs'!G1330-'Parameter Inputs'!E1330)*86400</f>
        <v>561159527.29983783</v>
      </c>
      <c r="N1330" s="8">
        <f t="shared" ca="1" si="25"/>
        <v>1301205435.0128417</v>
      </c>
      <c r="O1330" s="8">
        <f>'Parameter Inputs'!I786</f>
        <v>5</v>
      </c>
      <c r="P1330" s="8">
        <f t="shared" ca="1" si="26"/>
        <v>6506027175.064209</v>
      </c>
      <c r="Q1330" s="8">
        <f ca="1">P1330*31</f>
        <v>201686842426.99048</v>
      </c>
      <c r="R1330" s="8">
        <f ca="1">N1330*'Parameter Inputs'!$F$411</f>
        <v>6506027175.064209</v>
      </c>
      <c r="S1330" s="8"/>
      <c r="T1330" s="8">
        <f ca="1">'Parameter Inputs'!H1064</f>
        <v>1247696.5896061466</v>
      </c>
      <c r="U1330" s="8">
        <v>4200</v>
      </c>
      <c r="V1330" s="103">
        <v>17.7777777777777</v>
      </c>
      <c r="W1330" s="8">
        <v>35</v>
      </c>
      <c r="X1330" s="58">
        <f t="shared" ca="1" si="27"/>
        <v>90250053314.845001</v>
      </c>
      <c r="Y1330" s="58">
        <f ca="1">X1330*31</f>
        <v>2797751652760.1948</v>
      </c>
      <c r="Z1330" s="58">
        <f t="shared" ca="1" si="28"/>
        <v>2999438495187.1855</v>
      </c>
      <c r="AA1330" s="47">
        <f t="shared" ca="1" si="29"/>
        <v>833178.02631610597</v>
      </c>
      <c r="AB1330" s="8"/>
      <c r="AC1330" s="58">
        <f ca="1">(X1330+R1330)/'Parameter Inputs'!$F$439</f>
        <v>111213885620.5853</v>
      </c>
      <c r="AL1330" s="5" t="s">
        <v>799</v>
      </c>
      <c r="AM1330" s="5">
        <f>(1000)*(PI()*(0.15^2)*(1.5))</f>
        <v>106.02875205865553</v>
      </c>
    </row>
    <row r="1331" spans="4:39">
      <c r="D1331" s="8" t="s">
        <v>70</v>
      </c>
      <c r="E1331" s="8">
        <f>'Parameter Inputs'!E86</f>
        <v>13</v>
      </c>
      <c r="F1331" s="8">
        <f>'Parameter Inputs'!F86</f>
        <v>15.911872705018361</v>
      </c>
      <c r="G1331" s="8">
        <v>35</v>
      </c>
      <c r="H1331" s="50">
        <f ca="1">2*PI()*('Parameter Inputs'!$K$786/2)*'Parameter Inputs'!$L$786</f>
        <v>455.7825920239099</v>
      </c>
      <c r="I1331" s="50">
        <f ca="1">PI()*(('Parameter Inputs'!$K$786/2)^2)</f>
        <v>113.94564800597747</v>
      </c>
      <c r="J1331" s="50">
        <f t="shared" ca="1" si="24"/>
        <v>113.94564800597747</v>
      </c>
      <c r="K1331" s="8">
        <f ca="1">'Parameter Inputs'!$F$180*'Parameter Inputs'!H1331*('Parameter Inputs'!G1331-'Parameter Inputs'!E1331)*86400</f>
        <v>606446085.64333344</v>
      </c>
      <c r="L1331" s="8">
        <f ca="1">'Parameter Inputs'!$H$180*'Parameter Inputs'!J1331*('Parameter Inputs'!G1331-'Parameter Inputs'!F1331)*86400</f>
        <v>263089092.73416561</v>
      </c>
      <c r="M1331" s="8">
        <f ca="1">'Parameter Inputs'!$J$180*'Parameter Inputs'!I1331*('Parameter Inputs'!G1331-'Parameter Inputs'!E1331)*86400</f>
        <v>617275480.02982163</v>
      </c>
      <c r="N1331" s="8">
        <f t="shared" ca="1" si="25"/>
        <v>1486810658.4073207</v>
      </c>
      <c r="O1331" s="8">
        <f>'Parameter Inputs'!I786</f>
        <v>5</v>
      </c>
      <c r="P1331" s="8">
        <f t="shared" ca="1" si="26"/>
        <v>7434053292.0366039</v>
      </c>
      <c r="Q1331" s="8">
        <f ca="1">P1331*30</f>
        <v>223021598761.09811</v>
      </c>
      <c r="R1331" s="8">
        <f ca="1">N1331*'Parameter Inputs'!$F$411</f>
        <v>7434053292.0366039</v>
      </c>
      <c r="S1331" s="8"/>
      <c r="T1331" s="8">
        <f ca="1">'Parameter Inputs'!H1064</f>
        <v>1247696.5896061466</v>
      </c>
      <c r="U1331" s="8">
        <v>4200</v>
      </c>
      <c r="V1331" s="103">
        <v>15.432098765432</v>
      </c>
      <c r="W1331" s="8">
        <v>35</v>
      </c>
      <c r="X1331" s="58">
        <f t="shared" ca="1" si="27"/>
        <v>102542175271.70566</v>
      </c>
      <c r="Y1331" s="58">
        <f ca="1">X1331*30</f>
        <v>3076265258151.1699</v>
      </c>
      <c r="Z1331" s="58">
        <f t="shared" ca="1" si="28"/>
        <v>3299286856912.2681</v>
      </c>
      <c r="AA1331" s="47">
        <f t="shared" ca="1" si="29"/>
        <v>916469.30453937594</v>
      </c>
      <c r="AB1331" s="8"/>
      <c r="AC1331" s="58">
        <f ca="1">(X1331+R1331)/'Parameter Inputs'!$F$439</f>
        <v>126409458119.24399</v>
      </c>
      <c r="AG1331" s="5">
        <f>(AG1326-AG1328)/(AG1325-AG1327)</f>
        <v>6.25E-2</v>
      </c>
      <c r="AL1331" s="5" t="s">
        <v>802</v>
      </c>
      <c r="AM1331" s="5">
        <f ca="1">AM1329/AM1330</f>
        <v>11767.530649761075</v>
      </c>
    </row>
    <row r="1332" spans="4:39">
      <c r="D1332" s="8" t="s">
        <v>71</v>
      </c>
      <c r="E1332" s="8">
        <f>'Parameter Inputs'!E88</f>
        <v>10</v>
      </c>
      <c r="F1332" s="8">
        <f>'Parameter Inputs'!F88</f>
        <v>12.239902080783354</v>
      </c>
      <c r="G1332" s="8">
        <v>35</v>
      </c>
      <c r="H1332" s="50">
        <f ca="1">2*PI()*('Parameter Inputs'!$K$786/2)*'Parameter Inputs'!$L$786</f>
        <v>455.7825920239099</v>
      </c>
      <c r="I1332" s="50">
        <f ca="1">PI()*(('Parameter Inputs'!$K$786/2)^2)</f>
        <v>113.94564800597747</v>
      </c>
      <c r="J1332" s="50">
        <f t="shared" ca="1" si="24"/>
        <v>113.94564800597747</v>
      </c>
      <c r="K1332" s="8">
        <f ca="1">'Parameter Inputs'!$F$180*'Parameter Inputs'!H1332*('Parameter Inputs'!G1332-'Parameter Inputs'!E1332)*86400</f>
        <v>689143279.14015174</v>
      </c>
      <c r="L1332" s="8">
        <f ca="1">'Parameter Inputs'!$H$180*'Parameter Inputs'!J1332*('Parameter Inputs'!G1332-'Parameter Inputs'!F1332)*86400</f>
        <v>313699370.27199811</v>
      </c>
      <c r="M1332" s="8">
        <f ca="1">'Parameter Inputs'!$J$180*'Parameter Inputs'!I1332*('Parameter Inputs'!G1332-'Parameter Inputs'!E1332)*86400</f>
        <v>701449409.12479734</v>
      </c>
      <c r="N1332" s="8">
        <f t="shared" ca="1" si="25"/>
        <v>1704292058.5369473</v>
      </c>
      <c r="O1332" s="8">
        <f>'Parameter Inputs'!I786</f>
        <v>5</v>
      </c>
      <c r="P1332" s="8">
        <f t="shared" ca="1" si="26"/>
        <v>8521460292.6847363</v>
      </c>
      <c r="Q1332" s="8">
        <f ca="1">P1332*31</f>
        <v>264165269073.22684</v>
      </c>
      <c r="R1332" s="8">
        <f ca="1">N1332*'Parameter Inputs'!$F$411</f>
        <v>8521460292.6847363</v>
      </c>
      <c r="S1332" s="8"/>
      <c r="T1332" s="8">
        <f ca="1">'Parameter Inputs'!H1064</f>
        <v>1247696.5896061466</v>
      </c>
      <c r="U1332" s="8">
        <v>4200</v>
      </c>
      <c r="V1332" s="103">
        <v>13.703703703703701</v>
      </c>
      <c r="W1332" s="8">
        <v>35</v>
      </c>
      <c r="X1332" s="58">
        <f t="shared" ca="1" si="27"/>
        <v>111599528292.54979</v>
      </c>
      <c r="Y1332" s="58">
        <f ca="1">X1332*31</f>
        <v>3459585377069.0435</v>
      </c>
      <c r="Z1332" s="58">
        <f t="shared" ca="1" si="28"/>
        <v>3723750646142.2705</v>
      </c>
      <c r="AA1332" s="47">
        <f t="shared" ca="1" si="29"/>
        <v>1034376.0069841075</v>
      </c>
      <c r="AB1332" s="8"/>
      <c r="AC1332" s="58">
        <f ca="1">(X1332+R1332)/'Parameter Inputs'!$F$439</f>
        <v>138070101822.10864</v>
      </c>
      <c r="AF1332" s="5" t="s">
        <v>785</v>
      </c>
      <c r="AG1332" s="5">
        <f>150/(3/1000)</f>
        <v>50000</v>
      </c>
      <c r="AH1332" s="5" t="s">
        <v>789</v>
      </c>
      <c r="AI1332" s="5" t="s">
        <v>790</v>
      </c>
      <c r="AL1332" s="5" t="s">
        <v>802</v>
      </c>
      <c r="AM1332" s="5">
        <f ca="1">AM1331/(60*60)</f>
        <v>3.2687585138225206</v>
      </c>
    </row>
    <row r="1333" spans="4:39">
      <c r="D1333" s="8" t="s">
        <v>72</v>
      </c>
      <c r="E1333" s="8">
        <f>'Parameter Inputs'!E90</f>
        <v>8</v>
      </c>
      <c r="F1333" s="8">
        <f>'Parameter Inputs'!F90</f>
        <v>9.7919216646266829</v>
      </c>
      <c r="G1333" s="8">
        <v>35</v>
      </c>
      <c r="H1333" s="50">
        <f ca="1">2*PI()*('Parameter Inputs'!$K$786/2)*'Parameter Inputs'!$L$786</f>
        <v>455.7825920239099</v>
      </c>
      <c r="I1333" s="50">
        <f ca="1">PI()*(('Parameter Inputs'!$K$786/2)^2)</f>
        <v>113.94564800597747</v>
      </c>
      <c r="J1333" s="50">
        <f t="shared" ca="1" si="24"/>
        <v>113.94564800597747</v>
      </c>
      <c r="K1333" s="8">
        <f ca="1">'Parameter Inputs'!$F$180*'Parameter Inputs'!H1333*('Parameter Inputs'!G1333-'Parameter Inputs'!E1333)*86400</f>
        <v>744274741.4713639</v>
      </c>
      <c r="L1333" s="8">
        <f ca="1">'Parameter Inputs'!$H$180*'Parameter Inputs'!J1333*('Parameter Inputs'!G1333-'Parameter Inputs'!F1333)*86400</f>
        <v>347439555.29721969</v>
      </c>
      <c r="M1333" s="8">
        <f ca="1">'Parameter Inputs'!$J$180*'Parameter Inputs'!I1333*('Parameter Inputs'!G1333-'Parameter Inputs'!E1333)*86400</f>
        <v>757565361.85478115</v>
      </c>
      <c r="N1333" s="8">
        <f t="shared" ca="1" si="25"/>
        <v>1849279658.6233647</v>
      </c>
      <c r="O1333" s="8">
        <f>'Parameter Inputs'!I786</f>
        <v>5</v>
      </c>
      <c r="P1333" s="8">
        <f t="shared" ca="1" si="26"/>
        <v>9246398293.1168232</v>
      </c>
      <c r="Q1333" s="8">
        <f ca="1">P1333*30</f>
        <v>277391948793.5047</v>
      </c>
      <c r="R1333" s="8">
        <f ca="1">N1333*'Parameter Inputs'!$F$411</f>
        <v>9246398293.1168232</v>
      </c>
      <c r="S1333" s="8"/>
      <c r="T1333" s="8">
        <f ca="1">'Parameter Inputs'!H1064</f>
        <v>1247696.5896061466</v>
      </c>
      <c r="U1333" s="8">
        <v>4200</v>
      </c>
      <c r="V1333" s="103">
        <v>12.469135802469101</v>
      </c>
      <c r="W1333" s="8">
        <v>35</v>
      </c>
      <c r="X1333" s="58">
        <f t="shared" ca="1" si="27"/>
        <v>118069066164.58183</v>
      </c>
      <c r="Y1333" s="58">
        <f ca="1">X1333*30</f>
        <v>3542071984937.4551</v>
      </c>
      <c r="Z1333" s="58">
        <f t="shared" ca="1" si="28"/>
        <v>3819463933730.96</v>
      </c>
      <c r="AA1333" s="47">
        <f t="shared" ca="1" si="29"/>
        <v>1060963.0525839184</v>
      </c>
      <c r="AB1333" s="8"/>
      <c r="AC1333" s="58">
        <f ca="1">(X1333+R1333)/'Parameter Inputs'!$F$439</f>
        <v>146339614319.19385</v>
      </c>
      <c r="AF1333" s="5" t="s">
        <v>786</v>
      </c>
      <c r="AG1333" s="91">
        <f ca="1">AF1323/(AG1332*AG1329)</f>
        <v>3.9380603032827359E-3</v>
      </c>
    </row>
    <row r="1334" spans="4:39" ht="15" thickBot="1">
      <c r="D1334" s="53" t="s">
        <v>73</v>
      </c>
      <c r="E1334" s="53">
        <f>'Parameter Inputs'!E92</f>
        <v>6</v>
      </c>
      <c r="F1334" s="53">
        <f>'Parameter Inputs'!F92</f>
        <v>6.9686411149825789</v>
      </c>
      <c r="G1334" s="53">
        <v>35</v>
      </c>
      <c r="H1334" s="54">
        <f ca="1">2*PI()*('Parameter Inputs'!$K$786/2)*'Parameter Inputs'!$L$786</f>
        <v>455.7825920239099</v>
      </c>
      <c r="I1334" s="54">
        <f ca="1">PI()*(('Parameter Inputs'!$K$786/2)^2)</f>
        <v>113.94564800597747</v>
      </c>
      <c r="J1334" s="54">
        <f t="shared" ca="1" si="24"/>
        <v>113.94564800597747</v>
      </c>
      <c r="K1334" s="53">
        <f ca="1">'Parameter Inputs'!$F$180*'Parameter Inputs'!H1334*('Parameter Inputs'!G1334-'Parameter Inputs'!E1334)*86400</f>
        <v>799406203.80257607</v>
      </c>
      <c r="L1334" s="53">
        <f ca="1">'Parameter Inputs'!$H$180*'Parameter Inputs'!J1334*('Parameter Inputs'!G1334-'Parameter Inputs'!F1334)*86400</f>
        <v>386352451.61550671</v>
      </c>
      <c r="M1334" s="53">
        <f ca="1">'Parameter Inputs'!$J$180*'Parameter Inputs'!I1334*('Parameter Inputs'!G1334-'Parameter Inputs'!E1334)*86400</f>
        <v>813681314.58476484</v>
      </c>
      <c r="N1334" s="53">
        <f t="shared" ca="1" si="25"/>
        <v>1999439970.0028477</v>
      </c>
      <c r="O1334" s="53">
        <f>'Parameter Inputs'!I786</f>
        <v>5</v>
      </c>
      <c r="P1334" s="53">
        <f t="shared" ca="1" si="26"/>
        <v>9997199850.0142384</v>
      </c>
      <c r="Q1334" s="53">
        <f ca="1">P1334*31</f>
        <v>309913195350.44141</v>
      </c>
      <c r="R1334" s="53">
        <f ca="1">N1334*'Parameter Inputs'!$F$411</f>
        <v>9997199850.0142384</v>
      </c>
      <c r="S1334" s="53"/>
      <c r="T1334" s="53">
        <f ca="1">'Parameter Inputs'!H1064</f>
        <v>1247696.5896061466</v>
      </c>
      <c r="U1334" s="53">
        <v>4200</v>
      </c>
      <c r="V1334" s="53">
        <v>12.468999999999999</v>
      </c>
      <c r="W1334" s="53">
        <v>35</v>
      </c>
      <c r="X1334" s="104">
        <f t="shared" ca="1" si="27"/>
        <v>118069777813.74757</v>
      </c>
      <c r="Y1334" s="104">
        <f ca="1">X1334*31</f>
        <v>3660163112226.1748</v>
      </c>
      <c r="Z1334" s="104">
        <f t="shared" ca="1" si="28"/>
        <v>3970076307576.6162</v>
      </c>
      <c r="AA1334" s="56">
        <f t="shared" ca="1" si="29"/>
        <v>1102799.8565660173</v>
      </c>
      <c r="AB1334" s="53"/>
      <c r="AC1334" s="104">
        <f ca="1">(X1334+R1334)/'Parameter Inputs'!$F$439</f>
        <v>147203422602.02505</v>
      </c>
      <c r="AG1334" s="5">
        <v>24</v>
      </c>
      <c r="AH1334" s="5">
        <f>(AG1334/(1000*1000))*(60*60)</f>
        <v>8.6400000000000005E-2</v>
      </c>
    </row>
    <row r="1335" spans="4:39" ht="15" thickTop="1">
      <c r="D1335" s="14" t="s">
        <v>477</v>
      </c>
      <c r="H1335" s="105"/>
      <c r="I1335" s="105"/>
      <c r="J1335" s="105"/>
      <c r="X1335" s="106"/>
      <c r="Y1335" s="106"/>
      <c r="Z1335" s="106"/>
      <c r="AA1335" s="86">
        <f ca="1">SUM(AA1323:AA1334)</f>
        <v>11650551.541248491</v>
      </c>
      <c r="AC1335" s="106"/>
      <c r="AF1335" s="5" t="s">
        <v>791</v>
      </c>
      <c r="AG1335" s="5">
        <v>850</v>
      </c>
    </row>
    <row r="1336" spans="4:39">
      <c r="H1336" s="105"/>
      <c r="I1336" s="105"/>
      <c r="J1336" s="105"/>
      <c r="X1336" s="106"/>
      <c r="Y1336" s="106"/>
      <c r="AA1336" s="86">
        <f ca="1">AA1335/('Parameter Inputs'!H1065*'Parameter Inputs'!H1066)</f>
        <v>25.582597209124014</v>
      </c>
    </row>
    <row r="1337" spans="4:39">
      <c r="D1337" s="5" t="s">
        <v>13</v>
      </c>
      <c r="X1337" s="86"/>
      <c r="Y1337" s="106"/>
      <c r="AF1337" s="5" t="s">
        <v>792</v>
      </c>
      <c r="AG1337" s="86">
        <f>AQ1323/(AG1335*AG1329)</f>
        <v>484.19267184397745</v>
      </c>
    </row>
    <row r="1338" spans="4:39">
      <c r="D1338" s="5" t="s">
        <v>452</v>
      </c>
      <c r="X1338" s="86"/>
      <c r="Y1338" s="106"/>
    </row>
    <row r="1339" spans="4:39">
      <c r="D1339" s="8" t="s">
        <v>74</v>
      </c>
      <c r="E1339" s="8" t="s">
        <v>117</v>
      </c>
      <c r="F1339" s="8" t="s">
        <v>149</v>
      </c>
      <c r="G1339" s="8" t="s">
        <v>454</v>
      </c>
      <c r="H1339" s="8" t="s">
        <v>122</v>
      </c>
      <c r="I1339" s="8" t="s">
        <v>123</v>
      </c>
      <c r="J1339" s="8" t="s">
        <v>121</v>
      </c>
      <c r="K1339" s="8" t="s">
        <v>150</v>
      </c>
      <c r="L1339" s="8" t="s">
        <v>151</v>
      </c>
      <c r="M1339" s="8" t="s">
        <v>152</v>
      </c>
      <c r="N1339" s="8" t="s">
        <v>154</v>
      </c>
      <c r="O1339" s="8" t="s">
        <v>411</v>
      </c>
      <c r="P1339" s="8" t="s">
        <v>450</v>
      </c>
      <c r="Q1339" s="8" t="s">
        <v>453</v>
      </c>
      <c r="R1339" s="8" t="s">
        <v>157</v>
      </c>
      <c r="S1339" s="8" t="s">
        <v>474</v>
      </c>
      <c r="T1339" s="8" t="s">
        <v>475</v>
      </c>
      <c r="Y1339" s="106"/>
    </row>
    <row r="1340" spans="4:39">
      <c r="D1340" s="8" t="s">
        <v>62</v>
      </c>
      <c r="E1340" s="8">
        <f>'Parameter Inputs'!E70</f>
        <v>6</v>
      </c>
      <c r="F1340" s="8">
        <f>'Parameter Inputs'!F70</f>
        <v>6.9686411149825789</v>
      </c>
      <c r="G1340" s="8">
        <v>25</v>
      </c>
      <c r="H1340" s="50">
        <f ca="1">2*PI()*('Parameter Inputs'!$K$787/2)*'Parameter Inputs'!$L$787</f>
        <v>216.8722084150117</v>
      </c>
      <c r="I1340" s="50">
        <f ca="1">PI()*(('Parameter Inputs'!$K$787/2)^2)</f>
        <v>54.218052103752925</v>
      </c>
      <c r="J1340" s="50">
        <f t="shared" ref="J1340:J1351" ca="1" si="30">I1340</f>
        <v>54.218052103752925</v>
      </c>
      <c r="K1340" s="8">
        <f ca="1">'Parameter Inputs'!$F$182*'Parameter Inputs'!H1340*('Parameter Inputs'!G1340-'Parameter Inputs'!E1340)*86400</f>
        <v>249212192.1338582</v>
      </c>
      <c r="L1340" s="8">
        <f ca="1">'Parameter Inputs'!$H$180*'Parameter Inputs'!J1340*('Parameter Inputs'!G1340-'Parameter Inputs'!F1340)*86400</f>
        <v>118253538.81282929</v>
      </c>
      <c r="M1340" s="8">
        <f ca="1">'Parameter Inputs'!$J$180*'Parameter Inputs'!I1340*('Parameter Inputs'!G1340-'Parameter Inputs'!E1340)*86400</f>
        <v>253662409.85053426</v>
      </c>
      <c r="N1340" s="8">
        <f t="shared" ref="N1340:N1351" ca="1" si="31">K1340+L1340+M1340</f>
        <v>621128140.79722166</v>
      </c>
      <c r="O1340" s="8">
        <f>'Parameter Inputs'!I787</f>
        <v>1</v>
      </c>
      <c r="P1340" s="8">
        <f t="shared" ref="P1340:P1351" ca="1" si="32">N1340*O1340</f>
        <v>621128140.79722166</v>
      </c>
      <c r="Q1340" s="8">
        <f ca="1">P1340*31</f>
        <v>19254972364.713871</v>
      </c>
      <c r="R1340" s="8">
        <f ca="1">N1340*'Parameter Inputs'!$F$411</f>
        <v>3105640703.9861083</v>
      </c>
      <c r="S1340" s="8">
        <f ca="1">Q1340/'Parameter Inputs'!$F$439</f>
        <v>22132152143.349277</v>
      </c>
      <c r="T1340" s="47">
        <f ca="1">(S1340*(0.000000277778))/'Parameter Inputs'!$F$439</f>
        <v>7066.465469052041</v>
      </c>
      <c r="X1340" s="106"/>
      <c r="Y1340" s="106"/>
    </row>
    <row r="1341" spans="4:39">
      <c r="D1341" s="8" t="s">
        <v>63</v>
      </c>
      <c r="E1341" s="8">
        <f>'Parameter Inputs'!E72</f>
        <v>5</v>
      </c>
      <c r="F1341" s="8">
        <f>'Parameter Inputs'!F72</f>
        <v>5.8072009291521489</v>
      </c>
      <c r="G1341" s="8">
        <v>25</v>
      </c>
      <c r="H1341" s="50">
        <f ca="1">2*PI()*('Parameter Inputs'!$K$787/2)*'Parameter Inputs'!$L$787</f>
        <v>216.8722084150117</v>
      </c>
      <c r="I1341" s="50">
        <f ca="1">PI()*(('Parameter Inputs'!$K$787/2)^2)</f>
        <v>54.218052103752925</v>
      </c>
      <c r="J1341" s="50">
        <f t="shared" ca="1" si="30"/>
        <v>54.218052103752925</v>
      </c>
      <c r="K1341" s="8">
        <f ca="1">'Parameter Inputs'!$F$182*'Parameter Inputs'!H1341*('Parameter Inputs'!G1341-'Parameter Inputs'!E1341)*86400</f>
        <v>262328623.29879811</v>
      </c>
      <c r="L1341" s="8">
        <f ca="1">'Parameter Inputs'!$H$180*'Parameter Inputs'!J1341*('Parameter Inputs'!G1341-'Parameter Inputs'!F1341)*86400</f>
        <v>125870513.93764922</v>
      </c>
      <c r="M1341" s="8">
        <f ca="1">'Parameter Inputs'!$J$180*'Parameter Inputs'!I1341*('Parameter Inputs'!G1341-'Parameter Inputs'!E1341)*86400</f>
        <v>267013063.0005624</v>
      </c>
      <c r="N1341" s="8">
        <f t="shared" ca="1" si="31"/>
        <v>655212200.23700976</v>
      </c>
      <c r="O1341" s="8">
        <f>'Parameter Inputs'!I787</f>
        <v>1</v>
      </c>
      <c r="P1341" s="8">
        <f t="shared" ca="1" si="32"/>
        <v>655212200.23700976</v>
      </c>
      <c r="Q1341" s="8">
        <f ca="1">P1341*28</f>
        <v>18345941606.636272</v>
      </c>
      <c r="R1341" s="8">
        <f ca="1">N1341*'Parameter Inputs'!$F$411</f>
        <v>3276061001.1850491</v>
      </c>
      <c r="S1341" s="8">
        <f ca="1">Q1341/'Parameter Inputs'!$F$439</f>
        <v>21087289203.030197</v>
      </c>
      <c r="T1341" s="47">
        <f ca="1">(S1341*(0.000000277778))/'Parameter Inputs'!$F$439</f>
        <v>6732.8563451026694</v>
      </c>
      <c r="X1341" s="106"/>
      <c r="Y1341" s="106"/>
    </row>
    <row r="1342" spans="4:39">
      <c r="D1342" s="8" t="s">
        <v>64</v>
      </c>
      <c r="E1342" s="8">
        <f>'Parameter Inputs'!E74</f>
        <v>7</v>
      </c>
      <c r="F1342" s="8">
        <f>'Parameter Inputs'!F74</f>
        <v>7.9006772009029342</v>
      </c>
      <c r="G1342" s="8">
        <v>25</v>
      </c>
      <c r="H1342" s="50">
        <f ca="1">2*PI()*('Parameter Inputs'!$K$787/2)*'Parameter Inputs'!$L$787</f>
        <v>216.8722084150117</v>
      </c>
      <c r="I1342" s="50">
        <f ca="1">PI()*(('Parameter Inputs'!$K$787/2)^2)</f>
        <v>54.218052103752925</v>
      </c>
      <c r="J1342" s="50">
        <f t="shared" ca="1" si="30"/>
        <v>54.218052103752925</v>
      </c>
      <c r="K1342" s="8">
        <f ca="1">'Parameter Inputs'!$F$182*'Parameter Inputs'!H1342*('Parameter Inputs'!G1342-'Parameter Inputs'!E1342)*86400</f>
        <v>236095760.96891829</v>
      </c>
      <c r="L1342" s="8">
        <f ca="1">'Parameter Inputs'!$H$180*'Parameter Inputs'!J1342*('Parameter Inputs'!G1342-'Parameter Inputs'!F1342)*86400</f>
        <v>112141045.23072211</v>
      </c>
      <c r="M1342" s="8">
        <f ca="1">'Parameter Inputs'!$J$180*'Parameter Inputs'!I1342*('Parameter Inputs'!G1342-'Parameter Inputs'!E1342)*86400</f>
        <v>240311756.70050618</v>
      </c>
      <c r="N1342" s="8">
        <f t="shared" ca="1" si="31"/>
        <v>588548562.9001466</v>
      </c>
      <c r="O1342" s="8">
        <f>'Parameter Inputs'!I787</f>
        <v>1</v>
      </c>
      <c r="P1342" s="8">
        <f t="shared" ca="1" si="32"/>
        <v>588548562.9001466</v>
      </c>
      <c r="Q1342" s="8">
        <f ca="1">P1342*31</f>
        <v>18245005449.904545</v>
      </c>
      <c r="R1342" s="8">
        <f ca="1">N1342*'Parameter Inputs'!$F$411</f>
        <v>2942742814.5007329</v>
      </c>
      <c r="S1342" s="8">
        <f ca="1">Q1342/'Parameter Inputs'!$F$439</f>
        <v>20971270632.074188</v>
      </c>
      <c r="T1342" s="47">
        <f ca="1">(S1342*(0.000000277778))/'Parameter Inputs'!$F$439</f>
        <v>6695.8133490072451</v>
      </c>
      <c r="X1342" s="106"/>
      <c r="Y1342" s="106"/>
    </row>
    <row r="1343" spans="4:39">
      <c r="D1343" s="8" t="s">
        <v>65</v>
      </c>
      <c r="E1343" s="8">
        <f>'Parameter Inputs'!E76</f>
        <v>8</v>
      </c>
      <c r="F1343" s="8">
        <f>'Parameter Inputs'!F76</f>
        <v>9.0293453724604973</v>
      </c>
      <c r="G1343" s="8">
        <v>25</v>
      </c>
      <c r="H1343" s="50">
        <f ca="1">2*PI()*('Parameter Inputs'!$K$787/2)*'Parameter Inputs'!$L$787</f>
        <v>216.8722084150117</v>
      </c>
      <c r="I1343" s="50">
        <f ca="1">PI()*(('Parameter Inputs'!$K$787/2)^2)</f>
        <v>54.218052103752925</v>
      </c>
      <c r="J1343" s="50">
        <f t="shared" ca="1" si="30"/>
        <v>54.218052103752925</v>
      </c>
      <c r="K1343" s="8">
        <f ca="1">'Parameter Inputs'!$F$182*'Parameter Inputs'!H1343*('Parameter Inputs'!G1343-'Parameter Inputs'!E1343)*86400</f>
        <v>222979329.80397841</v>
      </c>
      <c r="L1343" s="8">
        <f ca="1">'Parameter Inputs'!$H$180*'Parameter Inputs'!J1343*('Parameter Inputs'!G1343-'Parameter Inputs'!F1343)*86400</f>
        <v>104738996.04057543</v>
      </c>
      <c r="M1343" s="8">
        <f ca="1">'Parameter Inputs'!$J$180*'Parameter Inputs'!I1343*('Parameter Inputs'!G1343-'Parameter Inputs'!E1343)*86400</f>
        <v>226961103.55047804</v>
      </c>
      <c r="N1343" s="8">
        <f t="shared" ca="1" si="31"/>
        <v>554679429.39503193</v>
      </c>
      <c r="O1343" s="8">
        <f>'Parameter Inputs'!I787</f>
        <v>1</v>
      </c>
      <c r="P1343" s="8">
        <f t="shared" ca="1" si="32"/>
        <v>554679429.39503193</v>
      </c>
      <c r="Q1343" s="8">
        <f ca="1">P1343*30</f>
        <v>16640382881.850958</v>
      </c>
      <c r="R1343" s="8">
        <f ca="1">N1343*'Parameter Inputs'!$F$411</f>
        <v>2773397146.9751596</v>
      </c>
      <c r="S1343" s="8">
        <f ca="1">Q1343/'Parameter Inputs'!$F$439</f>
        <v>19126876875.690758</v>
      </c>
      <c r="T1343" s="47">
        <f ca="1">(S1343*(0.000000277778))/'Parameter Inputs'!$F$439</f>
        <v>6106.9259825007211</v>
      </c>
      <c r="X1343" s="106"/>
      <c r="Y1343" s="106"/>
      <c r="Z1343" s="169"/>
      <c r="AA1343" s="169"/>
    </row>
    <row r="1344" spans="4:39">
      <c r="D1344" s="8" t="s">
        <v>66</v>
      </c>
      <c r="E1344" s="8">
        <f>'Parameter Inputs'!E78</f>
        <v>11</v>
      </c>
      <c r="F1344" s="8">
        <f>'Parameter Inputs'!F78</f>
        <v>12.415349887133182</v>
      </c>
      <c r="G1344" s="8">
        <v>25</v>
      </c>
      <c r="H1344" s="50">
        <f ca="1">2*PI()*('Parameter Inputs'!$K$787/2)*'Parameter Inputs'!$L$787</f>
        <v>216.8722084150117</v>
      </c>
      <c r="I1344" s="50">
        <f ca="1">PI()*(('Parameter Inputs'!$K$787/2)^2)</f>
        <v>54.218052103752925</v>
      </c>
      <c r="J1344" s="50">
        <f t="shared" ca="1" si="30"/>
        <v>54.218052103752925</v>
      </c>
      <c r="K1344" s="8">
        <f ca="1">'Parameter Inputs'!$F$182*'Parameter Inputs'!H1344*('Parameter Inputs'!G1344-'Parameter Inputs'!E1344)*86400</f>
        <v>183630036.30915868</v>
      </c>
      <c r="L1344" s="8">
        <f ca="1">'Parameter Inputs'!$H$180*'Parameter Inputs'!J1344*('Parameter Inputs'!G1344-'Parameter Inputs'!F1344)*86400</f>
        <v>82532848.470135421</v>
      </c>
      <c r="M1344" s="8">
        <f ca="1">'Parameter Inputs'!$J$180*'Parameter Inputs'!I1344*('Parameter Inputs'!G1344-'Parameter Inputs'!E1344)*86400</f>
        <v>186909144.10039365</v>
      </c>
      <c r="N1344" s="8">
        <f t="shared" ca="1" si="31"/>
        <v>453072028.87968779</v>
      </c>
      <c r="O1344" s="8">
        <f>'Parameter Inputs'!I787</f>
        <v>1</v>
      </c>
      <c r="P1344" s="8">
        <f t="shared" ca="1" si="32"/>
        <v>453072028.87968779</v>
      </c>
      <c r="Q1344" s="8">
        <f ca="1">P1344*31</f>
        <v>14045232895.270321</v>
      </c>
      <c r="R1344" s="8">
        <f ca="1">N1344*'Parameter Inputs'!$F$411</f>
        <v>2265360144.3984389</v>
      </c>
      <c r="S1344" s="8">
        <f ca="1">Q1344/'Parameter Inputs'!$F$439</f>
        <v>16143945856.632553</v>
      </c>
      <c r="T1344" s="47">
        <f ca="1">(S1344*(0.000000277778))/'Parameter Inputs'!$F$439</f>
        <v>5154.5206806479046</v>
      </c>
      <c r="X1344" s="106"/>
      <c r="Y1344" s="106"/>
      <c r="Z1344" s="169"/>
      <c r="AA1344" s="169"/>
    </row>
    <row r="1345" spans="4:32">
      <c r="D1345" s="8" t="s">
        <v>67</v>
      </c>
      <c r="E1345" s="8">
        <f>'Parameter Inputs'!E80</f>
        <v>13</v>
      </c>
      <c r="F1345" s="8">
        <f>'Parameter Inputs'!F80</f>
        <v>18.465909090909093</v>
      </c>
      <c r="G1345" s="8">
        <v>25</v>
      </c>
      <c r="H1345" s="50">
        <f ca="1">2*PI()*('Parameter Inputs'!$K$787/2)*'Parameter Inputs'!$L$787</f>
        <v>216.8722084150117</v>
      </c>
      <c r="I1345" s="50">
        <f ca="1">PI()*(('Parameter Inputs'!$K$787/2)^2)</f>
        <v>54.218052103752925</v>
      </c>
      <c r="J1345" s="50">
        <f t="shared" ca="1" si="30"/>
        <v>54.218052103752925</v>
      </c>
      <c r="K1345" s="8">
        <f ca="1">'Parameter Inputs'!$F$182*'Parameter Inputs'!H1345*('Parameter Inputs'!G1345-'Parameter Inputs'!E1345)*86400</f>
        <v>157397173.97927886</v>
      </c>
      <c r="L1345" s="8">
        <f ca="1">'Parameter Inputs'!$H$180*'Parameter Inputs'!J1345*('Parameter Inputs'!G1345-'Parameter Inputs'!F1345)*86400</f>
        <v>42851976.817275241</v>
      </c>
      <c r="M1345" s="8">
        <f ca="1">'Parameter Inputs'!$J$180*'Parameter Inputs'!I1345*('Parameter Inputs'!G1345-'Parameter Inputs'!E1345)*86400</f>
        <v>160207837.80033743</v>
      </c>
      <c r="N1345" s="8">
        <f t="shared" ca="1" si="31"/>
        <v>360456988.59689152</v>
      </c>
      <c r="O1345" s="8">
        <f>'Parameter Inputs'!I787</f>
        <v>1</v>
      </c>
      <c r="P1345" s="8">
        <f t="shared" ca="1" si="32"/>
        <v>360456988.59689152</v>
      </c>
      <c r="Q1345" s="8">
        <f ca="1">P1345*30</f>
        <v>10813709657.906746</v>
      </c>
      <c r="R1345" s="8">
        <f ca="1">N1345*'Parameter Inputs'!$F$411</f>
        <v>1802284942.9844575</v>
      </c>
      <c r="S1345" s="8">
        <f ca="1">Q1345/'Parameter Inputs'!$F$439</f>
        <v>12429551330.927294</v>
      </c>
      <c r="T1345" s="47">
        <f ca="1">(S1345*(0.000000277778))/'Parameter Inputs'!$F$439</f>
        <v>3968.5700110371513</v>
      </c>
      <c r="Z1345" s="169"/>
      <c r="AA1345" s="169"/>
    </row>
    <row r="1346" spans="4:32">
      <c r="D1346" s="8" t="s">
        <v>68</v>
      </c>
      <c r="E1346" s="8">
        <f>'Parameter Inputs'!E82</f>
        <v>15</v>
      </c>
      <c r="F1346" s="8">
        <f>'Parameter Inputs'!F82</f>
        <v>21.306818181818183</v>
      </c>
      <c r="G1346" s="8">
        <v>25</v>
      </c>
      <c r="H1346" s="50">
        <f ca="1">2*PI()*('Parameter Inputs'!$K$787/2)*'Parameter Inputs'!$L$787</f>
        <v>216.8722084150117</v>
      </c>
      <c r="I1346" s="50">
        <f ca="1">PI()*(('Parameter Inputs'!$K$787/2)^2)</f>
        <v>54.218052103752925</v>
      </c>
      <c r="J1346" s="50">
        <f t="shared" ca="1" si="30"/>
        <v>54.218052103752925</v>
      </c>
      <c r="K1346" s="8">
        <f ca="1">'Parameter Inputs'!$F$182*'Parameter Inputs'!H1346*('Parameter Inputs'!G1346-'Parameter Inputs'!E1346)*86400</f>
        <v>131164311.64939906</v>
      </c>
      <c r="L1346" s="8">
        <f ca="1">'Parameter Inputs'!$H$180*'Parameter Inputs'!J1346*('Parameter Inputs'!G1346-'Parameter Inputs'!F1346)*86400</f>
        <v>24220682.548894703</v>
      </c>
      <c r="M1346" s="8">
        <f ca="1">'Parameter Inputs'!$J$180*'Parameter Inputs'!I1346*('Parameter Inputs'!G1346-'Parameter Inputs'!E1346)*86400</f>
        <v>133506531.5002812</v>
      </c>
      <c r="N1346" s="8">
        <f t="shared" ca="1" si="31"/>
        <v>288891525.69857496</v>
      </c>
      <c r="O1346" s="8">
        <f>'Parameter Inputs'!I787</f>
        <v>1</v>
      </c>
      <c r="P1346" s="8">
        <f t="shared" ca="1" si="32"/>
        <v>288891525.69857496</v>
      </c>
      <c r="Q1346" s="8">
        <f ca="1">P1346*31</f>
        <v>8955637296.6558247</v>
      </c>
      <c r="R1346" s="8">
        <f ca="1">N1346*'Parameter Inputs'!$F$411</f>
        <v>1444457628.4928749</v>
      </c>
      <c r="S1346" s="8">
        <f ca="1">Q1346/'Parameter Inputs'!$F$439</f>
        <v>10293835973.167614</v>
      </c>
      <c r="T1346" s="47">
        <f ca="1">(S1346*(0.000000277778))/'Parameter Inputs'!$F$439</f>
        <v>3286.6680102925898</v>
      </c>
      <c r="Z1346" s="169"/>
      <c r="AA1346" s="169"/>
    </row>
    <row r="1347" spans="4:32">
      <c r="D1347" s="8" t="s">
        <v>69</v>
      </c>
      <c r="E1347" s="8">
        <f>'Parameter Inputs'!E84</f>
        <v>15</v>
      </c>
      <c r="F1347" s="8">
        <f>'Parameter Inputs'!F84</f>
        <v>21.306818181818183</v>
      </c>
      <c r="G1347" s="8">
        <v>25</v>
      </c>
      <c r="H1347" s="50">
        <f ca="1">2*PI()*('Parameter Inputs'!$K$787/2)*'Parameter Inputs'!$L$787</f>
        <v>216.8722084150117</v>
      </c>
      <c r="I1347" s="50">
        <f ca="1">PI()*(('Parameter Inputs'!$K$787/2)^2)</f>
        <v>54.218052103752925</v>
      </c>
      <c r="J1347" s="50">
        <f t="shared" ca="1" si="30"/>
        <v>54.218052103752925</v>
      </c>
      <c r="K1347" s="8">
        <f ca="1">'Parameter Inputs'!$F$182*'Parameter Inputs'!H1347*('Parameter Inputs'!G1347-'Parameter Inputs'!E1347)*86400</f>
        <v>131164311.64939906</v>
      </c>
      <c r="L1347" s="8">
        <f ca="1">'Parameter Inputs'!$H$180*'Parameter Inputs'!J1347*('Parameter Inputs'!G1347-'Parameter Inputs'!F1347)*86400</f>
        <v>24220682.548894703</v>
      </c>
      <c r="M1347" s="8">
        <f ca="1">'Parameter Inputs'!$J$180*'Parameter Inputs'!I1347*('Parameter Inputs'!G1347-'Parameter Inputs'!E1347)*86400</f>
        <v>133506531.5002812</v>
      </c>
      <c r="N1347" s="8">
        <f t="shared" ca="1" si="31"/>
        <v>288891525.69857496</v>
      </c>
      <c r="O1347" s="8">
        <f>'Parameter Inputs'!I787</f>
        <v>1</v>
      </c>
      <c r="P1347" s="8">
        <f t="shared" ca="1" si="32"/>
        <v>288891525.69857496</v>
      </c>
      <c r="Q1347" s="8">
        <f ca="1">P1347*31</f>
        <v>8955637296.6558247</v>
      </c>
      <c r="R1347" s="8">
        <f ca="1">N1347*'Parameter Inputs'!$F$411</f>
        <v>1444457628.4928749</v>
      </c>
      <c r="S1347" s="8">
        <f ca="1">Q1347/'Parameter Inputs'!$F$439</f>
        <v>10293835973.167614</v>
      </c>
      <c r="T1347" s="47">
        <f ca="1">(S1347*(0.000000277778))/'Parameter Inputs'!$F$439</f>
        <v>3286.6680102925898</v>
      </c>
      <c r="Z1347" s="169"/>
      <c r="AA1347" s="169"/>
    </row>
    <row r="1348" spans="4:32">
      <c r="D1348" s="8" t="s">
        <v>70</v>
      </c>
      <c r="E1348" s="8">
        <f>'Parameter Inputs'!E86</f>
        <v>13</v>
      </c>
      <c r="F1348" s="8">
        <f>'Parameter Inputs'!F86</f>
        <v>15.911872705018361</v>
      </c>
      <c r="G1348" s="8">
        <v>25</v>
      </c>
      <c r="H1348" s="50">
        <f ca="1">2*PI()*('Parameter Inputs'!$K$787/2)*'Parameter Inputs'!$L$787</f>
        <v>216.8722084150117</v>
      </c>
      <c r="I1348" s="50">
        <f ca="1">PI()*(('Parameter Inputs'!$K$787/2)^2)</f>
        <v>54.218052103752925</v>
      </c>
      <c r="J1348" s="50">
        <f t="shared" ca="1" si="30"/>
        <v>54.218052103752925</v>
      </c>
      <c r="K1348" s="8">
        <f ca="1">'Parameter Inputs'!$F$182*'Parameter Inputs'!H1348*('Parameter Inputs'!G1348-'Parameter Inputs'!E1348)*86400</f>
        <v>157397173.97927886</v>
      </c>
      <c r="L1348" s="8">
        <f ca="1">'Parameter Inputs'!$H$180*'Parameter Inputs'!J1348*('Parameter Inputs'!G1348-'Parameter Inputs'!F1348)*86400</f>
        <v>59601898.041419081</v>
      </c>
      <c r="M1348" s="8">
        <f ca="1">'Parameter Inputs'!$J$180*'Parameter Inputs'!I1348*('Parameter Inputs'!G1348-'Parameter Inputs'!E1348)*86400</f>
        <v>160207837.80033743</v>
      </c>
      <c r="N1348" s="8">
        <f t="shared" ca="1" si="31"/>
        <v>377206909.82103539</v>
      </c>
      <c r="O1348" s="8">
        <f>'Parameter Inputs'!I787</f>
        <v>1</v>
      </c>
      <c r="P1348" s="8">
        <f t="shared" ca="1" si="32"/>
        <v>377206909.82103539</v>
      </c>
      <c r="Q1348" s="8">
        <f ca="1">P1348*30</f>
        <v>11316207294.631062</v>
      </c>
      <c r="R1348" s="8">
        <f ca="1">N1348*'Parameter Inputs'!$F$411</f>
        <v>1886034549.1051769</v>
      </c>
      <c r="S1348" s="8">
        <f ca="1">Q1348/'Parameter Inputs'!$F$439</f>
        <v>13007134821.415014</v>
      </c>
      <c r="T1348" s="47">
        <f ca="1">(S1348*(0.000000277778))/'Parameter Inputs'!$F$439</f>
        <v>4152.9837889919772</v>
      </c>
      <c r="Z1348" s="169"/>
      <c r="AA1348" s="169"/>
    </row>
    <row r="1349" spans="4:32">
      <c r="D1349" s="8" t="s">
        <v>71</v>
      </c>
      <c r="E1349" s="8">
        <f>'Parameter Inputs'!E88</f>
        <v>10</v>
      </c>
      <c r="F1349" s="8">
        <f>'Parameter Inputs'!F88</f>
        <v>12.239902080783354</v>
      </c>
      <c r="G1349" s="8">
        <v>25</v>
      </c>
      <c r="H1349" s="50">
        <f ca="1">2*PI()*('Parameter Inputs'!$K$787/2)*'Parameter Inputs'!$L$787</f>
        <v>216.8722084150117</v>
      </c>
      <c r="I1349" s="50">
        <f ca="1">PI()*(('Parameter Inputs'!$K$787/2)^2)</f>
        <v>54.218052103752925</v>
      </c>
      <c r="J1349" s="50">
        <f t="shared" ca="1" si="30"/>
        <v>54.218052103752925</v>
      </c>
      <c r="K1349" s="8">
        <f ca="1">'Parameter Inputs'!$F$182*'Parameter Inputs'!H1349*('Parameter Inputs'!G1349-'Parameter Inputs'!E1349)*86400</f>
        <v>196746467.47409856</v>
      </c>
      <c r="L1349" s="8">
        <f ca="1">'Parameter Inputs'!$H$180*'Parameter Inputs'!J1349*('Parameter Inputs'!G1349-'Parameter Inputs'!F1349)*86400</f>
        <v>83683473.007649034</v>
      </c>
      <c r="M1349" s="8">
        <f ca="1">'Parameter Inputs'!$J$180*'Parameter Inputs'!I1349*('Parameter Inputs'!G1349-'Parameter Inputs'!E1349)*86400</f>
        <v>200259797.25042179</v>
      </c>
      <c r="N1349" s="8">
        <f t="shared" ca="1" si="31"/>
        <v>480689737.73216939</v>
      </c>
      <c r="O1349" s="8">
        <f>'Parameter Inputs'!I787</f>
        <v>1</v>
      </c>
      <c r="P1349" s="8">
        <f t="shared" ca="1" si="32"/>
        <v>480689737.73216939</v>
      </c>
      <c r="Q1349" s="8">
        <f ca="1">P1349*31</f>
        <v>14901381869.69725</v>
      </c>
      <c r="R1349" s="8">
        <f ca="1">N1349*'Parameter Inputs'!$F$411</f>
        <v>2403448688.6608467</v>
      </c>
      <c r="S1349" s="8">
        <f ca="1">Q1349/'Parameter Inputs'!$F$439</f>
        <v>17128025137.583046</v>
      </c>
      <c r="T1349" s="47">
        <f ca="1">(S1349*(0.000000277778))/'Parameter Inputs'!$F$439</f>
        <v>5468.7224904224631</v>
      </c>
      <c r="Z1349" s="169"/>
      <c r="AA1349" s="169"/>
    </row>
    <row r="1350" spans="4:32">
      <c r="D1350" s="8" t="s">
        <v>72</v>
      </c>
      <c r="E1350" s="8">
        <f>'Parameter Inputs'!E90</f>
        <v>8</v>
      </c>
      <c r="F1350" s="8">
        <f>'Parameter Inputs'!F90</f>
        <v>9.7919216646266829</v>
      </c>
      <c r="G1350" s="8">
        <v>25</v>
      </c>
      <c r="H1350" s="50">
        <f ca="1">2*PI()*('Parameter Inputs'!$K$787/2)*'Parameter Inputs'!$L$787</f>
        <v>216.8722084150117</v>
      </c>
      <c r="I1350" s="50">
        <f ca="1">PI()*(('Parameter Inputs'!$K$787/2)^2)</f>
        <v>54.218052103752925</v>
      </c>
      <c r="J1350" s="50">
        <f t="shared" ca="1" si="30"/>
        <v>54.218052103752925</v>
      </c>
      <c r="K1350" s="8">
        <f ca="1">'Parameter Inputs'!$F$182*'Parameter Inputs'!H1350*('Parameter Inputs'!G1350-'Parameter Inputs'!E1350)*86400</f>
        <v>222979329.80397841</v>
      </c>
      <c r="L1350" s="8">
        <f ca="1">'Parameter Inputs'!$H$180*'Parameter Inputs'!J1350*('Parameter Inputs'!G1350-'Parameter Inputs'!F1350)*86400</f>
        <v>99737856.318468988</v>
      </c>
      <c r="M1350" s="8">
        <f ca="1">'Parameter Inputs'!$J$180*'Parameter Inputs'!I1350*('Parameter Inputs'!G1350-'Parameter Inputs'!E1350)*86400</f>
        <v>226961103.55047804</v>
      </c>
      <c r="N1350" s="8">
        <f t="shared" ca="1" si="31"/>
        <v>549678289.67292547</v>
      </c>
      <c r="O1350" s="8">
        <f>'Parameter Inputs'!I787</f>
        <v>1</v>
      </c>
      <c r="P1350" s="8">
        <f t="shared" ca="1" si="32"/>
        <v>549678289.67292547</v>
      </c>
      <c r="Q1350" s="8">
        <f ca="1">P1350*30</f>
        <v>16490348690.187763</v>
      </c>
      <c r="R1350" s="8">
        <f ca="1">N1350*'Parameter Inputs'!$F$411</f>
        <v>2748391448.3646274</v>
      </c>
      <c r="S1350" s="8">
        <f ca="1">Q1350/'Parameter Inputs'!$F$439</f>
        <v>18954423781.825016</v>
      </c>
      <c r="T1350" s="47">
        <f ca="1">(S1350*(0.000000277778))/'Parameter Inputs'!$F$439</f>
        <v>6051.8642865146994</v>
      </c>
      <c r="Z1350" s="169"/>
      <c r="AA1350" s="169"/>
      <c r="AD1350" s="105"/>
      <c r="AE1350" s="105"/>
      <c r="AF1350" s="105"/>
    </row>
    <row r="1351" spans="4:32" ht="15" thickBot="1">
      <c r="D1351" s="53" t="s">
        <v>73</v>
      </c>
      <c r="E1351" s="53">
        <f>'Parameter Inputs'!E92</f>
        <v>6</v>
      </c>
      <c r="F1351" s="53">
        <f>'Parameter Inputs'!F92</f>
        <v>6.9686411149825789</v>
      </c>
      <c r="G1351" s="53">
        <v>25</v>
      </c>
      <c r="H1351" s="54">
        <f ca="1">2*PI()*('Parameter Inputs'!$K$787/2)*'Parameter Inputs'!$L$787</f>
        <v>216.8722084150117</v>
      </c>
      <c r="I1351" s="54">
        <f ca="1">PI()*(('Parameter Inputs'!$K$787/2)^2)</f>
        <v>54.218052103752925</v>
      </c>
      <c r="J1351" s="54">
        <f t="shared" ca="1" si="30"/>
        <v>54.218052103752925</v>
      </c>
      <c r="K1351" s="53">
        <f ca="1">'Parameter Inputs'!$F$182*'Parameter Inputs'!H1351*('Parameter Inputs'!G1351-'Parameter Inputs'!E1351)*86400</f>
        <v>249212192.1338582</v>
      </c>
      <c r="L1351" s="53">
        <f ca="1">'Parameter Inputs'!$H$180*'Parameter Inputs'!J1351*('Parameter Inputs'!G1351-'Parameter Inputs'!F1351)*86400</f>
        <v>118253538.81282929</v>
      </c>
      <c r="M1351" s="53">
        <f ca="1">'Parameter Inputs'!$J$180*'Parameter Inputs'!I1351*('Parameter Inputs'!G1351-'Parameter Inputs'!E1351)*86400</f>
        <v>253662409.85053426</v>
      </c>
      <c r="N1351" s="53">
        <f t="shared" ca="1" si="31"/>
        <v>621128140.79722166</v>
      </c>
      <c r="O1351" s="53">
        <f>'Parameter Inputs'!I787</f>
        <v>1</v>
      </c>
      <c r="P1351" s="53">
        <f t="shared" ca="1" si="32"/>
        <v>621128140.79722166</v>
      </c>
      <c r="Q1351" s="53">
        <f ca="1">P1351*31</f>
        <v>19254972364.713871</v>
      </c>
      <c r="R1351" s="53">
        <f ca="1">N1351*'Parameter Inputs'!$F$411</f>
        <v>3105640703.9861083</v>
      </c>
      <c r="S1351" s="53">
        <f ca="1">Q1351/'Parameter Inputs'!$F$439</f>
        <v>22132152143.349277</v>
      </c>
      <c r="T1351" s="56">
        <f ca="1">(S1351*(0.000000277778))/'Parameter Inputs'!$F$439</f>
        <v>7066.465469052041</v>
      </c>
      <c r="Z1351" s="169"/>
      <c r="AA1351" s="169"/>
      <c r="AD1351" s="105"/>
      <c r="AE1351" s="105"/>
      <c r="AF1351" s="105"/>
    </row>
    <row r="1352" spans="4:32" ht="15" thickTop="1">
      <c r="D1352" s="5" t="s">
        <v>492</v>
      </c>
      <c r="H1352" s="105"/>
      <c r="I1352" s="105"/>
      <c r="J1352" s="105"/>
      <c r="T1352" s="86">
        <f ca="1">SUM(T1340:T1351)</f>
        <v>65038.523892914091</v>
      </c>
      <c r="Z1352" s="169"/>
      <c r="AA1352" s="169"/>
      <c r="AD1352" s="105"/>
      <c r="AE1352" s="105"/>
      <c r="AF1352" s="105"/>
    </row>
    <row r="1353" spans="4:32">
      <c r="H1353" s="105"/>
      <c r="I1353" s="105"/>
      <c r="J1353" s="105"/>
      <c r="T1353" s="86"/>
      <c r="Z1353" s="169"/>
      <c r="AA1353" s="169"/>
      <c r="AD1353" s="105"/>
      <c r="AE1353" s="105"/>
      <c r="AF1353" s="105"/>
    </row>
    <row r="1354" spans="4:32">
      <c r="D1354" s="5" t="s">
        <v>25</v>
      </c>
      <c r="AD1354" s="105"/>
      <c r="AE1354" s="105"/>
      <c r="AF1354" s="105"/>
    </row>
    <row r="1355" spans="4:32">
      <c r="D1355" s="5" t="s">
        <v>452</v>
      </c>
      <c r="AD1355" s="105"/>
      <c r="AE1355" s="105"/>
      <c r="AF1355" s="105"/>
    </row>
    <row r="1356" spans="4:32">
      <c r="D1356" s="8" t="s">
        <v>74</v>
      </c>
      <c r="E1356" s="8" t="s">
        <v>117</v>
      </c>
      <c r="F1356" s="8" t="s">
        <v>149</v>
      </c>
      <c r="G1356" s="8" t="s">
        <v>454</v>
      </c>
      <c r="H1356" s="8" t="s">
        <v>122</v>
      </c>
      <c r="I1356" s="8" t="s">
        <v>123</v>
      </c>
      <c r="J1356" s="8" t="s">
        <v>121</v>
      </c>
      <c r="K1356" s="8" t="s">
        <v>150</v>
      </c>
      <c r="L1356" s="8" t="s">
        <v>151</v>
      </c>
      <c r="M1356" s="8" t="s">
        <v>152</v>
      </c>
      <c r="N1356" s="8" t="s">
        <v>154</v>
      </c>
      <c r="O1356" s="8" t="s">
        <v>411</v>
      </c>
      <c r="P1356" s="8" t="s">
        <v>450</v>
      </c>
      <c r="Q1356" s="8" t="s">
        <v>453</v>
      </c>
      <c r="R1356" s="8" t="s">
        <v>157</v>
      </c>
      <c r="S1356" s="8" t="s">
        <v>474</v>
      </c>
      <c r="T1356" s="8" t="s">
        <v>476</v>
      </c>
      <c r="AD1356" s="105"/>
      <c r="AE1356" s="105"/>
      <c r="AF1356" s="105"/>
    </row>
    <row r="1357" spans="4:32">
      <c r="D1357" s="8" t="s">
        <v>62</v>
      </c>
      <c r="E1357" s="8">
        <f>'Parameter Inputs'!E70</f>
        <v>6</v>
      </c>
      <c r="F1357" s="8">
        <f>'Parameter Inputs'!F70</f>
        <v>6.9686411149825789</v>
      </c>
      <c r="G1357" s="8">
        <v>25</v>
      </c>
      <c r="H1357" s="50">
        <f ca="1">2*PI()*('Parameter Inputs'!$K$788/2)*'Parameter Inputs'!$L$788</f>
        <v>250.3055159209066</v>
      </c>
      <c r="I1357" s="50">
        <f ca="1">PI()*(('Parameter Inputs'!$K$788/2)^2)</f>
        <v>62.57637898022665</v>
      </c>
      <c r="J1357" s="50">
        <f t="shared" ref="J1357:J1368" ca="1" si="33">I1357</f>
        <v>62.57637898022665</v>
      </c>
      <c r="K1357" s="8">
        <f ca="1">'Parameter Inputs'!$F$180*'Parameter Inputs'!H1357*('Parameter Inputs'!G1357-'Parameter Inputs'!E1357)*86400</f>
        <v>287631074.45503223</v>
      </c>
      <c r="L1357" s="8">
        <f ca="1">'Parameter Inputs'!$H$180*'Parameter Inputs'!J1357*('Parameter Inputs'!G1357-'Parameter Inputs'!F1357)*86400</f>
        <v>136483661.31531191</v>
      </c>
      <c r="M1357" s="8">
        <f ca="1">'Parameter Inputs'!$J$180*'Parameter Inputs'!I1357*('Parameter Inputs'!G1357-'Parameter Inputs'!E1357)*86400</f>
        <v>292767343.64172924</v>
      </c>
      <c r="N1357" s="8">
        <f t="shared" ref="N1357:N1368" ca="1" si="34">K1357+L1357+M1357</f>
        <v>716882079.41207337</v>
      </c>
      <c r="O1357" s="8">
        <f>'Parameter Inputs'!I787</f>
        <v>1</v>
      </c>
      <c r="P1357" s="8">
        <f t="shared" ref="P1357:P1368" ca="1" si="35">N1357*O1357</f>
        <v>716882079.41207337</v>
      </c>
      <c r="Q1357" s="8">
        <f ca="1">P1357*31</f>
        <v>22223344461.774273</v>
      </c>
      <c r="R1357" s="8">
        <f ca="1">N1357*'Parameter Inputs'!$F$411</f>
        <v>3584410397.0603666</v>
      </c>
      <c r="S1357" s="8">
        <f ca="1">Q1357/'Parameter Inputs'!$F$439</f>
        <v>25544074093.993416</v>
      </c>
      <c r="T1357" s="47">
        <f ca="1">(S1357*(0.000000277778))/'Parameter Inputs'!$F$439</f>
        <v>8155.8411651509232</v>
      </c>
      <c r="AD1357" s="105"/>
      <c r="AE1357" s="105"/>
      <c r="AF1357" s="105"/>
    </row>
    <row r="1358" spans="4:32">
      <c r="D1358" s="8" t="s">
        <v>63</v>
      </c>
      <c r="E1358" s="8">
        <f>'Parameter Inputs'!E72</f>
        <v>5</v>
      </c>
      <c r="F1358" s="8">
        <f>'Parameter Inputs'!F72</f>
        <v>5.8072009291521489</v>
      </c>
      <c r="G1358" s="8">
        <v>25</v>
      </c>
      <c r="H1358" s="50">
        <f ca="1">2*PI()*('Parameter Inputs'!$K$788/2)*'Parameter Inputs'!$L$788</f>
        <v>250.3055159209066</v>
      </c>
      <c r="I1358" s="50">
        <f ca="1">PI()*(('Parameter Inputs'!$K$788/2)^2)</f>
        <v>62.57637898022665</v>
      </c>
      <c r="J1358" s="50">
        <f t="shared" ca="1" si="33"/>
        <v>62.57637898022665</v>
      </c>
      <c r="K1358" s="8">
        <f ca="1">'Parameter Inputs'!$F$180*'Parameter Inputs'!H1358*('Parameter Inputs'!G1358-'Parameter Inputs'!E1358)*86400</f>
        <v>302769552.05792862</v>
      </c>
      <c r="L1358" s="8">
        <f ca="1">'Parameter Inputs'!$H$180*'Parameter Inputs'!J1358*('Parameter Inputs'!G1358-'Parameter Inputs'!F1358)*86400</f>
        <v>145274879.43546081</v>
      </c>
      <c r="M1358" s="8">
        <f ca="1">'Parameter Inputs'!$J$180*'Parameter Inputs'!I1358*('Parameter Inputs'!G1358-'Parameter Inputs'!E1358)*86400</f>
        <v>308176151.20182019</v>
      </c>
      <c r="N1358" s="8">
        <f t="shared" ca="1" si="34"/>
        <v>756220582.69520962</v>
      </c>
      <c r="O1358" s="8">
        <f>'Parameter Inputs'!I787</f>
        <v>1</v>
      </c>
      <c r="P1358" s="8">
        <f t="shared" ca="1" si="35"/>
        <v>756220582.69520962</v>
      </c>
      <c r="Q1358" s="8">
        <f ca="1">P1358*28</f>
        <v>21174176315.46587</v>
      </c>
      <c r="R1358" s="8">
        <f ca="1">N1358*'Parameter Inputs'!$F$411</f>
        <v>3781102913.476048</v>
      </c>
      <c r="S1358" s="8">
        <f ca="1">Q1358/'Parameter Inputs'!$F$439</f>
        <v>24338133695.937782</v>
      </c>
      <c r="T1358" s="47">
        <f ca="1">(S1358*(0.000000277778))/'Parameter Inputs'!$F$439</f>
        <v>7770.8024158508106</v>
      </c>
      <c r="AD1358" s="105"/>
      <c r="AE1358" s="105"/>
      <c r="AF1358" s="105"/>
    </row>
    <row r="1359" spans="4:32">
      <c r="D1359" s="8" t="s">
        <v>64</v>
      </c>
      <c r="E1359" s="8">
        <f>'Parameter Inputs'!E74</f>
        <v>7</v>
      </c>
      <c r="F1359" s="8">
        <f>'Parameter Inputs'!F74</f>
        <v>7.9006772009029342</v>
      </c>
      <c r="G1359" s="8">
        <v>25</v>
      </c>
      <c r="H1359" s="50">
        <f ca="1">2*PI()*('Parameter Inputs'!$K$788/2)*'Parameter Inputs'!$L$788</f>
        <v>250.3055159209066</v>
      </c>
      <c r="I1359" s="50">
        <f ca="1">PI()*(('Parameter Inputs'!$K$788/2)^2)</f>
        <v>62.57637898022665</v>
      </c>
      <c r="J1359" s="50">
        <f t="shared" ca="1" si="33"/>
        <v>62.57637898022665</v>
      </c>
      <c r="K1359" s="8">
        <f ca="1">'Parameter Inputs'!$F$180*'Parameter Inputs'!H1359*('Parameter Inputs'!G1359-'Parameter Inputs'!E1359)*86400</f>
        <v>272492596.85213578</v>
      </c>
      <c r="L1359" s="8">
        <f ca="1">'Parameter Inputs'!$H$180*'Parameter Inputs'!J1359*('Parameter Inputs'!G1359-'Parameter Inputs'!F1359)*86400</f>
        <v>129428857.60941362</v>
      </c>
      <c r="M1359" s="8">
        <f ca="1">'Parameter Inputs'!$J$180*'Parameter Inputs'!I1359*('Parameter Inputs'!G1359-'Parameter Inputs'!E1359)*86400</f>
        <v>277358536.08163816</v>
      </c>
      <c r="N1359" s="8">
        <f t="shared" ca="1" si="34"/>
        <v>679279990.54318762</v>
      </c>
      <c r="O1359" s="8">
        <f>'Parameter Inputs'!I787</f>
        <v>1</v>
      </c>
      <c r="P1359" s="8">
        <f t="shared" ca="1" si="35"/>
        <v>679279990.54318762</v>
      </c>
      <c r="Q1359" s="8">
        <f ca="1">P1359*31</f>
        <v>21057679706.838818</v>
      </c>
      <c r="R1359" s="8">
        <f ca="1">N1359*'Parameter Inputs'!$F$411</f>
        <v>3396399952.7159381</v>
      </c>
      <c r="S1359" s="8">
        <f ca="1">Q1359/'Parameter Inputs'!$F$439</f>
        <v>24204229548.090595</v>
      </c>
      <c r="T1359" s="47">
        <f ca="1">(S1359*(0.000000277778))/'Parameter Inputs'!$F$439</f>
        <v>7728.04882230978</v>
      </c>
      <c r="AD1359" s="105"/>
      <c r="AE1359" s="105"/>
      <c r="AF1359" s="105"/>
    </row>
    <row r="1360" spans="4:32">
      <c r="D1360" s="8" t="s">
        <v>65</v>
      </c>
      <c r="E1360" s="8">
        <f>'Parameter Inputs'!E76</f>
        <v>8</v>
      </c>
      <c r="F1360" s="8">
        <f>'Parameter Inputs'!F76</f>
        <v>9.0293453724604973</v>
      </c>
      <c r="G1360" s="8">
        <v>25</v>
      </c>
      <c r="H1360" s="50">
        <f ca="1">2*PI()*('Parameter Inputs'!$K$788/2)*'Parameter Inputs'!$L$788</f>
        <v>250.3055159209066</v>
      </c>
      <c r="I1360" s="50">
        <f ca="1">PI()*(('Parameter Inputs'!$K$788/2)^2)</f>
        <v>62.57637898022665</v>
      </c>
      <c r="J1360" s="50">
        <f t="shared" ca="1" si="33"/>
        <v>62.57637898022665</v>
      </c>
      <c r="K1360" s="8">
        <f ca="1">'Parameter Inputs'!$F$180*'Parameter Inputs'!H1360*('Parameter Inputs'!G1360-'Parameter Inputs'!E1360)*86400</f>
        <v>257354119.24923933</v>
      </c>
      <c r="L1360" s="8">
        <f ca="1">'Parameter Inputs'!$H$180*'Parameter Inputs'!J1360*('Parameter Inputs'!G1360-'Parameter Inputs'!F1360)*86400</f>
        <v>120885698.69130051</v>
      </c>
      <c r="M1360" s="8">
        <f ca="1">'Parameter Inputs'!$J$180*'Parameter Inputs'!I1360*('Parameter Inputs'!G1360-'Parameter Inputs'!E1360)*86400</f>
        <v>261949728.52154717</v>
      </c>
      <c r="N1360" s="8">
        <f t="shared" ca="1" si="34"/>
        <v>640189546.46208704</v>
      </c>
      <c r="O1360" s="8">
        <f>'Parameter Inputs'!I787</f>
        <v>1</v>
      </c>
      <c r="P1360" s="8">
        <f t="shared" ca="1" si="35"/>
        <v>640189546.46208704</v>
      </c>
      <c r="Q1360" s="8">
        <f ca="1">P1360*30</f>
        <v>19205686393.86261</v>
      </c>
      <c r="R1360" s="8">
        <f ca="1">N1360*'Parameter Inputs'!$F$411</f>
        <v>3200947732.3104353</v>
      </c>
      <c r="S1360" s="8">
        <f ca="1">Q1360/'Parameter Inputs'!$F$439</f>
        <v>22075501602.14093</v>
      </c>
      <c r="T1360" s="47">
        <f ca="1">(S1360*(0.000000277778))/'Parameter Inputs'!$F$439</f>
        <v>7048.3777977465552</v>
      </c>
      <c r="AD1360" s="105"/>
      <c r="AE1360" s="105"/>
      <c r="AF1360" s="105"/>
    </row>
    <row r="1361" spans="4:32">
      <c r="D1361" s="8" t="s">
        <v>66</v>
      </c>
      <c r="E1361" s="8">
        <f>'Parameter Inputs'!E78</f>
        <v>11</v>
      </c>
      <c r="F1361" s="8">
        <f>'Parameter Inputs'!F78</f>
        <v>12.415349887133182</v>
      </c>
      <c r="G1361" s="8">
        <v>25</v>
      </c>
      <c r="H1361" s="50">
        <f ca="1">2*PI()*('Parameter Inputs'!$K$788/2)*'Parameter Inputs'!$L$788</f>
        <v>250.3055159209066</v>
      </c>
      <c r="I1361" s="50">
        <f ca="1">PI()*(('Parameter Inputs'!$K$788/2)^2)</f>
        <v>62.57637898022665</v>
      </c>
      <c r="J1361" s="50">
        <f t="shared" ca="1" si="33"/>
        <v>62.57637898022665</v>
      </c>
      <c r="K1361" s="8">
        <f ca="1">'Parameter Inputs'!$F$180*'Parameter Inputs'!H1361*('Parameter Inputs'!G1361-'Parameter Inputs'!E1361)*86400</f>
        <v>211938686.44055003</v>
      </c>
      <c r="L1361" s="8">
        <f ca="1">'Parameter Inputs'!$H$180*'Parameter Inputs'!J1361*('Parameter Inputs'!G1361-'Parameter Inputs'!F1361)*86400</f>
        <v>95256221.936961189</v>
      </c>
      <c r="M1361" s="8">
        <f ca="1">'Parameter Inputs'!$J$180*'Parameter Inputs'!I1361*('Parameter Inputs'!G1361-'Parameter Inputs'!E1361)*86400</f>
        <v>215723305.84127417</v>
      </c>
      <c r="N1361" s="8">
        <f t="shared" ca="1" si="34"/>
        <v>522918214.21878541</v>
      </c>
      <c r="O1361" s="8">
        <f>'Parameter Inputs'!I787</f>
        <v>1</v>
      </c>
      <c r="P1361" s="8">
        <f t="shared" ca="1" si="35"/>
        <v>522918214.21878541</v>
      </c>
      <c r="Q1361" s="8">
        <f ca="1">P1361*31</f>
        <v>16210464640.782347</v>
      </c>
      <c r="R1361" s="8">
        <f ca="1">N1361*'Parameter Inputs'!$F$411</f>
        <v>2614591071.0939269</v>
      </c>
      <c r="S1361" s="8">
        <f ca="1">Q1361/'Parameter Inputs'!$F$439</f>
        <v>18632717977.910744</v>
      </c>
      <c r="T1361" s="47">
        <f ca="1">(S1361*(0.000000277778))/'Parameter Inputs'!$F$439</f>
        <v>5949.1484304230926</v>
      </c>
      <c r="AD1361" s="105"/>
      <c r="AE1361" s="105"/>
      <c r="AF1361" s="105"/>
    </row>
    <row r="1362" spans="4:32">
      <c r="D1362" s="8" t="s">
        <v>67</v>
      </c>
      <c r="E1362" s="8">
        <f>'Parameter Inputs'!E80</f>
        <v>13</v>
      </c>
      <c r="F1362" s="8">
        <f>'Parameter Inputs'!F80</f>
        <v>18.465909090909093</v>
      </c>
      <c r="G1362" s="8">
        <v>25</v>
      </c>
      <c r="H1362" s="50">
        <f ca="1">2*PI()*('Parameter Inputs'!$K$788/2)*'Parameter Inputs'!$L$788</f>
        <v>250.3055159209066</v>
      </c>
      <c r="I1362" s="50">
        <f ca="1">PI()*(('Parameter Inputs'!$K$788/2)^2)</f>
        <v>62.57637898022665</v>
      </c>
      <c r="J1362" s="50">
        <f t="shared" ca="1" si="33"/>
        <v>62.57637898022665</v>
      </c>
      <c r="K1362" s="8">
        <f ca="1">'Parameter Inputs'!$F$180*'Parameter Inputs'!H1362*('Parameter Inputs'!G1362-'Parameter Inputs'!E1362)*86400</f>
        <v>181661731.23475718</v>
      </c>
      <c r="L1362" s="8">
        <f ca="1">'Parameter Inputs'!$H$180*'Parameter Inputs'!J1362*('Parameter Inputs'!G1362-'Parameter Inputs'!F1362)*86400</f>
        <v>49458094.441280939</v>
      </c>
      <c r="M1362" s="8">
        <f ca="1">'Parameter Inputs'!$J$180*'Parameter Inputs'!I1362*('Parameter Inputs'!G1362-'Parameter Inputs'!E1362)*86400</f>
        <v>184905690.7210921</v>
      </c>
      <c r="N1362" s="8">
        <f t="shared" ca="1" si="34"/>
        <v>416025516.39713025</v>
      </c>
      <c r="O1362" s="8">
        <f>'Parameter Inputs'!I787</f>
        <v>1</v>
      </c>
      <c r="P1362" s="8">
        <f t="shared" ca="1" si="35"/>
        <v>416025516.39713025</v>
      </c>
      <c r="Q1362" s="8">
        <f ca="1">P1362*30</f>
        <v>12480765491.913908</v>
      </c>
      <c r="R1362" s="8">
        <f ca="1">N1362*'Parameter Inputs'!$F$411</f>
        <v>2080127581.9856513</v>
      </c>
      <c r="S1362" s="8">
        <f ca="1">Q1362/'Parameter Inputs'!$F$439</f>
        <v>14345707461.970009</v>
      </c>
      <c r="T1362" s="47">
        <f ca="1">(S1362*(0.000000277778))/'Parameter Inputs'!$F$439</f>
        <v>4580.3700314610405</v>
      </c>
      <c r="AD1362" s="105"/>
      <c r="AE1362" s="105"/>
      <c r="AF1362" s="105"/>
    </row>
    <row r="1363" spans="4:32">
      <c r="D1363" s="8" t="s">
        <v>68</v>
      </c>
      <c r="E1363" s="8">
        <f>'Parameter Inputs'!E82</f>
        <v>15</v>
      </c>
      <c r="F1363" s="8">
        <f>'Parameter Inputs'!F82</f>
        <v>21.306818181818183</v>
      </c>
      <c r="G1363" s="8">
        <v>25</v>
      </c>
      <c r="H1363" s="50">
        <f ca="1">2*PI()*('Parameter Inputs'!$K$788/2)*'Parameter Inputs'!$L$788</f>
        <v>250.3055159209066</v>
      </c>
      <c r="I1363" s="50">
        <f ca="1">PI()*(('Parameter Inputs'!$K$788/2)^2)</f>
        <v>62.57637898022665</v>
      </c>
      <c r="J1363" s="50">
        <f t="shared" ca="1" si="33"/>
        <v>62.57637898022665</v>
      </c>
      <c r="K1363" s="8">
        <f ca="1">'Parameter Inputs'!$F$180*'Parameter Inputs'!H1363*('Parameter Inputs'!G1363-'Parameter Inputs'!E1363)*86400</f>
        <v>151384776.02896431</v>
      </c>
      <c r="L1363" s="8">
        <f ca="1">'Parameter Inputs'!$H$180*'Parameter Inputs'!J1363*('Parameter Inputs'!G1363-'Parameter Inputs'!F1363)*86400</f>
        <v>27954575.118984874</v>
      </c>
      <c r="M1363" s="8">
        <f ca="1">'Parameter Inputs'!$J$180*'Parameter Inputs'!I1363*('Parameter Inputs'!G1363-'Parameter Inputs'!E1363)*86400</f>
        <v>154088075.6009101</v>
      </c>
      <c r="N1363" s="8">
        <f t="shared" ca="1" si="34"/>
        <v>333427426.74885929</v>
      </c>
      <c r="O1363" s="8">
        <f>'Parameter Inputs'!I787</f>
        <v>1</v>
      </c>
      <c r="P1363" s="8">
        <f t="shared" ca="1" si="35"/>
        <v>333427426.74885929</v>
      </c>
      <c r="Q1363" s="8">
        <f ca="1">P1363*31</f>
        <v>10336250229.214638</v>
      </c>
      <c r="R1363" s="8">
        <f ca="1">N1363*'Parameter Inputs'!$F$411</f>
        <v>1667137133.7442966</v>
      </c>
      <c r="S1363" s="8">
        <f ca="1">Q1363/'Parameter Inputs'!$F$439</f>
        <v>11880747389.901882</v>
      </c>
      <c r="T1363" s="47">
        <f ca="1">(S1363*(0.000000277778))/'Parameter Inputs'!$F$439</f>
        <v>3793.3451131863967</v>
      </c>
    </row>
    <row r="1364" spans="4:32">
      <c r="D1364" s="8" t="s">
        <v>69</v>
      </c>
      <c r="E1364" s="8">
        <f>'Parameter Inputs'!E84</f>
        <v>15</v>
      </c>
      <c r="F1364" s="8">
        <f>'Parameter Inputs'!F84</f>
        <v>21.306818181818183</v>
      </c>
      <c r="G1364" s="8">
        <v>25</v>
      </c>
      <c r="H1364" s="50">
        <f ca="1">2*PI()*('Parameter Inputs'!$K$788/2)*'Parameter Inputs'!$L$788</f>
        <v>250.3055159209066</v>
      </c>
      <c r="I1364" s="50">
        <f ca="1">PI()*(('Parameter Inputs'!$K$788/2)^2)</f>
        <v>62.57637898022665</v>
      </c>
      <c r="J1364" s="50">
        <f t="shared" ca="1" si="33"/>
        <v>62.57637898022665</v>
      </c>
      <c r="K1364" s="8">
        <f ca="1">'Parameter Inputs'!$F$180*'Parameter Inputs'!H1364*('Parameter Inputs'!G1364-'Parameter Inputs'!E1364)*86400</f>
        <v>151384776.02896431</v>
      </c>
      <c r="L1364" s="8">
        <f ca="1">'Parameter Inputs'!$H$180*'Parameter Inputs'!J1364*('Parameter Inputs'!G1364-'Parameter Inputs'!F1364)*86400</f>
        <v>27954575.118984874</v>
      </c>
      <c r="M1364" s="8">
        <f ca="1">'Parameter Inputs'!$J$180*'Parameter Inputs'!I1364*('Parameter Inputs'!G1364-'Parameter Inputs'!E1364)*86400</f>
        <v>154088075.6009101</v>
      </c>
      <c r="N1364" s="8">
        <f t="shared" ca="1" si="34"/>
        <v>333427426.74885929</v>
      </c>
      <c r="O1364" s="8">
        <f>'Parameter Inputs'!I787</f>
        <v>1</v>
      </c>
      <c r="P1364" s="8">
        <f t="shared" ca="1" si="35"/>
        <v>333427426.74885929</v>
      </c>
      <c r="Q1364" s="8">
        <f ca="1">P1364*31</f>
        <v>10336250229.214638</v>
      </c>
      <c r="R1364" s="8">
        <f ca="1">N1364*'Parameter Inputs'!$F$411</f>
        <v>1667137133.7442966</v>
      </c>
      <c r="S1364" s="8">
        <f ca="1">Q1364/'Parameter Inputs'!$F$439</f>
        <v>11880747389.901882</v>
      </c>
      <c r="T1364" s="47">
        <f ca="1">(S1364*(0.000000277778))/'Parameter Inputs'!$F$439</f>
        <v>3793.3451131863967</v>
      </c>
    </row>
    <row r="1365" spans="4:32">
      <c r="D1365" s="8" t="s">
        <v>70</v>
      </c>
      <c r="E1365" s="8">
        <f>'Parameter Inputs'!E86</f>
        <v>13</v>
      </c>
      <c r="F1365" s="8">
        <f>'Parameter Inputs'!F86</f>
        <v>15.911872705018361</v>
      </c>
      <c r="G1365" s="8">
        <v>25</v>
      </c>
      <c r="H1365" s="50">
        <f ca="1">2*PI()*('Parameter Inputs'!$K$788/2)*'Parameter Inputs'!$L$788</f>
        <v>250.3055159209066</v>
      </c>
      <c r="I1365" s="50">
        <f ca="1">PI()*(('Parameter Inputs'!$K$788/2)^2)</f>
        <v>62.57637898022665</v>
      </c>
      <c r="J1365" s="50">
        <f t="shared" ca="1" si="33"/>
        <v>62.57637898022665</v>
      </c>
      <c r="K1365" s="8">
        <f ca="1">'Parameter Inputs'!$F$180*'Parameter Inputs'!H1365*('Parameter Inputs'!G1365-'Parameter Inputs'!E1365)*86400</f>
        <v>181661731.23475718</v>
      </c>
      <c r="L1365" s="8">
        <f ca="1">'Parameter Inputs'!$H$180*'Parameter Inputs'!J1365*('Parameter Inputs'!G1365-'Parameter Inputs'!F1365)*86400</f>
        <v>68790205.75367564</v>
      </c>
      <c r="M1365" s="8">
        <f ca="1">'Parameter Inputs'!$J$180*'Parameter Inputs'!I1365*('Parameter Inputs'!G1365-'Parameter Inputs'!E1365)*86400</f>
        <v>184905690.7210921</v>
      </c>
      <c r="N1365" s="8">
        <f t="shared" ca="1" si="34"/>
        <v>435357627.70952493</v>
      </c>
      <c r="O1365" s="8">
        <f>'Parameter Inputs'!I787</f>
        <v>1</v>
      </c>
      <c r="P1365" s="8">
        <f t="shared" ca="1" si="35"/>
        <v>435357627.70952493</v>
      </c>
      <c r="Q1365" s="8">
        <f ca="1">P1365*30</f>
        <v>13060728831.285748</v>
      </c>
      <c r="R1365" s="8">
        <f ca="1">N1365*'Parameter Inputs'!$F$411</f>
        <v>2176788138.5476246</v>
      </c>
      <c r="S1365" s="8">
        <f ca="1">Q1365/'Parameter Inputs'!$F$439</f>
        <v>15012331989.983618</v>
      </c>
      <c r="T1365" s="47">
        <f ca="1">(S1365*(0.000000277778))/'Parameter Inputs'!$F$439</f>
        <v>4793.2132821996192</v>
      </c>
    </row>
    <row r="1366" spans="4:32">
      <c r="D1366" s="8" t="s">
        <v>71</v>
      </c>
      <c r="E1366" s="8">
        <f>'Parameter Inputs'!E88</f>
        <v>10</v>
      </c>
      <c r="F1366" s="8">
        <f>'Parameter Inputs'!F88</f>
        <v>12.239902080783354</v>
      </c>
      <c r="G1366" s="8">
        <v>25</v>
      </c>
      <c r="H1366" s="50">
        <f ca="1">2*PI()*('Parameter Inputs'!$K$788/2)*'Parameter Inputs'!$L$788</f>
        <v>250.3055159209066</v>
      </c>
      <c r="I1366" s="50">
        <f ca="1">PI()*(('Parameter Inputs'!$K$788/2)^2)</f>
        <v>62.57637898022665</v>
      </c>
      <c r="J1366" s="50">
        <f t="shared" ca="1" si="33"/>
        <v>62.57637898022665</v>
      </c>
      <c r="K1366" s="8">
        <f ca="1">'Parameter Inputs'!$F$180*'Parameter Inputs'!H1366*('Parameter Inputs'!G1366-'Parameter Inputs'!E1366)*86400</f>
        <v>227077164.04344648</v>
      </c>
      <c r="L1366" s="8">
        <f ca="1">'Parameter Inputs'!$H$180*'Parameter Inputs'!J1366*('Parameter Inputs'!G1366-'Parameter Inputs'!F1366)*86400</f>
        <v>96584228.28041327</v>
      </c>
      <c r="M1366" s="8">
        <f ca="1">'Parameter Inputs'!$J$180*'Parameter Inputs'!I1366*('Parameter Inputs'!G1366-'Parameter Inputs'!E1366)*86400</f>
        <v>231132113.40136516</v>
      </c>
      <c r="N1366" s="8">
        <f t="shared" ca="1" si="34"/>
        <v>554793505.72522497</v>
      </c>
      <c r="O1366" s="8">
        <f>'Parameter Inputs'!I787</f>
        <v>1</v>
      </c>
      <c r="P1366" s="8">
        <f t="shared" ca="1" si="35"/>
        <v>554793505.72522497</v>
      </c>
      <c r="Q1366" s="8">
        <f ca="1">P1366*31</f>
        <v>17198598677.481976</v>
      </c>
      <c r="R1366" s="8">
        <f ca="1">N1366*'Parameter Inputs'!$F$411</f>
        <v>2773967528.6261249</v>
      </c>
      <c r="S1366" s="8">
        <f ca="1">Q1366/'Parameter Inputs'!$F$439</f>
        <v>19768504226.990776</v>
      </c>
      <c r="T1366" s="47">
        <f ca="1">(S1366*(0.000000277778))/'Parameter Inputs'!$F$439</f>
        <v>6311.7880082356824</v>
      </c>
    </row>
    <row r="1367" spans="4:32">
      <c r="D1367" s="8" t="s">
        <v>72</v>
      </c>
      <c r="E1367" s="8">
        <f>'Parameter Inputs'!E90</f>
        <v>8</v>
      </c>
      <c r="F1367" s="8">
        <f>'Parameter Inputs'!F90</f>
        <v>9.7919216646266829</v>
      </c>
      <c r="G1367" s="8">
        <v>25</v>
      </c>
      <c r="H1367" s="50">
        <f ca="1">2*PI()*('Parameter Inputs'!$K$788/2)*'Parameter Inputs'!$L$788</f>
        <v>250.3055159209066</v>
      </c>
      <c r="I1367" s="50">
        <f ca="1">PI()*(('Parameter Inputs'!$K$788/2)^2)</f>
        <v>62.57637898022665</v>
      </c>
      <c r="J1367" s="50">
        <f t="shared" ca="1" si="33"/>
        <v>62.57637898022665</v>
      </c>
      <c r="K1367" s="8">
        <f ca="1">'Parameter Inputs'!$F$180*'Parameter Inputs'!H1367*('Parameter Inputs'!G1367-'Parameter Inputs'!E1367)*86400</f>
        <v>257354119.24923933</v>
      </c>
      <c r="L1367" s="8">
        <f ca="1">'Parameter Inputs'!$H$180*'Parameter Inputs'!J1367*('Parameter Inputs'!G1367-'Parameter Inputs'!F1367)*86400</f>
        <v>115113576.63157171</v>
      </c>
      <c r="M1367" s="8">
        <f ca="1">'Parameter Inputs'!$J$180*'Parameter Inputs'!I1367*('Parameter Inputs'!G1367-'Parameter Inputs'!E1367)*86400</f>
        <v>261949728.52154717</v>
      </c>
      <c r="N1367" s="8">
        <f t="shared" ca="1" si="34"/>
        <v>634417424.40235817</v>
      </c>
      <c r="O1367" s="8">
        <f>'Parameter Inputs'!I787</f>
        <v>1</v>
      </c>
      <c r="P1367" s="8">
        <f t="shared" ca="1" si="35"/>
        <v>634417424.40235817</v>
      </c>
      <c r="Q1367" s="8">
        <f ca="1">P1367*30</f>
        <v>19032522732.070744</v>
      </c>
      <c r="R1367" s="8">
        <f ca="1">N1367*'Parameter Inputs'!$F$411</f>
        <v>3172087122.0117908</v>
      </c>
      <c r="S1367" s="8">
        <f ca="1">Q1367/'Parameter Inputs'!$F$439</f>
        <v>21876462910.426144</v>
      </c>
      <c r="T1367" s="47">
        <f ca="1">(S1367*(0.000000277778))/'Parameter Inputs'!$F$439</f>
        <v>6984.8277176233942</v>
      </c>
    </row>
    <row r="1368" spans="4:32" ht="15" thickBot="1">
      <c r="D1368" s="53" t="s">
        <v>73</v>
      </c>
      <c r="E1368" s="53">
        <f>'Parameter Inputs'!E92</f>
        <v>6</v>
      </c>
      <c r="F1368" s="8">
        <f>'Parameter Inputs'!F92</f>
        <v>6.9686411149825789</v>
      </c>
      <c r="G1368" s="53">
        <v>25</v>
      </c>
      <c r="H1368" s="54">
        <f ca="1">2*PI()*('Parameter Inputs'!$K$788/2)*'Parameter Inputs'!$L$788</f>
        <v>250.3055159209066</v>
      </c>
      <c r="I1368" s="54">
        <f ca="1">PI()*(('Parameter Inputs'!$K$788/2)^2)</f>
        <v>62.57637898022665</v>
      </c>
      <c r="J1368" s="54">
        <f t="shared" ca="1" si="33"/>
        <v>62.57637898022665</v>
      </c>
      <c r="K1368" s="53">
        <f ca="1">'Parameter Inputs'!$F$180*'Parameter Inputs'!H1368*('Parameter Inputs'!G1368-'Parameter Inputs'!E1368)*86400</f>
        <v>287631074.45503223</v>
      </c>
      <c r="L1368" s="53">
        <f ca="1">'Parameter Inputs'!$H$180*'Parameter Inputs'!J1368*('Parameter Inputs'!G1368-'Parameter Inputs'!F1368)*86400</f>
        <v>136483661.31531191</v>
      </c>
      <c r="M1368" s="53">
        <f ca="1">'Parameter Inputs'!$J$180*'Parameter Inputs'!I1368*('Parameter Inputs'!G1368-'Parameter Inputs'!E1368)*86400</f>
        <v>292767343.64172924</v>
      </c>
      <c r="N1368" s="53">
        <f t="shared" ca="1" si="34"/>
        <v>716882079.41207337</v>
      </c>
      <c r="O1368" s="53">
        <f>'Parameter Inputs'!I787</f>
        <v>1</v>
      </c>
      <c r="P1368" s="53">
        <f t="shared" ca="1" si="35"/>
        <v>716882079.41207337</v>
      </c>
      <c r="Q1368" s="53">
        <f ca="1">P1368*31</f>
        <v>22223344461.774273</v>
      </c>
      <c r="R1368" s="53">
        <f ca="1">N1368*'Parameter Inputs'!$F$411</f>
        <v>3584410397.0603666</v>
      </c>
      <c r="S1368" s="53">
        <f ca="1">Q1368/'Parameter Inputs'!$F$439</f>
        <v>25544074093.993416</v>
      </c>
      <c r="T1368" s="56">
        <f ca="1">(S1368*(0.000000277778))/'Parameter Inputs'!$F$439</f>
        <v>8155.8411651509232</v>
      </c>
    </row>
    <row r="1369" spans="4:32" ht="15" thickTop="1">
      <c r="H1369" s="105"/>
      <c r="I1369" s="105"/>
      <c r="J1369" s="105"/>
      <c r="T1369" s="86">
        <f ca="1">SUM(T1357:T1368)</f>
        <v>75064.949062524625</v>
      </c>
    </row>
    <row r="1370" spans="4:32">
      <c r="H1370" s="105"/>
      <c r="I1370" s="105"/>
      <c r="J1370" s="105"/>
      <c r="T1370" s="86"/>
    </row>
    <row r="1371" spans="4:32">
      <c r="D1371" s="5" t="s">
        <v>44</v>
      </c>
      <c r="H1371" s="105"/>
      <c r="I1371" s="105"/>
      <c r="J1371" s="105"/>
      <c r="T1371" s="86"/>
    </row>
    <row r="1372" spans="4:32" ht="58">
      <c r="D1372" s="8" t="s">
        <v>74</v>
      </c>
      <c r="E1372" s="8" t="s">
        <v>1065</v>
      </c>
      <c r="F1372" s="8" t="s">
        <v>1066</v>
      </c>
      <c r="G1372" s="8" t="s">
        <v>1067</v>
      </c>
      <c r="H1372" s="8" t="s">
        <v>123</v>
      </c>
      <c r="I1372" s="8" t="s">
        <v>121</v>
      </c>
      <c r="J1372" s="8" t="s">
        <v>1068</v>
      </c>
      <c r="K1372" s="8" t="s">
        <v>1069</v>
      </c>
      <c r="L1372" s="8" t="s">
        <v>1070</v>
      </c>
      <c r="M1372" s="8" t="s">
        <v>1071</v>
      </c>
      <c r="N1372" s="8" t="s">
        <v>1072</v>
      </c>
      <c r="O1372" s="8" t="s">
        <v>1073</v>
      </c>
      <c r="P1372" s="8" t="s">
        <v>1074</v>
      </c>
      <c r="Q1372" s="8" t="s">
        <v>1115</v>
      </c>
      <c r="R1372" s="8" t="s">
        <v>119</v>
      </c>
      <c r="S1372" s="8" t="s">
        <v>120</v>
      </c>
      <c r="T1372" s="8" t="s">
        <v>153</v>
      </c>
      <c r="U1372" s="102" t="s">
        <v>469</v>
      </c>
      <c r="V1372" s="8" t="s">
        <v>470</v>
      </c>
      <c r="W1372" s="8" t="s">
        <v>471</v>
      </c>
      <c r="X1372" s="8" t="s">
        <v>472</v>
      </c>
    </row>
    <row r="1373" spans="4:32">
      <c r="D1373" s="8" t="s">
        <v>62</v>
      </c>
      <c r="E1373" s="8">
        <f>'Parameter Inputs'!E70</f>
        <v>6</v>
      </c>
      <c r="F1373" s="8">
        <v>90</v>
      </c>
      <c r="G1373" s="8">
        <f ca="1">2*PI()*('Parameter Inputs'!$K$790/2)*'Parameter Inputs'!$L$790</f>
        <v>64.984971308520102</v>
      </c>
      <c r="H1373" s="50">
        <f ca="1">PI()*(('Parameter Inputs'!$K$790/2)^2)</f>
        <v>16.246242827130025</v>
      </c>
      <c r="I1373" s="50">
        <f t="shared" ref="I1373:I1384" ca="1" si="36">H1373</f>
        <v>16.246242827130025</v>
      </c>
      <c r="J1373" s="8">
        <f ca="1">'Parameter Inputs'!$F$186*'Parameter Inputs'!G1373*('Parameter Inputs'!F1373-'Parameter Inputs'!E1373)*3600</f>
        <v>13756018.726587534</v>
      </c>
      <c r="K1373" s="8">
        <f ca="1">'Parameter Inputs'!$H$186*'Parameter Inputs'!I1373*('Parameter Inputs'!F1373-'Parameter Inputs'!E1373)*3600</f>
        <v>6878009.363293767</v>
      </c>
      <c r="L1373" s="8">
        <f ca="1">'Parameter Inputs'!$J$186*'Parameter Inputs'!H1373*('Parameter Inputs'!F1373-'Parameter Inputs'!E1373)*86400</f>
        <v>336039886.03520983</v>
      </c>
      <c r="M1373" s="8">
        <f t="shared" ref="M1373:M1384" ca="1" si="37">SUM(J1373:L1373)</f>
        <v>356673914.12509114</v>
      </c>
      <c r="N1373" s="8">
        <f>2</f>
        <v>2</v>
      </c>
      <c r="O1373" s="8">
        <f t="shared" ref="O1373:O1384" ca="1" si="38">M1373*N1373</f>
        <v>713347828.25018227</v>
      </c>
      <c r="P1373" s="8">
        <f t="shared" ref="P1373:P1384" ca="1" si="39">O1373*31</f>
        <v>22113782675.75565</v>
      </c>
      <c r="Q1373" s="8">
        <f ca="1">'Parameter Inputs'!N1155</f>
        <v>71874.620090860961</v>
      </c>
      <c r="R1373" s="8">
        <v>1896</v>
      </c>
      <c r="S1373" s="103">
        <v>25</v>
      </c>
      <c r="T1373" s="8">
        <v>90</v>
      </c>
      <c r="U1373" s="58">
        <f t="shared" ref="U1373:U1384" ca="1" si="40">(Q1373*R1373*(T1373-S1373))*2</f>
        <v>17715656359.995411</v>
      </c>
      <c r="V1373" s="58">
        <f ca="1">U1373*31</f>
        <v>549185347159.85773</v>
      </c>
      <c r="W1373" s="58">
        <f t="shared" ref="W1373:W1384" ca="1" si="41">V1373+P1373</f>
        <v>571299129835.6134</v>
      </c>
      <c r="X1373" s="47">
        <f ca="1">(0.000000277778)*W1373</f>
        <v>158694.329687477</v>
      </c>
      <c r="Z1373" s="106"/>
      <c r="AA1373" s="106"/>
      <c r="AB1373" s="106"/>
      <c r="AC1373" s="86"/>
    </row>
    <row r="1374" spans="4:32">
      <c r="D1374" s="8" t="s">
        <v>63</v>
      </c>
      <c r="E1374" s="8">
        <f>'Parameter Inputs'!E72</f>
        <v>5</v>
      </c>
      <c r="F1374" s="8">
        <v>90</v>
      </c>
      <c r="G1374" s="8">
        <f ca="1">2*PI()*('Parameter Inputs'!$K$790/2)*'Parameter Inputs'!$L$790</f>
        <v>64.984971308520102</v>
      </c>
      <c r="H1374" s="50">
        <f ca="1">PI()*(('Parameter Inputs'!$K$790/2)^2)</f>
        <v>16.246242827130025</v>
      </c>
      <c r="I1374" s="50">
        <f t="shared" ca="1" si="36"/>
        <v>16.246242827130025</v>
      </c>
      <c r="J1374" s="8">
        <f ca="1">'Parameter Inputs'!$F$186*'Parameter Inputs'!G1374*('Parameter Inputs'!F1374-'Parameter Inputs'!E1374)*3600</f>
        <v>13919780.854285005</v>
      </c>
      <c r="K1374" s="8">
        <f ca="1">'Parameter Inputs'!$H$186*'Parameter Inputs'!I1374*('Parameter Inputs'!F1374-'Parameter Inputs'!E1374)*3600</f>
        <v>6959890.4271425027</v>
      </c>
      <c r="L1374" s="8">
        <f ca="1">'Parameter Inputs'!$J$186*'Parameter Inputs'!H1374*('Parameter Inputs'!F1374-'Parameter Inputs'!E1374)*86400</f>
        <v>340040360.86896229</v>
      </c>
      <c r="M1374" s="8">
        <f t="shared" ca="1" si="37"/>
        <v>360920032.15038979</v>
      </c>
      <c r="N1374" s="8">
        <f>2</f>
        <v>2</v>
      </c>
      <c r="O1374" s="8">
        <f t="shared" ca="1" si="38"/>
        <v>721840064.30077958</v>
      </c>
      <c r="P1374" s="8">
        <f t="shared" ca="1" si="39"/>
        <v>22377041993.324165</v>
      </c>
      <c r="Q1374" s="8">
        <f ca="1">'Parameter Inputs'!N1155</f>
        <v>71874.620090860961</v>
      </c>
      <c r="R1374" s="8">
        <v>1896</v>
      </c>
      <c r="S1374" s="103">
        <v>25</v>
      </c>
      <c r="T1374" s="8">
        <v>90</v>
      </c>
      <c r="U1374" s="58">
        <f t="shared" ca="1" si="40"/>
        <v>17715656359.995411</v>
      </c>
      <c r="V1374" s="58">
        <f ca="1">U1374*28</f>
        <v>496038378079.87152</v>
      </c>
      <c r="W1374" s="58">
        <f t="shared" ca="1" si="41"/>
        <v>518415420073.19568</v>
      </c>
      <c r="X1374" s="47">
        <f t="shared" ref="X1374:X1384" ca="1" si="42">(0.000000277778)*W1374</f>
        <v>144004.39855709215</v>
      </c>
      <c r="AA1374" s="106"/>
    </row>
    <row r="1375" spans="4:32">
      <c r="D1375" s="8" t="s">
        <v>64</v>
      </c>
      <c r="E1375" s="8">
        <f>'Parameter Inputs'!E74</f>
        <v>7</v>
      </c>
      <c r="F1375" s="8">
        <v>90</v>
      </c>
      <c r="G1375" s="8">
        <f ca="1">2*PI()*('Parameter Inputs'!$K$790/2)*'Parameter Inputs'!$L$790</f>
        <v>64.984971308520102</v>
      </c>
      <c r="H1375" s="50">
        <f ca="1">PI()*(('Parameter Inputs'!$K$790/2)^2)</f>
        <v>16.246242827130025</v>
      </c>
      <c r="I1375" s="50">
        <f t="shared" ca="1" si="36"/>
        <v>16.246242827130025</v>
      </c>
      <c r="J1375" s="8">
        <f ca="1">'Parameter Inputs'!$F$186*'Parameter Inputs'!G1375*('Parameter Inputs'!F1375-'Parameter Inputs'!E1375)*3600</f>
        <v>13592256.598890064</v>
      </c>
      <c r="K1375" s="8">
        <f ca="1">'Parameter Inputs'!$H$186*'Parameter Inputs'!I1375*('Parameter Inputs'!F1375-'Parameter Inputs'!E1375)*3600</f>
        <v>6796128.2994450321</v>
      </c>
      <c r="L1375" s="8">
        <f ca="1">'Parameter Inputs'!$J$186*'Parameter Inputs'!H1375*('Parameter Inputs'!F1375-'Parameter Inputs'!E1375)*86400</f>
        <v>332039411.20145732</v>
      </c>
      <c r="M1375" s="8">
        <f t="shared" ca="1" si="37"/>
        <v>352427796.09979242</v>
      </c>
      <c r="N1375" s="8">
        <f>2</f>
        <v>2</v>
      </c>
      <c r="O1375" s="8">
        <f t="shared" ca="1" si="38"/>
        <v>704855592.19958484</v>
      </c>
      <c r="P1375" s="8">
        <f t="shared" ca="1" si="39"/>
        <v>21850523358.18713</v>
      </c>
      <c r="Q1375" s="8">
        <f ca="1">'Parameter Inputs'!N1155</f>
        <v>71874.620090860961</v>
      </c>
      <c r="R1375" s="8">
        <v>1896</v>
      </c>
      <c r="S1375" s="103">
        <v>25</v>
      </c>
      <c r="T1375" s="8">
        <v>90</v>
      </c>
      <c r="U1375" s="58">
        <f t="shared" ca="1" si="40"/>
        <v>17715656359.995411</v>
      </c>
      <c r="V1375" s="58">
        <f ca="1">U1375*31</f>
        <v>549185347159.85773</v>
      </c>
      <c r="W1375" s="58">
        <f t="shared" ca="1" si="41"/>
        <v>571035870518.0448</v>
      </c>
      <c r="X1375" s="47">
        <f t="shared" ca="1" si="42"/>
        <v>158621.20204076145</v>
      </c>
      <c r="AA1375" s="106"/>
    </row>
    <row r="1376" spans="4:32">
      <c r="D1376" s="8" t="s">
        <v>65</v>
      </c>
      <c r="E1376" s="8">
        <f>'Parameter Inputs'!E76</f>
        <v>8</v>
      </c>
      <c r="F1376" s="8">
        <v>90</v>
      </c>
      <c r="G1376" s="8">
        <f ca="1">2*PI()*('Parameter Inputs'!$K$790/2)*'Parameter Inputs'!$L$790</f>
        <v>64.984971308520102</v>
      </c>
      <c r="H1376" s="50">
        <f ca="1">PI()*(('Parameter Inputs'!$K$790/2)^2)</f>
        <v>16.246242827130025</v>
      </c>
      <c r="I1376" s="50">
        <f t="shared" ca="1" si="36"/>
        <v>16.246242827130025</v>
      </c>
      <c r="J1376" s="8">
        <f ca="1">'Parameter Inputs'!$F$186*'Parameter Inputs'!G1376*('Parameter Inputs'!F1376-'Parameter Inputs'!E1376)*3600</f>
        <v>13428494.471192593</v>
      </c>
      <c r="K1376" s="8">
        <f ca="1">'Parameter Inputs'!$H$186*'Parameter Inputs'!I1376*('Parameter Inputs'!F1376-'Parameter Inputs'!E1376)*3600</f>
        <v>6714247.2355962964</v>
      </c>
      <c r="L1376" s="8">
        <f ca="1">'Parameter Inputs'!$J$186*'Parameter Inputs'!H1376*('Parameter Inputs'!F1376-'Parameter Inputs'!E1376)*86400</f>
        <v>328038936.36770481</v>
      </c>
      <c r="M1376" s="8">
        <f t="shared" ca="1" si="37"/>
        <v>348181678.07449371</v>
      </c>
      <c r="N1376" s="8">
        <f>2</f>
        <v>2</v>
      </c>
      <c r="O1376" s="8">
        <f t="shared" ca="1" si="38"/>
        <v>696363356.14898741</v>
      </c>
      <c r="P1376" s="8">
        <f t="shared" ca="1" si="39"/>
        <v>21587264040.61861</v>
      </c>
      <c r="Q1376" s="8">
        <f ca="1">'Parameter Inputs'!N1155</f>
        <v>71874.620090860961</v>
      </c>
      <c r="R1376" s="8">
        <v>1896</v>
      </c>
      <c r="S1376" s="103">
        <v>25</v>
      </c>
      <c r="T1376" s="8">
        <v>90</v>
      </c>
      <c r="U1376" s="58">
        <f t="shared" ca="1" si="40"/>
        <v>17715656359.995411</v>
      </c>
      <c r="V1376" s="58">
        <f ca="1">U1376*30</f>
        <v>531469690799.8623</v>
      </c>
      <c r="W1376" s="58">
        <f t="shared" ca="1" si="41"/>
        <v>553056954840.48096</v>
      </c>
      <c r="X1376" s="47">
        <f t="shared" ca="1" si="42"/>
        <v>153627.0548016791</v>
      </c>
      <c r="AA1376" s="106"/>
    </row>
    <row r="1377" spans="4:27">
      <c r="D1377" s="8" t="s">
        <v>66</v>
      </c>
      <c r="E1377" s="8">
        <f>'Parameter Inputs'!E78</f>
        <v>11</v>
      </c>
      <c r="F1377" s="8">
        <v>90</v>
      </c>
      <c r="G1377" s="8">
        <f ca="1">2*PI()*('Parameter Inputs'!$K$790/2)*'Parameter Inputs'!$L$790</f>
        <v>64.984971308520102</v>
      </c>
      <c r="H1377" s="50">
        <f ca="1">PI()*(('Parameter Inputs'!$K$790/2)^2)</f>
        <v>16.246242827130025</v>
      </c>
      <c r="I1377" s="50">
        <f t="shared" ca="1" si="36"/>
        <v>16.246242827130025</v>
      </c>
      <c r="J1377" s="8">
        <f ca="1">'Parameter Inputs'!$F$186*'Parameter Inputs'!G1377*('Parameter Inputs'!F1377-'Parameter Inputs'!E1377)*3600</f>
        <v>12937208.08810018</v>
      </c>
      <c r="K1377" s="8">
        <f ca="1">'Parameter Inputs'!$H$186*'Parameter Inputs'!I1377*('Parameter Inputs'!F1377-'Parameter Inputs'!E1377)*3600</f>
        <v>6468604.04405009</v>
      </c>
      <c r="L1377" s="8">
        <f ca="1">'Parameter Inputs'!$J$186*'Parameter Inputs'!H1377*('Parameter Inputs'!F1377-'Parameter Inputs'!E1377)*86400</f>
        <v>316037511.86644733</v>
      </c>
      <c r="M1377" s="8">
        <f t="shared" ca="1" si="37"/>
        <v>335443323.99859762</v>
      </c>
      <c r="N1377" s="8">
        <f>2</f>
        <v>2</v>
      </c>
      <c r="O1377" s="8">
        <f t="shared" ca="1" si="38"/>
        <v>670886647.99719524</v>
      </c>
      <c r="P1377" s="8">
        <f t="shared" ca="1" si="39"/>
        <v>20797486087.913052</v>
      </c>
      <c r="Q1377" s="8">
        <f ca="1">'Parameter Inputs'!N1155</f>
        <v>71874.620090860961</v>
      </c>
      <c r="R1377" s="8">
        <v>1896</v>
      </c>
      <c r="S1377" s="103">
        <v>25</v>
      </c>
      <c r="T1377" s="8">
        <v>90</v>
      </c>
      <c r="U1377" s="58">
        <f t="shared" ca="1" si="40"/>
        <v>17715656359.995411</v>
      </c>
      <c r="V1377" s="58">
        <f ca="1">U1377*31</f>
        <v>549185347159.85773</v>
      </c>
      <c r="W1377" s="58">
        <f t="shared" ca="1" si="41"/>
        <v>569982833247.77075</v>
      </c>
      <c r="X1377" s="47">
        <f t="shared" ca="1" si="42"/>
        <v>158328.69145389926</v>
      </c>
      <c r="AA1377" s="106"/>
    </row>
    <row r="1378" spans="4:27">
      <c r="D1378" s="8" t="s">
        <v>67</v>
      </c>
      <c r="E1378" s="8">
        <f>'Parameter Inputs'!E80</f>
        <v>13</v>
      </c>
      <c r="F1378" s="8">
        <v>90</v>
      </c>
      <c r="G1378" s="8">
        <f ca="1">2*PI()*('Parameter Inputs'!$K$790/2)*'Parameter Inputs'!$L$790</f>
        <v>64.984971308520102</v>
      </c>
      <c r="H1378" s="50">
        <f ca="1">PI()*(('Parameter Inputs'!$K$790/2)^2)</f>
        <v>16.246242827130025</v>
      </c>
      <c r="I1378" s="50">
        <f t="shared" ca="1" si="36"/>
        <v>16.246242827130025</v>
      </c>
      <c r="J1378" s="8">
        <f ca="1">'Parameter Inputs'!$F$186*'Parameter Inputs'!G1378*('Parameter Inputs'!F1378-'Parameter Inputs'!E1378)*3600</f>
        <v>12609683.832705239</v>
      </c>
      <c r="K1378" s="8">
        <f ca="1">'Parameter Inputs'!$H$186*'Parameter Inputs'!I1378*('Parameter Inputs'!F1378-'Parameter Inputs'!E1378)*3600</f>
        <v>6304841.9163526194</v>
      </c>
      <c r="L1378" s="8">
        <f ca="1">'Parameter Inputs'!$J$186*'Parameter Inputs'!H1378*('Parameter Inputs'!F1378-'Parameter Inputs'!E1378)*86400</f>
        <v>308036562.19894236</v>
      </c>
      <c r="M1378" s="8">
        <f t="shared" ca="1" si="37"/>
        <v>326951087.94800019</v>
      </c>
      <c r="N1378" s="8">
        <f>2</f>
        <v>2</v>
      </c>
      <c r="O1378" s="8">
        <f t="shared" ca="1" si="38"/>
        <v>653902175.89600039</v>
      </c>
      <c r="P1378" s="8">
        <f t="shared" ca="1" si="39"/>
        <v>20270967452.776012</v>
      </c>
      <c r="Q1378" s="8">
        <f ca="1">'Parameter Inputs'!N1155</f>
        <v>71874.620090860961</v>
      </c>
      <c r="R1378" s="8">
        <v>1896</v>
      </c>
      <c r="S1378" s="103">
        <v>25</v>
      </c>
      <c r="T1378" s="8">
        <v>90</v>
      </c>
      <c r="U1378" s="58">
        <f t="shared" ca="1" si="40"/>
        <v>17715656359.995411</v>
      </c>
      <c r="V1378" s="58">
        <f ca="1">U1378*30</f>
        <v>531469690799.8623</v>
      </c>
      <c r="W1378" s="58">
        <f t="shared" ca="1" si="41"/>
        <v>551740658252.63831</v>
      </c>
      <c r="X1378" s="47">
        <f t="shared" ca="1" si="42"/>
        <v>153261.41656810135</v>
      </c>
      <c r="AA1378" s="106"/>
    </row>
    <row r="1379" spans="4:27">
      <c r="D1379" s="8" t="s">
        <v>68</v>
      </c>
      <c r="E1379" s="8">
        <f>'Parameter Inputs'!E82</f>
        <v>15</v>
      </c>
      <c r="F1379" s="8">
        <v>90</v>
      </c>
      <c r="G1379" s="8">
        <f ca="1">2*PI()*('Parameter Inputs'!$K$790/2)*'Parameter Inputs'!$L$790</f>
        <v>64.984971308520102</v>
      </c>
      <c r="H1379" s="50">
        <f ca="1">PI()*(('Parameter Inputs'!$K$790/2)^2)</f>
        <v>16.246242827130025</v>
      </c>
      <c r="I1379" s="50">
        <f t="shared" ca="1" si="36"/>
        <v>16.246242827130025</v>
      </c>
      <c r="J1379" s="8">
        <f ca="1">'Parameter Inputs'!$F$186*'Parameter Inputs'!G1379*('Parameter Inputs'!F1379-'Parameter Inputs'!E1379)*3600</f>
        <v>12282159.5773103</v>
      </c>
      <c r="K1379" s="8">
        <f ca="1">'Parameter Inputs'!$H$186*'Parameter Inputs'!I1379*('Parameter Inputs'!F1379-'Parameter Inputs'!E1379)*3600</f>
        <v>6141079.7886551498</v>
      </c>
      <c r="L1379" s="8">
        <f ca="1">'Parameter Inputs'!$J$186*'Parameter Inputs'!H1379*('Parameter Inputs'!F1379-'Parameter Inputs'!E1379)*86400</f>
        <v>300035612.53143734</v>
      </c>
      <c r="M1379" s="8">
        <f t="shared" ca="1" si="37"/>
        <v>318458851.89740276</v>
      </c>
      <c r="N1379" s="8">
        <f>2</f>
        <v>2</v>
      </c>
      <c r="O1379" s="8">
        <f t="shared" ca="1" si="38"/>
        <v>636917703.79480553</v>
      </c>
      <c r="P1379" s="8">
        <f t="shared" ca="1" si="39"/>
        <v>19744448817.638969</v>
      </c>
      <c r="Q1379" s="8">
        <f ca="1">'Parameter Inputs'!N1155</f>
        <v>71874.620090860961</v>
      </c>
      <c r="R1379" s="8">
        <v>1896</v>
      </c>
      <c r="S1379" s="103">
        <v>25</v>
      </c>
      <c r="T1379" s="8">
        <v>90</v>
      </c>
      <c r="U1379" s="58">
        <f t="shared" ca="1" si="40"/>
        <v>17715656359.995411</v>
      </c>
      <c r="V1379" s="58">
        <f ca="1">U1379*31</f>
        <v>549185347159.85773</v>
      </c>
      <c r="W1379" s="58">
        <f t="shared" ca="1" si="41"/>
        <v>568929795977.4967</v>
      </c>
      <c r="X1379" s="47">
        <f t="shared" ca="1" si="42"/>
        <v>158036.18086703707</v>
      </c>
      <c r="AA1379" s="106"/>
    </row>
    <row r="1380" spans="4:27">
      <c r="D1380" s="8" t="s">
        <v>69</v>
      </c>
      <c r="E1380" s="8">
        <f>'Parameter Inputs'!E84</f>
        <v>15</v>
      </c>
      <c r="F1380" s="8">
        <v>90</v>
      </c>
      <c r="G1380" s="8">
        <f ca="1">2*PI()*('Parameter Inputs'!$K$790/2)*'Parameter Inputs'!$L$790</f>
        <v>64.984971308520102</v>
      </c>
      <c r="H1380" s="50">
        <f ca="1">PI()*(('Parameter Inputs'!$K$790/2)^2)</f>
        <v>16.246242827130025</v>
      </c>
      <c r="I1380" s="50">
        <f t="shared" ca="1" si="36"/>
        <v>16.246242827130025</v>
      </c>
      <c r="J1380" s="8">
        <f ca="1">'Parameter Inputs'!$F$186*'Parameter Inputs'!G1380*('Parameter Inputs'!F1380-'Parameter Inputs'!E1380)*3600</f>
        <v>12282159.5773103</v>
      </c>
      <c r="K1380" s="8">
        <f ca="1">'Parameter Inputs'!$H$186*'Parameter Inputs'!I1380*('Parameter Inputs'!F1380-'Parameter Inputs'!E1380)*3600</f>
        <v>6141079.7886551498</v>
      </c>
      <c r="L1380" s="8">
        <f ca="1">'Parameter Inputs'!$J$186*'Parameter Inputs'!H1380*('Parameter Inputs'!F1380-'Parameter Inputs'!E1380)*86400</f>
        <v>300035612.53143734</v>
      </c>
      <c r="M1380" s="8">
        <f t="shared" ca="1" si="37"/>
        <v>318458851.89740276</v>
      </c>
      <c r="N1380" s="8">
        <f>2</f>
        <v>2</v>
      </c>
      <c r="O1380" s="8">
        <f t="shared" ca="1" si="38"/>
        <v>636917703.79480553</v>
      </c>
      <c r="P1380" s="8">
        <f t="shared" ca="1" si="39"/>
        <v>19744448817.638969</v>
      </c>
      <c r="Q1380" s="8">
        <f ca="1">'Parameter Inputs'!N1155</f>
        <v>71874.620090860961</v>
      </c>
      <c r="R1380" s="8">
        <v>1896</v>
      </c>
      <c r="S1380" s="103">
        <v>25</v>
      </c>
      <c r="T1380" s="8">
        <v>90</v>
      </c>
      <c r="U1380" s="58">
        <f t="shared" ca="1" si="40"/>
        <v>17715656359.995411</v>
      </c>
      <c r="V1380" s="58">
        <f ca="1">U1380*31</f>
        <v>549185347159.85773</v>
      </c>
      <c r="W1380" s="58">
        <f t="shared" ca="1" si="41"/>
        <v>568929795977.4967</v>
      </c>
      <c r="X1380" s="47">
        <f t="shared" ca="1" si="42"/>
        <v>158036.18086703707</v>
      </c>
      <c r="AA1380" s="106"/>
    </row>
    <row r="1381" spans="4:27">
      <c r="D1381" s="8" t="s">
        <v>70</v>
      </c>
      <c r="E1381" s="8">
        <f>'Parameter Inputs'!E86</f>
        <v>13</v>
      </c>
      <c r="F1381" s="8">
        <v>90</v>
      </c>
      <c r="G1381" s="8">
        <f ca="1">2*PI()*('Parameter Inputs'!$K$790/2)*'Parameter Inputs'!$L$790</f>
        <v>64.984971308520102</v>
      </c>
      <c r="H1381" s="50">
        <f ca="1">PI()*(('Parameter Inputs'!$K$790/2)^2)</f>
        <v>16.246242827130025</v>
      </c>
      <c r="I1381" s="50">
        <f t="shared" ca="1" si="36"/>
        <v>16.246242827130025</v>
      </c>
      <c r="J1381" s="8">
        <f ca="1">'Parameter Inputs'!$F$186*'Parameter Inputs'!G1381*('Parameter Inputs'!F1381-'Parameter Inputs'!E1381)*3600</f>
        <v>12609683.832705239</v>
      </c>
      <c r="K1381" s="8">
        <f ca="1">'Parameter Inputs'!$H$186*'Parameter Inputs'!I1381*('Parameter Inputs'!F1381-'Parameter Inputs'!E1381)*3600</f>
        <v>6304841.9163526194</v>
      </c>
      <c r="L1381" s="8">
        <f ca="1">'Parameter Inputs'!$J$186*'Parameter Inputs'!H1381*('Parameter Inputs'!F1381-'Parameter Inputs'!E1381)*86400</f>
        <v>308036562.19894236</v>
      </c>
      <c r="M1381" s="8">
        <f t="shared" ca="1" si="37"/>
        <v>326951087.94800019</v>
      </c>
      <c r="N1381" s="8">
        <f>2</f>
        <v>2</v>
      </c>
      <c r="O1381" s="8">
        <f t="shared" ca="1" si="38"/>
        <v>653902175.89600039</v>
      </c>
      <c r="P1381" s="8">
        <f t="shared" ca="1" si="39"/>
        <v>20270967452.776012</v>
      </c>
      <c r="Q1381" s="8">
        <f ca="1">'Parameter Inputs'!N1155</f>
        <v>71874.620090860961</v>
      </c>
      <c r="R1381" s="8">
        <v>1896</v>
      </c>
      <c r="S1381" s="103">
        <v>25</v>
      </c>
      <c r="T1381" s="8">
        <v>90</v>
      </c>
      <c r="U1381" s="58">
        <f t="shared" ca="1" si="40"/>
        <v>17715656359.995411</v>
      </c>
      <c r="V1381" s="58">
        <f ca="1">U1381*30</f>
        <v>531469690799.8623</v>
      </c>
      <c r="W1381" s="58">
        <f t="shared" ca="1" si="41"/>
        <v>551740658252.63831</v>
      </c>
      <c r="X1381" s="47">
        <f t="shared" ca="1" si="42"/>
        <v>153261.41656810135</v>
      </c>
      <c r="AA1381" s="106"/>
    </row>
    <row r="1382" spans="4:27">
      <c r="D1382" s="8" t="s">
        <v>71</v>
      </c>
      <c r="E1382" s="8">
        <f>'Parameter Inputs'!E88</f>
        <v>10</v>
      </c>
      <c r="F1382" s="8">
        <v>90</v>
      </c>
      <c r="G1382" s="8">
        <f ca="1">2*PI()*('Parameter Inputs'!$K$790/2)*'Parameter Inputs'!$L$790</f>
        <v>64.984971308520102</v>
      </c>
      <c r="H1382" s="50">
        <f ca="1">PI()*(('Parameter Inputs'!$K$790/2)^2)</f>
        <v>16.246242827130025</v>
      </c>
      <c r="I1382" s="50">
        <f t="shared" ca="1" si="36"/>
        <v>16.246242827130025</v>
      </c>
      <c r="J1382" s="8">
        <f ca="1">'Parameter Inputs'!$F$186*'Parameter Inputs'!G1382*('Parameter Inputs'!F1382-'Parameter Inputs'!E1382)*3600</f>
        <v>13100970.215797652</v>
      </c>
      <c r="K1382" s="8">
        <f ca="1">'Parameter Inputs'!$H$186*'Parameter Inputs'!I1382*('Parameter Inputs'!F1382-'Parameter Inputs'!E1382)*3600</f>
        <v>6550485.1078988258</v>
      </c>
      <c r="L1382" s="8">
        <f ca="1">'Parameter Inputs'!$J$186*'Parameter Inputs'!H1382*('Parameter Inputs'!F1382-'Parameter Inputs'!E1382)*86400</f>
        <v>320037986.70019978</v>
      </c>
      <c r="M1382" s="8">
        <f t="shared" ca="1" si="37"/>
        <v>339689442.02389628</v>
      </c>
      <c r="N1382" s="8">
        <f>2</f>
        <v>2</v>
      </c>
      <c r="O1382" s="8">
        <f t="shared" ca="1" si="38"/>
        <v>679378884.04779255</v>
      </c>
      <c r="P1382" s="8">
        <f t="shared" ca="1" si="39"/>
        <v>21060745405.481567</v>
      </c>
      <c r="Q1382" s="8">
        <f ca="1">'Parameter Inputs'!N1155</f>
        <v>71874.620090860961</v>
      </c>
      <c r="R1382" s="8">
        <v>1896</v>
      </c>
      <c r="S1382" s="103">
        <v>25</v>
      </c>
      <c r="T1382" s="8">
        <v>90</v>
      </c>
      <c r="U1382" s="58">
        <f t="shared" ca="1" si="40"/>
        <v>17715656359.995411</v>
      </c>
      <c r="V1382" s="58">
        <f ca="1">U1382*31</f>
        <v>549185347159.85773</v>
      </c>
      <c r="W1382" s="58">
        <f t="shared" ca="1" si="41"/>
        <v>570246092565.33936</v>
      </c>
      <c r="X1382" s="47">
        <f t="shared" ca="1" si="42"/>
        <v>158401.81910061484</v>
      </c>
      <c r="AA1382" s="106"/>
    </row>
    <row r="1383" spans="4:27">
      <c r="D1383" s="8" t="s">
        <v>72</v>
      </c>
      <c r="E1383" s="8">
        <f>'Parameter Inputs'!E90</f>
        <v>8</v>
      </c>
      <c r="F1383" s="8">
        <v>90</v>
      </c>
      <c r="G1383" s="8">
        <f ca="1">2*PI()*('Parameter Inputs'!$K$790/2)*'Parameter Inputs'!$L$790</f>
        <v>64.984971308520102</v>
      </c>
      <c r="H1383" s="50">
        <f ca="1">PI()*(('Parameter Inputs'!$K$790/2)^2)</f>
        <v>16.246242827130025</v>
      </c>
      <c r="I1383" s="50">
        <f t="shared" ca="1" si="36"/>
        <v>16.246242827130025</v>
      </c>
      <c r="J1383" s="8">
        <f ca="1">'Parameter Inputs'!$F$186*'Parameter Inputs'!G1383*('Parameter Inputs'!F1383-'Parameter Inputs'!E1383)*3600</f>
        <v>13428494.471192593</v>
      </c>
      <c r="K1383" s="8">
        <f ca="1">'Parameter Inputs'!$H$186*'Parameter Inputs'!I1383*('Parameter Inputs'!F1383-'Parameter Inputs'!E1383)*3600</f>
        <v>6714247.2355962964</v>
      </c>
      <c r="L1383" s="8">
        <f ca="1">'Parameter Inputs'!$J$186*'Parameter Inputs'!H1383*('Parameter Inputs'!F1383-'Parameter Inputs'!E1383)*86400</f>
        <v>328038936.36770481</v>
      </c>
      <c r="M1383" s="8">
        <f t="shared" ca="1" si="37"/>
        <v>348181678.07449371</v>
      </c>
      <c r="N1383" s="8">
        <f>2</f>
        <v>2</v>
      </c>
      <c r="O1383" s="8">
        <f t="shared" ca="1" si="38"/>
        <v>696363356.14898741</v>
      </c>
      <c r="P1383" s="8">
        <f t="shared" ca="1" si="39"/>
        <v>21587264040.61861</v>
      </c>
      <c r="Q1383" s="8">
        <f ca="1">'Parameter Inputs'!N1155</f>
        <v>71874.620090860961</v>
      </c>
      <c r="R1383" s="8">
        <v>1896</v>
      </c>
      <c r="S1383" s="103">
        <v>25</v>
      </c>
      <c r="T1383" s="8">
        <v>90</v>
      </c>
      <c r="U1383" s="58">
        <f t="shared" ca="1" si="40"/>
        <v>17715656359.995411</v>
      </c>
      <c r="V1383" s="58">
        <f ca="1">U1383*30</f>
        <v>531469690799.8623</v>
      </c>
      <c r="W1383" s="58">
        <f t="shared" ca="1" si="41"/>
        <v>553056954840.48096</v>
      </c>
      <c r="X1383" s="47">
        <f t="shared" ca="1" si="42"/>
        <v>153627.0548016791</v>
      </c>
      <c r="AA1383" s="106"/>
    </row>
    <row r="1384" spans="4:27">
      <c r="D1384" s="8" t="s">
        <v>73</v>
      </c>
      <c r="E1384" s="8">
        <f>'Parameter Inputs'!E92</f>
        <v>6</v>
      </c>
      <c r="F1384" s="8">
        <v>90</v>
      </c>
      <c r="G1384" s="8">
        <f ca="1">2*PI()*('Parameter Inputs'!$K$790/2)*'Parameter Inputs'!$L$790</f>
        <v>64.984971308520102</v>
      </c>
      <c r="H1384" s="50">
        <f ca="1">PI()*(('Parameter Inputs'!$K$790/2)^2)</f>
        <v>16.246242827130025</v>
      </c>
      <c r="I1384" s="50">
        <f t="shared" ca="1" si="36"/>
        <v>16.246242827130025</v>
      </c>
      <c r="J1384" s="8">
        <f ca="1">'Parameter Inputs'!$F$186*'Parameter Inputs'!G1384*('Parameter Inputs'!F1384-'Parameter Inputs'!E1384)*3600</f>
        <v>13756018.726587534</v>
      </c>
      <c r="K1384" s="8">
        <f ca="1">'Parameter Inputs'!$H$186*'Parameter Inputs'!I1384*('Parameter Inputs'!F1384-'Parameter Inputs'!E1384)*3600</f>
        <v>6878009.363293767</v>
      </c>
      <c r="L1384" s="8">
        <f ca="1">'Parameter Inputs'!$J$186*'Parameter Inputs'!H1384*('Parameter Inputs'!F1384-'Parameter Inputs'!E1384)*86400</f>
        <v>336039886.03520983</v>
      </c>
      <c r="M1384" s="8">
        <f t="shared" ca="1" si="37"/>
        <v>356673914.12509114</v>
      </c>
      <c r="N1384" s="8">
        <f>2</f>
        <v>2</v>
      </c>
      <c r="O1384" s="8">
        <f t="shared" ca="1" si="38"/>
        <v>713347828.25018227</v>
      </c>
      <c r="P1384" s="8">
        <f t="shared" ca="1" si="39"/>
        <v>22113782675.75565</v>
      </c>
      <c r="Q1384" s="8">
        <f ca="1">'Parameter Inputs'!N1155</f>
        <v>71874.620090860961</v>
      </c>
      <c r="R1384" s="8">
        <v>1896</v>
      </c>
      <c r="S1384" s="103">
        <v>25</v>
      </c>
      <c r="T1384" s="8">
        <v>90</v>
      </c>
      <c r="U1384" s="58">
        <f t="shared" ca="1" si="40"/>
        <v>17715656359.995411</v>
      </c>
      <c r="V1384" s="58">
        <f ca="1">U1384*31</f>
        <v>549185347159.85773</v>
      </c>
      <c r="W1384" s="58">
        <f t="shared" ca="1" si="41"/>
        <v>571299129835.6134</v>
      </c>
      <c r="X1384" s="47">
        <f t="shared" ca="1" si="42"/>
        <v>158694.329687477</v>
      </c>
      <c r="AA1384" s="106"/>
    </row>
    <row r="1385" spans="4:27">
      <c r="D1385" s="8"/>
      <c r="E1385" s="8"/>
      <c r="F1385" s="8"/>
      <c r="G1385" s="8"/>
      <c r="H1385" s="50"/>
      <c r="I1385" s="50"/>
      <c r="J1385" s="50"/>
      <c r="K1385" s="8"/>
      <c r="L1385" s="8"/>
      <c r="M1385" s="8"/>
      <c r="N1385" s="8"/>
      <c r="O1385" s="8"/>
      <c r="P1385" s="8"/>
      <c r="Q1385" s="8"/>
      <c r="R1385" s="8"/>
      <c r="S1385" s="47"/>
      <c r="T1385" s="8"/>
      <c r="U1385" s="8"/>
      <c r="V1385" s="8"/>
      <c r="W1385" s="8"/>
      <c r="X1385" s="47">
        <f ca="1">SUM(X1373:X1384)</f>
        <v>1866594.0750009571</v>
      </c>
    </row>
    <row r="1386" spans="4:27">
      <c r="H1386" s="105"/>
      <c r="I1386" s="105"/>
      <c r="J1386" s="105"/>
      <c r="Q1386" s="106"/>
      <c r="R1386" s="86"/>
      <c r="T1386" s="86"/>
      <c r="Y1386" s="86"/>
    </row>
    <row r="1387" spans="4:27">
      <c r="S1387" s="101"/>
    </row>
    <row r="1388" spans="4:27">
      <c r="D1388" s="42" t="s">
        <v>109</v>
      </c>
      <c r="E1388" s="121" t="s">
        <v>978</v>
      </c>
      <c r="F1388" s="42" t="s">
        <v>503</v>
      </c>
      <c r="G1388" s="42" t="s">
        <v>1248</v>
      </c>
      <c r="H1388" s="42" t="s">
        <v>504</v>
      </c>
      <c r="I1388" s="42" t="s">
        <v>505</v>
      </c>
      <c r="J1388" s="42" t="s">
        <v>1666</v>
      </c>
      <c r="S1388" s="109"/>
    </row>
    <row r="1389" spans="4:27">
      <c r="D1389" s="300" t="s">
        <v>1274</v>
      </c>
      <c r="E1389" s="301" cm="1">
        <f t="array" aca="1" ref="E1389" ca="1">_xlfn.IFS('Parameter Inputs'!F28='Parameter Inputs'!BJ43,'Parameter Inputs'!L907*'Parameter Inputs'!F690,'Parameter Inputs'!F28='Parameter Inputs'!BJ42,E1429/365)</f>
        <v>182.04337424696641</v>
      </c>
      <c r="F1389" s="302">
        <f ca="1">E1389*'Parameter Inputs'!E11</f>
        <v>66445.831600142745</v>
      </c>
      <c r="G1389" s="303">
        <f ca="1">'Parameter Inputs'!$F1389/F1405</f>
        <v>9.5826695848757557E-3</v>
      </c>
      <c r="H1389" s="304"/>
      <c r="I1389" s="302" cm="1">
        <f t="array" aca="1" ref="I1389" ca="1">_xlfn.IFS('Parameter Inputs'!F28='Parameter Inputs'!BJ43,'Parameter Inputs'!L907*'Parameter Inputs'!F688*365,'Parameter Inputs'!F28='Parameter Inputs'!BJ42,AA1425)</f>
        <v>1070516.1757800775</v>
      </c>
      <c r="J1389" s="305">
        <f ca="1">'Parameter Inputs'!$I1389/$I$1405</f>
        <v>7.2652514823893899E-2</v>
      </c>
      <c r="L1389" s="86"/>
      <c r="M1389" s="105"/>
      <c r="S1389" s="101"/>
    </row>
    <row r="1390" spans="4:27">
      <c r="D1390" s="8" t="s">
        <v>1247</v>
      </c>
      <c r="E1390" s="8">
        <f ca="1">IFERROR('Parameter Inputs'!F461*(24*5),0)</f>
        <v>250.49890148740496</v>
      </c>
      <c r="F1390" s="49">
        <f ca="1">E1390*'Parameter Inputs'!E11</f>
        <v>91432.099042902817</v>
      </c>
      <c r="G1390" s="306">
        <f ca="1">'Parameter Inputs'!$F1390/F1405</f>
        <v>1.3186133328157341E-2</v>
      </c>
      <c r="H1390" s="8">
        <v>0</v>
      </c>
      <c r="I1390" s="49">
        <f ca="1">AA1335</f>
        <v>11650551.541248491</v>
      </c>
      <c r="J1390" s="284">
        <f ca="1">'Parameter Inputs'!$I1390/$I$1405</f>
        <v>0.79068573432839517</v>
      </c>
      <c r="L1390" s="86"/>
      <c r="M1390" s="105"/>
    </row>
    <row r="1391" spans="4:27">
      <c r="D1391" s="300" t="s">
        <v>409</v>
      </c>
      <c r="E1391" s="300">
        <f ca="1">IFERROR('Parameter Inputs'!F470*'Parameter Inputs'!H1080,0)</f>
        <v>2345.095198129176</v>
      </c>
      <c r="F1391" s="302">
        <f ca="1">E1391*'Parameter Inputs'!E11</f>
        <v>855959.74731714919</v>
      </c>
      <c r="G1391" s="303">
        <f ca="1">'Parameter Inputs'!$F1391/F1405</f>
        <v>0.12344460501080344</v>
      </c>
      <c r="H1391" s="300">
        <v>0</v>
      </c>
      <c r="I1391" s="304">
        <v>0</v>
      </c>
      <c r="J1391" s="305">
        <f ca="1">'Parameter Inputs'!$I1391/$I$1405</f>
        <v>0</v>
      </c>
      <c r="L1391" s="86"/>
      <c r="M1391" s="105"/>
      <c r="S1391" s="101"/>
      <c r="T1391" s="86"/>
    </row>
    <row r="1392" spans="4:27">
      <c r="D1392" s="307" t="s">
        <v>13</v>
      </c>
      <c r="E1392" s="49">
        <f ca="1">IFERROR('Parameter Inputs'!E1137/'Parameter Inputs'!F528,0)</f>
        <v>2327.0352468422439</v>
      </c>
      <c r="F1392" s="49">
        <f ca="1">E1392*'Parameter Inputs'!E11</f>
        <v>849367.86509741901</v>
      </c>
      <c r="G1392" s="306">
        <f ca="1">'Parameter Inputs'!$F1392/F1405</f>
        <v>0.12249393846434162</v>
      </c>
      <c r="H1392" s="8">
        <v>0</v>
      </c>
      <c r="I1392" s="49">
        <f ca="1">T1352</f>
        <v>65038.523892914091</v>
      </c>
      <c r="J1392" s="284">
        <f ca="1">'Parameter Inputs'!$I1392/$I$1405</f>
        <v>4.4139569566157095E-3</v>
      </c>
      <c r="L1392" s="86"/>
      <c r="M1392" s="105"/>
    </row>
    <row r="1393" spans="4:23">
      <c r="D1393" s="300" t="s">
        <v>25</v>
      </c>
      <c r="E1393" s="302">
        <f ca="1">'Parameter Inputs'!K1124/'Parameter Inputs'!F552</f>
        <v>7082.7117163933017</v>
      </c>
      <c r="F1393" s="302">
        <f ca="1">E1393*'Parameter Inputs'!E11</f>
        <v>2585189.7764835553</v>
      </c>
      <c r="G1393" s="303">
        <f ca="1">'Parameter Inputs'!$F1393/F1405</f>
        <v>0.37283030170078418</v>
      </c>
      <c r="H1393" s="300">
        <v>0</v>
      </c>
      <c r="I1393" s="302">
        <f ca="1">T1369</f>
        <v>75064.949062524625</v>
      </c>
      <c r="J1393" s="305">
        <f ca="1">'Parameter Inputs'!$I1393/$I$1405</f>
        <v>5.0944184197365067E-3</v>
      </c>
      <c r="L1393" s="86"/>
      <c r="M1393" s="105"/>
      <c r="S1393" s="101"/>
      <c r="W1393" s="88"/>
    </row>
    <row r="1394" spans="4:23">
      <c r="D1394" s="8" t="s">
        <v>493</v>
      </c>
      <c r="E1394" s="103">
        <f ca="1">'Parameter Inputs'!K1129*'Parameter Inputs'!F593</f>
        <v>1909.2634658639638</v>
      </c>
      <c r="F1394" s="49">
        <f ca="1">E1394*'Parameter Inputs'!E11</f>
        <v>696881.16504034679</v>
      </c>
      <c r="G1394" s="306">
        <f ca="1">'Parameter Inputs'!$F1394/F1405</f>
        <v>0.10050264679794552</v>
      </c>
      <c r="H1394" s="8">
        <v>0</v>
      </c>
      <c r="I1394" s="50">
        <v>0</v>
      </c>
      <c r="J1394" s="284">
        <f ca="1">'Parameter Inputs'!$I1394/$I$1405</f>
        <v>0</v>
      </c>
      <c r="L1394" s="86"/>
      <c r="M1394" s="105"/>
      <c r="U1394" s="87"/>
    </row>
    <row r="1395" spans="4:23">
      <c r="D1395" s="300" t="s">
        <v>105</v>
      </c>
      <c r="E1395" s="308">
        <f ca="1">'Parameter Inputs'!N1151*'Parameter Inputs'!F607</f>
        <v>3973.6397107375979</v>
      </c>
      <c r="F1395" s="302">
        <f ca="1">E1395*'Parameter Inputs'!E11</f>
        <v>1450378.4944192232</v>
      </c>
      <c r="G1395" s="303">
        <f ca="1">'Parameter Inputs'!$F1395/F1405</f>
        <v>0.20917035049944538</v>
      </c>
      <c r="H1395" s="300">
        <v>0</v>
      </c>
      <c r="I1395" s="304">
        <f>H1395*'Parameter Inputs'!E11</f>
        <v>0</v>
      </c>
      <c r="J1395" s="305">
        <f ca="1">'Parameter Inputs'!$I1395/$I$1405</f>
        <v>0</v>
      </c>
      <c r="L1395" s="86"/>
      <c r="M1395" s="105"/>
      <c r="U1395" s="87"/>
    </row>
    <row r="1396" spans="4:23">
      <c r="D1396" s="8" t="s">
        <v>44</v>
      </c>
      <c r="E1396" s="103">
        <f ca="1">'Parameter Inputs'!F643</f>
        <v>0.59526421188697098</v>
      </c>
      <c r="F1396" s="49">
        <f ca="1">E1396*'Parameter Inputs'!E11</f>
        <v>217.27143733874442</v>
      </c>
      <c r="G1396" s="306">
        <f ca="1">'Parameter Inputs'!$F1396/F1405</f>
        <v>3.133440193475962E-5</v>
      </c>
      <c r="H1396" s="8"/>
      <c r="I1396" s="49">
        <f ca="1">X1385</f>
        <v>1866594.0750009571</v>
      </c>
      <c r="J1396" s="284">
        <f ca="1">'Parameter Inputs'!$I1396/$I$1405</f>
        <v>0.12667978006533112</v>
      </c>
      <c r="L1396" s="86"/>
      <c r="M1396" s="105"/>
    </row>
    <row r="1397" spans="4:23">
      <c r="D1397" s="300" t="s">
        <v>494</v>
      </c>
      <c r="E1397" s="308">
        <f ca="1">'Parameter Inputs'!K1164*2*'Parameter Inputs'!F655</f>
        <v>0.14374924018172192</v>
      </c>
      <c r="F1397" s="302">
        <f ca="1">E1397*'Parameter Inputs'!E11</f>
        <v>52.468472666328502</v>
      </c>
      <c r="G1397" s="303">
        <f ca="1">'Parameter Inputs'!$F1397/F1405</f>
        <v>7.5668860645794211E-6</v>
      </c>
      <c r="H1397" s="300">
        <v>0</v>
      </c>
      <c r="I1397" s="304">
        <v>0</v>
      </c>
      <c r="J1397" s="305">
        <f ca="1">'Parameter Inputs'!$I1397/$I$1405</f>
        <v>0</v>
      </c>
      <c r="L1397" s="86"/>
      <c r="M1397" s="105"/>
      <c r="S1397" s="101"/>
    </row>
    <row r="1398" spans="4:23">
      <c r="D1398" s="8" t="s">
        <v>979</v>
      </c>
      <c r="E1398" s="103">
        <f ca="1">'Parameter Inputs'!F663*'Parameter Inputs'!Q1161*'Parameter Inputs'!F647</f>
        <v>5.0312234063602586E-2</v>
      </c>
      <c r="F1398" s="49">
        <f ca="1">E1398*'Parameter Inputs'!E11</f>
        <v>18.363965433214943</v>
      </c>
      <c r="G1398" s="306">
        <f ca="1">'Parameter Inputs'!$F1398/F1405</f>
        <v>2.6484101226027927E-6</v>
      </c>
      <c r="H1398" s="8">
        <f ca="1">'Parameter Inputs'!Q1161*'Parameter Inputs'!F647*'Parameter Inputs'!F665</f>
        <v>0.40249787250882069</v>
      </c>
      <c r="I1398" s="50">
        <f ca="1">H1398*'Parameter Inputs'!E11</f>
        <v>146.91172346571955</v>
      </c>
      <c r="J1398" s="284">
        <f ca="1">'Parameter Inputs'!$I1398/$I$1405</f>
        <v>9.9704296005796307E-6</v>
      </c>
      <c r="L1398" s="86"/>
      <c r="M1398" s="90"/>
    </row>
    <row r="1399" spans="4:23">
      <c r="D1399" s="300" t="s">
        <v>498</v>
      </c>
      <c r="E1399" s="308">
        <f ca="1">'Parameter Inputs'!Q1170*'Parameter Inputs'!F647*'Parameter Inputs'!F667</f>
        <v>8.452455322685232E-3</v>
      </c>
      <c r="F1399" s="302">
        <f ca="1">E1399*'Parameter Inputs'!E11</f>
        <v>3.0851461927801096</v>
      </c>
      <c r="G1399" s="303">
        <f ca="1">'Parameter Inputs'!$F1399/F1405</f>
        <v>4.4493290059726907E-7</v>
      </c>
      <c r="H1399" s="300">
        <v>0</v>
      </c>
      <c r="I1399" s="304">
        <v>0</v>
      </c>
      <c r="J1399" s="305">
        <f ca="1">'Parameter Inputs'!$I1399/$I$1405</f>
        <v>0</v>
      </c>
      <c r="L1399" s="86"/>
      <c r="M1399" s="90"/>
    </row>
    <row r="1400" spans="4:23">
      <c r="D1400" s="8" t="s">
        <v>996</v>
      </c>
      <c r="E1400" s="103">
        <f ca="1">'Parameter Inputs'!K1172*'Parameter Inputs'!F647*'Parameter Inputs'!F675</f>
        <v>2.6737358673800284</v>
      </c>
      <c r="F1400" s="49">
        <f ca="1">E1400*'Parameter Inputs'!E11</f>
        <v>975.91359159371041</v>
      </c>
      <c r="G1400" s="306">
        <f ca="1">'Parameter Inputs'!$F1400/F1405</f>
        <v>1.4074408080117727E-4</v>
      </c>
      <c r="H1400" s="8">
        <f ca="1">'Parameter Inputs'!K1172*'Parameter Inputs'!F647*'Parameter Inputs'!F677</f>
        <v>18.7161510716602</v>
      </c>
      <c r="I1400" s="50">
        <f ca="1">H1400*'Parameter Inputs'!E11</f>
        <v>6831.3951411559729</v>
      </c>
      <c r="J1400" s="284">
        <f ca="1">'Parameter Inputs'!$I1400/$I$1405</f>
        <v>4.6362497642695377E-4</v>
      </c>
      <c r="L1400" s="86"/>
      <c r="M1400" s="105"/>
    </row>
    <row r="1401" spans="4:23">
      <c r="D1401" s="300" t="s">
        <v>502</v>
      </c>
      <c r="E1401" s="308">
        <f ca="1">'Parameter Inputs'!K1178*'Parameter Inputs'!F647*'Parameter Inputs'!F679</f>
        <v>0.9264494780471797</v>
      </c>
      <c r="F1401" s="302">
        <f ca="1">E1401*'Parameter Inputs'!E11</f>
        <v>338.15405948722059</v>
      </c>
      <c r="G1401" s="303">
        <f ca="1">'Parameter Inputs'!$F1401/F1405</f>
        <v>4.8767823997607914E-5</v>
      </c>
      <c r="H1401" s="300">
        <v>0</v>
      </c>
      <c r="I1401" s="304">
        <v>0</v>
      </c>
      <c r="J1401" s="305">
        <f ca="1">'Parameter Inputs'!$I1401/$I$1405</f>
        <v>0</v>
      </c>
      <c r="L1401" s="86"/>
      <c r="M1401" s="105"/>
    </row>
    <row r="1402" spans="4:23">
      <c r="D1402" s="8" t="s">
        <v>610</v>
      </c>
      <c r="E1402" s="103">
        <f ca="1">'Parameter Inputs'!R846</f>
        <v>85.844691880445311</v>
      </c>
      <c r="F1402" s="49">
        <f ca="1">E1402*'Parameter Inputs'!E11</f>
        <v>31333.312536362537</v>
      </c>
      <c r="G1402" s="306">
        <f ca="1">'Parameter Inputs'!$F1402/F1405</f>
        <v>4.5188204256738128E-3</v>
      </c>
      <c r="H1402" s="8">
        <v>0</v>
      </c>
      <c r="I1402" s="50">
        <v>0</v>
      </c>
      <c r="J1402" s="284">
        <f ca="1">'Parameter Inputs'!$I1402/$I$1405</f>
        <v>0</v>
      </c>
      <c r="L1402" s="86"/>
      <c r="M1402" s="105"/>
    </row>
    <row r="1403" spans="4:23">
      <c r="D1403" s="300" t="s">
        <v>1448</v>
      </c>
      <c r="E1403" s="308">
        <f ca="1">'Parameter Inputs'!N1174*'Parameter Inputs'!F682</f>
        <v>836.61584293863427</v>
      </c>
      <c r="F1403" s="302">
        <f ca="1">E1403*'Parameter Inputs'!E11</f>
        <v>305364.78267260152</v>
      </c>
      <c r="G1403" s="303">
        <f ca="1">'Parameter Inputs'!$F1403/F1405</f>
        <v>4.4039027652152181E-2</v>
      </c>
      <c r="H1403" s="304"/>
      <c r="I1403" s="304">
        <v>0</v>
      </c>
      <c r="J1403" s="305">
        <f ca="1">'Parameter Inputs'!$I1403/$I$1405</f>
        <v>0</v>
      </c>
      <c r="L1403" s="86"/>
      <c r="M1403" s="105"/>
    </row>
    <row r="1404" spans="4:23">
      <c r="D1404" s="8" t="s">
        <v>994</v>
      </c>
      <c r="E1404" s="103">
        <f ca="1">SUM(E1390:E1403)</f>
        <v>18815.102737759651</v>
      </c>
      <c r="F1404" s="49">
        <f ca="1">SUM(F1390:F1403)</f>
        <v>6867512.4992822725</v>
      </c>
      <c r="G1404" s="306">
        <f ca="1">'Parameter Inputs'!$F1404/F1405</f>
        <v>0.99041733041512481</v>
      </c>
      <c r="H1404" s="8">
        <f ca="1">SUM(H1390:H1403)</f>
        <v>19.118648944169021</v>
      </c>
      <c r="I1404" s="50">
        <f ca="1">SUM(I1390:I1403)</f>
        <v>13664227.39606951</v>
      </c>
      <c r="J1404" s="284">
        <f ca="1">'Parameter Inputs'!$I1404/$I$1405</f>
        <v>0.92734748517610621</v>
      </c>
      <c r="L1404" s="86"/>
      <c r="M1404" s="105"/>
    </row>
    <row r="1405" spans="4:23">
      <c r="D1405" s="300" t="s">
        <v>1246</v>
      </c>
      <c r="E1405" s="308">
        <f ca="1">E1404+E1389</f>
        <v>18997.146112006616</v>
      </c>
      <c r="F1405" s="302">
        <f ca="1">F1404+F1389</f>
        <v>6933958.3308824152</v>
      </c>
      <c r="G1405" s="300"/>
      <c r="H1405" s="304">
        <f ca="1">H1404+H1389</f>
        <v>19.118648944169021</v>
      </c>
      <c r="I1405" s="302">
        <f ca="1">I1404+I1389</f>
        <v>14734743.571849588</v>
      </c>
      <c r="J1405" s="305">
        <f ca="1">'Parameter Inputs'!$I1405/$I$1405</f>
        <v>1</v>
      </c>
      <c r="L1405" s="86"/>
      <c r="O1405" s="113"/>
    </row>
    <row r="1406" spans="4:23">
      <c r="D1406" s="8" t="s">
        <v>983</v>
      </c>
      <c r="E1406" s="49">
        <f ca="1">(E1404)/('Parameter Inputs'!N1174/1000)</f>
        <v>9933.6283784408588</v>
      </c>
      <c r="F1406" s="8"/>
      <c r="G1406" s="8">
        <f ca="1">SUM(G1390:G1402)</f>
        <v>0.94637830276297286</v>
      </c>
      <c r="H1406" s="8"/>
      <c r="I1406" s="50">
        <f ca="1">(I1404)/'Parameter Inputs'!E1596</f>
        <v>19764.850379995802</v>
      </c>
      <c r="J1406" s="8"/>
      <c r="O1406" s="113"/>
      <c r="P1406" s="113"/>
    </row>
    <row r="1407" spans="4:23">
      <c r="P1407" s="113"/>
    </row>
    <row r="1408" spans="4:23">
      <c r="I1408" s="91"/>
    </row>
    <row r="1410" spans="4:29">
      <c r="D1410" s="5" t="s">
        <v>551</v>
      </c>
    </row>
    <row r="1411" spans="4:29">
      <c r="D1411" s="5" t="s">
        <v>452</v>
      </c>
    </row>
    <row r="1412" spans="4:29">
      <c r="D1412" s="42" t="s">
        <v>74</v>
      </c>
      <c r="E1412" s="42" t="s">
        <v>117</v>
      </c>
      <c r="F1412" s="42" t="s">
        <v>149</v>
      </c>
      <c r="G1412" s="42" t="s">
        <v>118</v>
      </c>
      <c r="H1412" s="42" t="s">
        <v>122</v>
      </c>
      <c r="I1412" s="42" t="s">
        <v>123</v>
      </c>
      <c r="J1412" s="42" t="s">
        <v>121</v>
      </c>
      <c r="K1412" s="42" t="s">
        <v>150</v>
      </c>
      <c r="L1412" s="42" t="s">
        <v>151</v>
      </c>
      <c r="M1412" s="42" t="s">
        <v>152</v>
      </c>
      <c r="N1412" s="42" t="s">
        <v>154</v>
      </c>
      <c r="O1412" s="42" t="s">
        <v>411</v>
      </c>
      <c r="P1412" s="42" t="s">
        <v>450</v>
      </c>
      <c r="Q1412" s="42" t="s">
        <v>453</v>
      </c>
      <c r="R1412" s="42" t="s">
        <v>157</v>
      </c>
      <c r="S1412" s="42"/>
      <c r="T1412" s="42" t="s">
        <v>451</v>
      </c>
      <c r="U1412" s="42" t="s">
        <v>119</v>
      </c>
      <c r="V1412" s="42" t="s">
        <v>120</v>
      </c>
      <c r="W1412" s="42" t="s">
        <v>153</v>
      </c>
      <c r="X1412" s="42" t="s">
        <v>469</v>
      </c>
      <c r="Y1412" s="42" t="s">
        <v>470</v>
      </c>
      <c r="Z1412" s="42" t="s">
        <v>471</v>
      </c>
      <c r="AA1412" s="42" t="s">
        <v>472</v>
      </c>
      <c r="AB1412" s="42" t="s">
        <v>473</v>
      </c>
      <c r="AC1412" s="42" t="s">
        <v>410</v>
      </c>
    </row>
    <row r="1413" spans="4:29">
      <c r="D1413" s="8" t="s">
        <v>62</v>
      </c>
      <c r="E1413" s="8">
        <f>'Parameter Inputs'!E70</f>
        <v>6</v>
      </c>
      <c r="F1413" s="8">
        <f>'Parameter Inputs'!F70</f>
        <v>6.9686411149825789</v>
      </c>
      <c r="G1413" s="8">
        <v>35</v>
      </c>
      <c r="H1413" s="50">
        <f ca="1">2*PI()*('Parameter Inputs'!K792/2)*'Parameter Inputs'!L792</f>
        <v>206.05073504666839</v>
      </c>
      <c r="I1413" s="50">
        <f ca="1">PI()*(('Parameter Inputs'!K792/2)^2)</f>
        <v>51.512683761667105</v>
      </c>
      <c r="J1413" s="50">
        <f t="shared" ref="J1413:J1424" ca="1" si="43">I1413</f>
        <v>51.512683761667105</v>
      </c>
      <c r="K1413" s="8">
        <f ca="1">'Parameter Inputs'!$F$188*'Parameter Inputs'!H1413*('Parameter Inputs'!G1413-'Parameter Inputs'!E1413)*86400</f>
        <v>361396505.21305263</v>
      </c>
      <c r="L1413" s="8">
        <f ca="1">'Parameter Inputs'!$H$188*'Parameter Inputs'!J1413*('Parameter Inputs'!G1413-'Parameter Inputs'!F1413)*86400</f>
        <v>174662674.78307152</v>
      </c>
      <c r="M1413" s="8">
        <f ca="1">'Parameter Inputs'!$J$188*'Parameter Inputs'!I1413*('Parameter Inputs'!G1413-'Parameter Inputs'!E1413)*86400</f>
        <v>367850014.23471433</v>
      </c>
      <c r="N1413" s="8">
        <f t="shared" ref="N1413:N1424" ca="1" si="44">K1413+L1413+M1413</f>
        <v>903909194.23083854</v>
      </c>
      <c r="O1413" s="8">
        <v>1</v>
      </c>
      <c r="P1413" s="8">
        <f t="shared" ref="P1413:P1424" ca="1" si="45">N1413*O1413</f>
        <v>903909194.23083854</v>
      </c>
      <c r="Q1413" s="8">
        <f ca="1">P1413*31</f>
        <v>28021185021.155994</v>
      </c>
      <c r="R1413" s="8">
        <f ca="1">N1413*'Parameter Inputs'!$F$411</f>
        <v>4519545971.1541929</v>
      </c>
      <c r="S1413" s="8"/>
      <c r="T1413" s="49">
        <f ca="1">'Parameter Inputs'!L906</f>
        <v>25283.801978745334</v>
      </c>
      <c r="U1413" s="8">
        <v>4200</v>
      </c>
      <c r="V1413" s="103">
        <v>10.9876543209876</v>
      </c>
      <c r="W1413" s="8">
        <v>35</v>
      </c>
      <c r="X1413" s="58">
        <f t="shared" ref="X1413:X1424" ca="1" si="46">T1413*U1413*(W1413-V1413)</f>
        <v>2549918251.4119887</v>
      </c>
      <c r="Y1413" s="58">
        <f ca="1">X1413*31</f>
        <v>79047465793.771652</v>
      </c>
      <c r="Z1413" s="58">
        <f t="shared" ref="Z1413:Z1424" ca="1" si="47">Y1413+Q1413</f>
        <v>107068650814.92764</v>
      </c>
      <c r="AA1413" s="47">
        <f ca="1">(0.000000277778)*Z1413</f>
        <v>29741.315686068971</v>
      </c>
      <c r="AB1413" s="8"/>
      <c r="AC1413" s="58">
        <f ca="1">(X1413+R1413)/'Parameter Inputs'!$F$439</f>
        <v>8125820945.4783688</v>
      </c>
    </row>
    <row r="1414" spans="4:29">
      <c r="D1414" s="8" t="s">
        <v>63</v>
      </c>
      <c r="E1414" s="8">
        <f>'Parameter Inputs'!E72</f>
        <v>5</v>
      </c>
      <c r="F1414" s="8">
        <f>'Parameter Inputs'!F72</f>
        <v>5.8072009291521489</v>
      </c>
      <c r="G1414" s="8">
        <v>35</v>
      </c>
      <c r="H1414" s="50">
        <f ca="1">2*PI()*('Parameter Inputs'!K792/2)*'Parameter Inputs'!L792</f>
        <v>206.05073504666839</v>
      </c>
      <c r="I1414" s="50">
        <f ca="1">PI()*(('Parameter Inputs'!K792/2)^2)</f>
        <v>51.512683761667105</v>
      </c>
      <c r="J1414" s="50">
        <f t="shared" ca="1" si="43"/>
        <v>51.512683761667105</v>
      </c>
      <c r="K1414" s="8">
        <f ca="1">'Parameter Inputs'!$F$188*'Parameter Inputs'!H1414*('Parameter Inputs'!G1414-'Parameter Inputs'!E1414)*86400</f>
        <v>373858453.66867512</v>
      </c>
      <c r="L1414" s="8">
        <f ca="1">'Parameter Inputs'!$H$188*'Parameter Inputs'!J1414*('Parameter Inputs'!G1414-'Parameter Inputs'!F1414)*86400</f>
        <v>181899578.64812523</v>
      </c>
      <c r="M1414" s="8">
        <f ca="1">'Parameter Inputs'!$J$188*'Parameter Inputs'!I1414*('Parameter Inputs'!G1414-'Parameter Inputs'!E1414)*86400</f>
        <v>380534497.48418725</v>
      </c>
      <c r="N1414" s="8">
        <f t="shared" ca="1" si="44"/>
        <v>936292529.8009876</v>
      </c>
      <c r="O1414" s="8">
        <v>1</v>
      </c>
      <c r="P1414" s="8">
        <f t="shared" ca="1" si="45"/>
        <v>936292529.8009876</v>
      </c>
      <c r="Q1414" s="8">
        <f ca="1">P1414*28</f>
        <v>26216190834.427654</v>
      </c>
      <c r="R1414" s="8">
        <f ca="1">N1414*'Parameter Inputs'!$F$411</f>
        <v>4681462649.0049381</v>
      </c>
      <c r="S1414" s="8"/>
      <c r="T1414" s="49">
        <f ca="1">'Parameter Inputs'!L906</f>
        <v>25283.801978745334</v>
      </c>
      <c r="U1414" s="8">
        <v>4200</v>
      </c>
      <c r="V1414" s="103">
        <v>11.8518518518518</v>
      </c>
      <c r="W1414" s="8">
        <v>35</v>
      </c>
      <c r="X1414" s="58">
        <f t="shared" ca="1" si="46"/>
        <v>2458147414.6002464</v>
      </c>
      <c r="Y1414" s="58">
        <f ca="1">X1414*28</f>
        <v>68828127608.8069</v>
      </c>
      <c r="Z1414" s="58">
        <f t="shared" ca="1" si="47"/>
        <v>95044318443.234558</v>
      </c>
      <c r="AA1414" s="47">
        <f t="shared" ref="AA1414:AA1424" ca="1" si="48">(0.000000277778)*Z1414</f>
        <v>26401.220688524809</v>
      </c>
      <c r="AB1414" s="8"/>
      <c r="AC1414" s="58">
        <f ca="1">(X1414+R1414)/'Parameter Inputs'!$F$439</f>
        <v>8206448348.9714766</v>
      </c>
    </row>
    <row r="1415" spans="4:29">
      <c r="D1415" s="8" t="s">
        <v>64</v>
      </c>
      <c r="E1415" s="8">
        <f>'Parameter Inputs'!E74</f>
        <v>7</v>
      </c>
      <c r="F1415" s="8">
        <f>'Parameter Inputs'!F74</f>
        <v>7.9006772009029342</v>
      </c>
      <c r="G1415" s="8">
        <v>35</v>
      </c>
      <c r="H1415" s="50">
        <f ca="1">2*PI()*('Parameter Inputs'!K792/2)*'Parameter Inputs'!L792</f>
        <v>206.05073504666839</v>
      </c>
      <c r="I1415" s="50">
        <f ca="1">PI()*(('Parameter Inputs'!K792/2)^2)</f>
        <v>51.512683761667105</v>
      </c>
      <c r="J1415" s="50">
        <f t="shared" ca="1" si="43"/>
        <v>51.512683761667105</v>
      </c>
      <c r="K1415" s="8">
        <f ca="1">'Parameter Inputs'!$F$188*'Parameter Inputs'!H1415*('Parameter Inputs'!G1415-'Parameter Inputs'!E1415)*86400</f>
        <v>348934556.75743014</v>
      </c>
      <c r="L1415" s="8">
        <f ca="1">'Parameter Inputs'!$H$188*'Parameter Inputs'!J1415*('Parameter Inputs'!G1415-'Parameter Inputs'!F1415)*86400</f>
        <v>168855181.95231172</v>
      </c>
      <c r="M1415" s="8">
        <f ca="1">'Parameter Inputs'!$J$188*'Parameter Inputs'!I1415*('Parameter Inputs'!G1415-'Parameter Inputs'!E1415)*86400</f>
        <v>355165530.98524147</v>
      </c>
      <c r="N1415" s="8">
        <f t="shared" ca="1" si="44"/>
        <v>872955269.69498324</v>
      </c>
      <c r="O1415" s="8">
        <v>1</v>
      </c>
      <c r="P1415" s="8">
        <f t="shared" ca="1" si="45"/>
        <v>872955269.69498324</v>
      </c>
      <c r="Q1415" s="8">
        <f ca="1">P1415*31</f>
        <v>27061613360.544479</v>
      </c>
      <c r="R1415" s="8">
        <f ca="1">N1415*'Parameter Inputs'!$F$411</f>
        <v>4364776348.4749165</v>
      </c>
      <c r="S1415" s="8"/>
      <c r="T1415" s="49">
        <f ca="1">'Parameter Inputs'!L906</f>
        <v>25283.801978745334</v>
      </c>
      <c r="U1415" s="8">
        <v>4200</v>
      </c>
      <c r="V1415" s="103">
        <v>12.592592592592499</v>
      </c>
      <c r="W1415" s="8">
        <v>35</v>
      </c>
      <c r="X1415" s="58">
        <f t="shared" ca="1" si="46"/>
        <v>2379486697.3330431</v>
      </c>
      <c r="Y1415" s="58">
        <f ca="1">X1415*31</f>
        <v>73764087617.324341</v>
      </c>
      <c r="Z1415" s="58">
        <f t="shared" ca="1" si="47"/>
        <v>100825700977.86882</v>
      </c>
      <c r="AA1415" s="47">
        <f t="shared" ca="1" si="48"/>
        <v>28007.161566230443</v>
      </c>
      <c r="AB1415" s="8"/>
      <c r="AC1415" s="58">
        <f ca="1">(X1415+R1415)/'Parameter Inputs'!$F$439</f>
        <v>7752026489.4344358</v>
      </c>
    </row>
    <row r="1416" spans="4:29">
      <c r="D1416" s="8" t="s">
        <v>65</v>
      </c>
      <c r="E1416" s="8">
        <f>'Parameter Inputs'!E76</f>
        <v>8</v>
      </c>
      <c r="F1416" s="8">
        <f>'Parameter Inputs'!F76</f>
        <v>9.0293453724604973</v>
      </c>
      <c r="G1416" s="8">
        <v>35</v>
      </c>
      <c r="H1416" s="50">
        <f ca="1">2*PI()*('Parameter Inputs'!K792/2)*'Parameter Inputs'!L792</f>
        <v>206.05073504666839</v>
      </c>
      <c r="I1416" s="50">
        <f ca="1">PI()*(('Parameter Inputs'!K792/2)^2)</f>
        <v>51.512683761667105</v>
      </c>
      <c r="J1416" s="50">
        <f t="shared" ca="1" si="43"/>
        <v>51.512683761667105</v>
      </c>
      <c r="K1416" s="8">
        <f ca="1">'Parameter Inputs'!$F$188*'Parameter Inputs'!H1416*('Parameter Inputs'!G1416-'Parameter Inputs'!E1416)*86400</f>
        <v>336472608.30180758</v>
      </c>
      <c r="L1416" s="8">
        <f ca="1">'Parameter Inputs'!$H$188*'Parameter Inputs'!J1416*('Parameter Inputs'!G1416-'Parameter Inputs'!F1416)*86400</f>
        <v>161822479.66358569</v>
      </c>
      <c r="M1416" s="8">
        <f ca="1">'Parameter Inputs'!$J$188*'Parameter Inputs'!I1416*('Parameter Inputs'!G1416-'Parameter Inputs'!E1416)*86400</f>
        <v>342481047.7357685</v>
      </c>
      <c r="N1416" s="8">
        <f t="shared" ca="1" si="44"/>
        <v>840776135.70116186</v>
      </c>
      <c r="O1416" s="8">
        <v>1</v>
      </c>
      <c r="P1416" s="8">
        <f t="shared" ca="1" si="45"/>
        <v>840776135.70116186</v>
      </c>
      <c r="Q1416" s="8">
        <f ca="1">P1416*30</f>
        <v>25223284071.034855</v>
      </c>
      <c r="R1416" s="8">
        <f ca="1">N1416*'Parameter Inputs'!$F$411</f>
        <v>4203880678.5058093</v>
      </c>
      <c r="S1416" s="8"/>
      <c r="T1416" s="49">
        <f ca="1">'Parameter Inputs'!L906</f>
        <v>25283.801978745334</v>
      </c>
      <c r="U1416" s="8">
        <v>4200</v>
      </c>
      <c r="V1416" s="103">
        <v>15.1851851851851</v>
      </c>
      <c r="W1416" s="8">
        <v>35</v>
      </c>
      <c r="X1416" s="58">
        <f t="shared" ca="1" si="46"/>
        <v>2104174186.8978152</v>
      </c>
      <c r="Y1416" s="58">
        <f ca="1">X1416*30</f>
        <v>63125225606.934456</v>
      </c>
      <c r="Z1416" s="58">
        <f t="shared" ca="1" si="47"/>
        <v>88348509677.969315</v>
      </c>
      <c r="AA1416" s="47">
        <f t="shared" ca="1" si="48"/>
        <v>24541.27232132696</v>
      </c>
      <c r="AB1416" s="8"/>
      <c r="AC1416" s="58">
        <f ca="1">(X1416+R1416)/'Parameter Inputs'!$F$439</f>
        <v>7250637776.326005</v>
      </c>
    </row>
    <row r="1417" spans="4:29">
      <c r="D1417" s="8" t="s">
        <v>66</v>
      </c>
      <c r="E1417" s="8">
        <f>'Parameter Inputs'!E78</f>
        <v>11</v>
      </c>
      <c r="F1417" s="8">
        <f>'Parameter Inputs'!F78</f>
        <v>12.415349887133182</v>
      </c>
      <c r="G1417" s="8">
        <v>35</v>
      </c>
      <c r="H1417" s="50">
        <f ca="1">2*PI()*('Parameter Inputs'!K792/2)*'Parameter Inputs'!L792</f>
        <v>206.05073504666839</v>
      </c>
      <c r="I1417" s="50">
        <f ca="1">PI()*(('Parameter Inputs'!K792/2)^2)</f>
        <v>51.512683761667105</v>
      </c>
      <c r="J1417" s="50">
        <f t="shared" ca="1" si="43"/>
        <v>51.512683761667105</v>
      </c>
      <c r="K1417" s="8">
        <f ca="1">'Parameter Inputs'!$F$188*'Parameter Inputs'!H1417*('Parameter Inputs'!G1417-'Parameter Inputs'!E1417)*86400</f>
        <v>299086762.9349401</v>
      </c>
      <c r="L1417" s="8">
        <f ca="1">'Parameter Inputs'!$H$188*'Parameter Inputs'!J1417*('Parameter Inputs'!G1417-'Parameter Inputs'!F1417)*86400</f>
        <v>140724372.79740763</v>
      </c>
      <c r="M1417" s="8">
        <f ca="1">'Parameter Inputs'!$J$188*'Parameter Inputs'!I1417*('Parameter Inputs'!G1417-'Parameter Inputs'!E1417)*86400</f>
        <v>304427597.98734981</v>
      </c>
      <c r="N1417" s="8">
        <f t="shared" ca="1" si="44"/>
        <v>744238733.71969748</v>
      </c>
      <c r="O1417" s="8">
        <v>1</v>
      </c>
      <c r="P1417" s="8">
        <f t="shared" ca="1" si="45"/>
        <v>744238733.71969748</v>
      </c>
      <c r="Q1417" s="8">
        <f ca="1">P1417*31</f>
        <v>23071400745.310623</v>
      </c>
      <c r="R1417" s="8">
        <f ca="1">N1417*'Parameter Inputs'!$F$411</f>
        <v>3721193668.5984874</v>
      </c>
      <c r="S1417" s="8"/>
      <c r="T1417" s="49">
        <f ca="1">'Parameter Inputs'!L906</f>
        <v>25283.801978745334</v>
      </c>
      <c r="U1417" s="8">
        <v>4200</v>
      </c>
      <c r="V1417" s="103">
        <v>17.037037037036999</v>
      </c>
      <c r="W1417" s="8">
        <v>35</v>
      </c>
      <c r="X1417" s="58">
        <f t="shared" ca="1" si="46"/>
        <v>1907522393.7297909</v>
      </c>
      <c r="Y1417" s="58">
        <f ca="1">X1417*31</f>
        <v>59133194205.62352</v>
      </c>
      <c r="Z1417" s="58">
        <f t="shared" ca="1" si="47"/>
        <v>82204594950.934143</v>
      </c>
      <c r="AA1417" s="47">
        <f t="shared" ca="1" si="48"/>
        <v>22834.627976280583</v>
      </c>
      <c r="AB1417" s="8"/>
      <c r="AC1417" s="58">
        <f ca="1">(X1417+R1417)/'Parameter Inputs'!$F$439</f>
        <v>6469788577.3888264</v>
      </c>
    </row>
    <row r="1418" spans="4:29">
      <c r="D1418" s="8" t="s">
        <v>67</v>
      </c>
      <c r="E1418" s="8">
        <f>'Parameter Inputs'!E80</f>
        <v>13</v>
      </c>
      <c r="F1418" s="8">
        <f>'Parameter Inputs'!F80</f>
        <v>18.465909090909093</v>
      </c>
      <c r="G1418" s="8">
        <v>35</v>
      </c>
      <c r="H1418" s="50">
        <f ca="1">2*PI()*('Parameter Inputs'!K792/2)*'Parameter Inputs'!L792</f>
        <v>206.05073504666839</v>
      </c>
      <c r="I1418" s="50">
        <f ca="1">PI()*(('Parameter Inputs'!K792/2)^2)</f>
        <v>51.512683761667105</v>
      </c>
      <c r="J1418" s="50">
        <f t="shared" ca="1" si="43"/>
        <v>51.512683761667105</v>
      </c>
      <c r="K1418" s="8">
        <f ca="1">'Parameter Inputs'!$F$188*'Parameter Inputs'!H1418*('Parameter Inputs'!G1418-'Parameter Inputs'!E1418)*86400</f>
        <v>274162866.02369511</v>
      </c>
      <c r="L1418" s="8">
        <f ca="1">'Parameter Inputs'!$H$188*'Parameter Inputs'!J1418*('Parameter Inputs'!G1418-'Parameter Inputs'!F1418)*86400</f>
        <v>103023494.33483376</v>
      </c>
      <c r="M1418" s="8">
        <f ca="1">'Parameter Inputs'!$J$188*'Parameter Inputs'!I1418*('Parameter Inputs'!G1418-'Parameter Inputs'!E1418)*86400</f>
        <v>279058631.48840398</v>
      </c>
      <c r="N1418" s="8">
        <f t="shared" ca="1" si="44"/>
        <v>656244991.84693289</v>
      </c>
      <c r="O1418" s="8">
        <v>1</v>
      </c>
      <c r="P1418" s="8">
        <f t="shared" ca="1" si="45"/>
        <v>656244991.84693289</v>
      </c>
      <c r="Q1418" s="8">
        <f ca="1">P1418*30</f>
        <v>19687349755.407986</v>
      </c>
      <c r="R1418" s="8">
        <f ca="1">N1418*'Parameter Inputs'!$F$411</f>
        <v>3281224959.2346644</v>
      </c>
      <c r="S1418" s="8"/>
      <c r="T1418" s="49">
        <f ca="1">'Parameter Inputs'!L906</f>
        <v>25283.801978745334</v>
      </c>
      <c r="U1418" s="8">
        <v>4200</v>
      </c>
      <c r="V1418" s="103">
        <v>18.148148148148099</v>
      </c>
      <c r="W1418" s="8">
        <v>35</v>
      </c>
      <c r="X1418" s="58">
        <f t="shared" ca="1" si="46"/>
        <v>1789531317.8289804</v>
      </c>
      <c r="Y1418" s="58">
        <f ca="1">X1418*30</f>
        <v>53685939534.869415</v>
      </c>
      <c r="Z1418" s="58">
        <f t="shared" ca="1" si="47"/>
        <v>73373289290.277405</v>
      </c>
      <c r="AA1418" s="47">
        <f t="shared" ca="1" si="48"/>
        <v>20381.485552474674</v>
      </c>
      <c r="AB1418" s="8"/>
      <c r="AC1418" s="58">
        <f ca="1">(X1418+R1418)/'Parameter Inputs'!$F$439</f>
        <v>5828455490.8777523</v>
      </c>
    </row>
    <row r="1419" spans="4:29">
      <c r="D1419" s="8" t="s">
        <v>68</v>
      </c>
      <c r="E1419" s="8">
        <f>'Parameter Inputs'!E82</f>
        <v>15</v>
      </c>
      <c r="F1419" s="8">
        <f>'Parameter Inputs'!F82</f>
        <v>21.306818181818183</v>
      </c>
      <c r="G1419" s="8">
        <v>35</v>
      </c>
      <c r="H1419" s="50">
        <f ca="1">2*PI()*('Parameter Inputs'!K792/2)*'Parameter Inputs'!L792</f>
        <v>206.05073504666839</v>
      </c>
      <c r="I1419" s="50">
        <f ca="1">PI()*(('Parameter Inputs'!K792/2)^2)</f>
        <v>51.512683761667105</v>
      </c>
      <c r="J1419" s="50">
        <f t="shared" ca="1" si="43"/>
        <v>51.512683761667105</v>
      </c>
      <c r="K1419" s="8">
        <f ca="1">'Parameter Inputs'!$F$188*'Parameter Inputs'!H1419*('Parameter Inputs'!G1419-'Parameter Inputs'!E1419)*86400</f>
        <v>249238969.11245006</v>
      </c>
      <c r="L1419" s="8">
        <f ca="1">'Parameter Inputs'!$H$188*'Parameter Inputs'!J1419*('Parameter Inputs'!G1419-'Parameter Inputs'!F1419)*86400</f>
        <v>85321863.005824521</v>
      </c>
      <c r="M1419" s="8">
        <f ca="1">'Parameter Inputs'!$J$188*'Parameter Inputs'!I1419*('Parameter Inputs'!G1419-'Parameter Inputs'!E1419)*86400</f>
        <v>253689664.98945814</v>
      </c>
      <c r="N1419" s="8">
        <f t="shared" ca="1" si="44"/>
        <v>588250497.10773277</v>
      </c>
      <c r="O1419" s="8">
        <v>1</v>
      </c>
      <c r="P1419" s="8">
        <f t="shared" ca="1" si="45"/>
        <v>588250497.10773277</v>
      </c>
      <c r="Q1419" s="8">
        <f ca="1">P1419*31</f>
        <v>18235765410.339714</v>
      </c>
      <c r="R1419" s="8">
        <f ca="1">N1419*'Parameter Inputs'!$F$411</f>
        <v>2941252485.5386639</v>
      </c>
      <c r="S1419" s="8"/>
      <c r="T1419" s="49">
        <f ca="1">'Parameter Inputs'!L906</f>
        <v>25283.801978745334</v>
      </c>
      <c r="U1419" s="8">
        <v>4200</v>
      </c>
      <c r="V1419" s="103">
        <v>18.6419753086419</v>
      </c>
      <c r="W1419" s="8">
        <v>35</v>
      </c>
      <c r="X1419" s="58">
        <f t="shared" ca="1" si="46"/>
        <v>1737090839.6508448</v>
      </c>
      <c r="Y1419" s="58">
        <f ca="1">X1419*31</f>
        <v>53849816029.176186</v>
      </c>
      <c r="Z1419" s="58">
        <f t="shared" ca="1" si="47"/>
        <v>72085581439.5159</v>
      </c>
      <c r="AA1419" s="47">
        <f t="shared" ca="1" si="48"/>
        <v>20023.788641105846</v>
      </c>
      <c r="AB1419" s="8"/>
      <c r="AC1419" s="58">
        <f ca="1">(X1419+R1419)/'Parameter Inputs'!$F$439</f>
        <v>5377406120.9074812</v>
      </c>
    </row>
    <row r="1420" spans="4:29">
      <c r="D1420" s="8" t="s">
        <v>69</v>
      </c>
      <c r="E1420" s="8">
        <f>'Parameter Inputs'!E84</f>
        <v>15</v>
      </c>
      <c r="F1420" s="8">
        <f>'Parameter Inputs'!F84</f>
        <v>21.306818181818183</v>
      </c>
      <c r="G1420" s="8">
        <v>35</v>
      </c>
      <c r="H1420" s="50">
        <f ca="1">2*PI()*('Parameter Inputs'!K792/2)*'Parameter Inputs'!L792</f>
        <v>206.05073504666839</v>
      </c>
      <c r="I1420" s="50">
        <f ca="1">PI()*(('Parameter Inputs'!K792/2)^2)</f>
        <v>51.512683761667105</v>
      </c>
      <c r="J1420" s="50">
        <f t="shared" ca="1" si="43"/>
        <v>51.512683761667105</v>
      </c>
      <c r="K1420" s="8">
        <f ca="1">'Parameter Inputs'!$F$188*'Parameter Inputs'!H1420*('Parameter Inputs'!G1420-'Parameter Inputs'!E1420)*86400</f>
        <v>249238969.11245006</v>
      </c>
      <c r="L1420" s="8">
        <f ca="1">'Parameter Inputs'!$H$188*'Parameter Inputs'!J1420*('Parameter Inputs'!G1420-'Parameter Inputs'!F1420)*86400</f>
        <v>85321863.005824521</v>
      </c>
      <c r="M1420" s="8">
        <f ca="1">'Parameter Inputs'!$J$188*'Parameter Inputs'!I1420*('Parameter Inputs'!G1420-'Parameter Inputs'!E1420)*86400</f>
        <v>253689664.98945814</v>
      </c>
      <c r="N1420" s="8">
        <f t="shared" ca="1" si="44"/>
        <v>588250497.10773277</v>
      </c>
      <c r="O1420" s="8">
        <v>1</v>
      </c>
      <c r="P1420" s="8">
        <f t="shared" ca="1" si="45"/>
        <v>588250497.10773277</v>
      </c>
      <c r="Q1420" s="8">
        <f ca="1">P1420*31</f>
        <v>18235765410.339714</v>
      </c>
      <c r="R1420" s="8">
        <f ca="1">N1420*'Parameter Inputs'!$F$411</f>
        <v>2941252485.5386639</v>
      </c>
      <c r="S1420" s="8"/>
      <c r="T1420" s="49">
        <f ca="1">'Parameter Inputs'!L906</f>
        <v>25283.801978745334</v>
      </c>
      <c r="U1420" s="8">
        <v>4200</v>
      </c>
      <c r="V1420" s="103">
        <v>17.7777777777777</v>
      </c>
      <c r="W1420" s="8">
        <v>35</v>
      </c>
      <c r="X1420" s="58">
        <f t="shared" ca="1" si="46"/>
        <v>1828861676.4625874</v>
      </c>
      <c r="Y1420" s="58">
        <f ca="1">X1420*31</f>
        <v>56694711970.34021</v>
      </c>
      <c r="Z1420" s="58">
        <f t="shared" ca="1" si="47"/>
        <v>74930477380.679932</v>
      </c>
      <c r="AA1420" s="47">
        <f t="shared" ca="1" si="48"/>
        <v>20814.038145850511</v>
      </c>
      <c r="AB1420" s="8"/>
      <c r="AC1420" s="58">
        <f ca="1">(X1420+R1420)/'Parameter Inputs'!$F$439</f>
        <v>5482889841.3807487</v>
      </c>
    </row>
    <row r="1421" spans="4:29">
      <c r="D1421" s="8" t="s">
        <v>70</v>
      </c>
      <c r="E1421" s="8">
        <f>'Parameter Inputs'!E86</f>
        <v>13</v>
      </c>
      <c r="F1421" s="8">
        <f>'Parameter Inputs'!F86</f>
        <v>15.911872705018361</v>
      </c>
      <c r="G1421" s="8">
        <v>35</v>
      </c>
      <c r="H1421" s="50">
        <f ca="1">2*PI()*('Parameter Inputs'!K792/2)*'Parameter Inputs'!L792</f>
        <v>206.05073504666839</v>
      </c>
      <c r="I1421" s="50">
        <f ca="1">PI()*(('Parameter Inputs'!K792/2)^2)</f>
        <v>51.512683761667105</v>
      </c>
      <c r="J1421" s="50">
        <f t="shared" ca="1" si="43"/>
        <v>51.512683761667105</v>
      </c>
      <c r="K1421" s="8">
        <f ca="1">'Parameter Inputs'!$F$188*'Parameter Inputs'!H1421*('Parameter Inputs'!G1421-'Parameter Inputs'!E1421)*86400</f>
        <v>274162866.02369511</v>
      </c>
      <c r="L1421" s="8">
        <f ca="1">'Parameter Inputs'!$H$188*'Parameter Inputs'!J1421*('Parameter Inputs'!G1421-'Parameter Inputs'!F1421)*86400</f>
        <v>118937629.2322111</v>
      </c>
      <c r="M1421" s="8">
        <f ca="1">'Parameter Inputs'!$J$188*'Parameter Inputs'!I1421*('Parameter Inputs'!G1421-'Parameter Inputs'!E1421)*86400</f>
        <v>279058631.48840398</v>
      </c>
      <c r="N1421" s="8">
        <f t="shared" ca="1" si="44"/>
        <v>672159126.74431014</v>
      </c>
      <c r="O1421" s="8">
        <v>1</v>
      </c>
      <c r="P1421" s="8">
        <f t="shared" ca="1" si="45"/>
        <v>672159126.74431014</v>
      </c>
      <c r="Q1421" s="8">
        <f ca="1">P1421*30</f>
        <v>20164773802.329304</v>
      </c>
      <c r="R1421" s="8">
        <f ca="1">N1421*'Parameter Inputs'!$F$411</f>
        <v>3360795633.7215509</v>
      </c>
      <c r="S1421" s="8"/>
      <c r="T1421" s="49">
        <f ca="1">'Parameter Inputs'!L906</f>
        <v>25283.801978745334</v>
      </c>
      <c r="U1421" s="8">
        <v>4200</v>
      </c>
      <c r="V1421" s="103">
        <v>15.432098765432</v>
      </c>
      <c r="W1421" s="8">
        <v>35</v>
      </c>
      <c r="X1421" s="58">
        <f t="shared" ca="1" si="46"/>
        <v>2077953947.8087471</v>
      </c>
      <c r="Y1421" s="58">
        <f ca="1">X1421*30</f>
        <v>62338618434.262413</v>
      </c>
      <c r="Z1421" s="58">
        <f t="shared" ca="1" si="47"/>
        <v>82503392236.591721</v>
      </c>
      <c r="AA1421" s="47">
        <f t="shared" ca="1" si="48"/>
        <v>22917.627288695974</v>
      </c>
      <c r="AB1421" s="8"/>
      <c r="AC1421" s="58">
        <f ca="1">(X1421+R1421)/'Parameter Inputs'!$F$439</f>
        <v>6251436300.6095381</v>
      </c>
    </row>
    <row r="1422" spans="4:29">
      <c r="D1422" s="8" t="s">
        <v>71</v>
      </c>
      <c r="E1422" s="8">
        <f>'Parameter Inputs'!E88</f>
        <v>10</v>
      </c>
      <c r="F1422" s="8">
        <f>'Parameter Inputs'!F88</f>
        <v>12.239902080783354</v>
      </c>
      <c r="G1422" s="8">
        <v>35</v>
      </c>
      <c r="H1422" s="50">
        <f ca="1">2*PI()*('Parameter Inputs'!K792/2)*'Parameter Inputs'!L792</f>
        <v>206.05073504666839</v>
      </c>
      <c r="I1422" s="50">
        <f ca="1">PI()*(('Parameter Inputs'!K792/2)^2)</f>
        <v>51.512683761667105</v>
      </c>
      <c r="J1422" s="50">
        <f t="shared" ca="1" si="43"/>
        <v>51.512683761667105</v>
      </c>
      <c r="K1422" s="8">
        <f ca="1">'Parameter Inputs'!$F$188*'Parameter Inputs'!H1422*('Parameter Inputs'!G1422-'Parameter Inputs'!E1422)*86400</f>
        <v>311548711.39056259</v>
      </c>
      <c r="L1422" s="8">
        <f ca="1">'Parameter Inputs'!$H$188*'Parameter Inputs'!J1422*('Parameter Inputs'!G1422-'Parameter Inputs'!F1422)*86400</f>
        <v>141817583.55709943</v>
      </c>
      <c r="M1422" s="8">
        <f ca="1">'Parameter Inputs'!$J$188*'Parameter Inputs'!I1422*('Parameter Inputs'!G1422-'Parameter Inputs'!E1422)*86400</f>
        <v>317112081.23682266</v>
      </c>
      <c r="N1422" s="8">
        <f t="shared" ca="1" si="44"/>
        <v>770478376.18448472</v>
      </c>
      <c r="O1422" s="8">
        <v>1</v>
      </c>
      <c r="P1422" s="8">
        <f t="shared" ca="1" si="45"/>
        <v>770478376.18448472</v>
      </c>
      <c r="Q1422" s="8">
        <f ca="1">P1422*31</f>
        <v>23884829661.719025</v>
      </c>
      <c r="R1422" s="8">
        <f ca="1">N1422*'Parameter Inputs'!$F$411</f>
        <v>3852391880.9224234</v>
      </c>
      <c r="S1422" s="8"/>
      <c r="T1422" s="49">
        <f ca="1">'Parameter Inputs'!L906</f>
        <v>25283.801978745334</v>
      </c>
      <c r="U1422" s="8">
        <v>4200</v>
      </c>
      <c r="V1422" s="103">
        <v>13.703703703703701</v>
      </c>
      <c r="W1422" s="8">
        <v>35</v>
      </c>
      <c r="X1422" s="58">
        <f t="shared" ca="1" si="46"/>
        <v>2261495621.4322214</v>
      </c>
      <c r="Y1422" s="58">
        <f ca="1">X1422*31</f>
        <v>70106364264.398865</v>
      </c>
      <c r="Z1422" s="58">
        <f t="shared" ca="1" si="47"/>
        <v>93991193926.117889</v>
      </c>
      <c r="AA1422" s="47">
        <f t="shared" ca="1" si="48"/>
        <v>26108.685866409174</v>
      </c>
      <c r="AB1422" s="8"/>
      <c r="AC1422" s="58">
        <f ca="1">(X1422+R1422)/'Parameter Inputs'!$F$439</f>
        <v>7027456899.2582121</v>
      </c>
    </row>
    <row r="1423" spans="4:29">
      <c r="D1423" s="8" t="s">
        <v>72</v>
      </c>
      <c r="E1423" s="8">
        <f>'Parameter Inputs'!E90</f>
        <v>8</v>
      </c>
      <c r="F1423" s="8">
        <f>'Parameter Inputs'!F90</f>
        <v>9.7919216646266829</v>
      </c>
      <c r="G1423" s="8">
        <v>35</v>
      </c>
      <c r="H1423" s="50">
        <f ca="1">2*PI()*('Parameter Inputs'!K792/2)*'Parameter Inputs'!L792</f>
        <v>206.05073504666839</v>
      </c>
      <c r="I1423" s="50">
        <f ca="1">PI()*(('Parameter Inputs'!K792/2)^2)</f>
        <v>51.512683761667105</v>
      </c>
      <c r="J1423" s="50">
        <f t="shared" ca="1" si="43"/>
        <v>51.512683761667105</v>
      </c>
      <c r="K1423" s="8">
        <f ca="1">'Parameter Inputs'!$F$188*'Parameter Inputs'!H1423*('Parameter Inputs'!G1423-'Parameter Inputs'!E1423)*86400</f>
        <v>336472608.30180758</v>
      </c>
      <c r="L1423" s="8">
        <f ca="1">'Parameter Inputs'!$H$188*'Parameter Inputs'!J1423*('Parameter Inputs'!G1423-'Parameter Inputs'!F1423)*86400</f>
        <v>157070886.44035831</v>
      </c>
      <c r="M1423" s="8">
        <f ca="1">'Parameter Inputs'!$J$188*'Parameter Inputs'!I1423*('Parameter Inputs'!G1423-'Parameter Inputs'!E1423)*86400</f>
        <v>342481047.7357685</v>
      </c>
      <c r="N1423" s="8">
        <f t="shared" ca="1" si="44"/>
        <v>836024542.47793436</v>
      </c>
      <c r="O1423" s="8">
        <v>1</v>
      </c>
      <c r="P1423" s="8">
        <f t="shared" ca="1" si="45"/>
        <v>836024542.47793436</v>
      </c>
      <c r="Q1423" s="8">
        <f ca="1">P1423*30</f>
        <v>25080736274.338032</v>
      </c>
      <c r="R1423" s="8">
        <f ca="1">N1423*'Parameter Inputs'!$F$411</f>
        <v>4180122712.3896718</v>
      </c>
      <c r="S1423" s="8"/>
      <c r="T1423" s="49">
        <f ca="1">'Parameter Inputs'!L906</f>
        <v>25283.801978745334</v>
      </c>
      <c r="U1423" s="8">
        <v>4200</v>
      </c>
      <c r="V1423" s="103">
        <v>12.469135802469101</v>
      </c>
      <c r="W1423" s="8">
        <v>35</v>
      </c>
      <c r="X1423" s="58">
        <f t="shared" ca="1" si="46"/>
        <v>2392596816.8775711</v>
      </c>
      <c r="Y1423" s="58">
        <f ca="1">X1423*30</f>
        <v>71777904506.327133</v>
      </c>
      <c r="Z1423" s="58">
        <f t="shared" ca="1" si="47"/>
        <v>96858640780.665161</v>
      </c>
      <c r="AA1423" s="47">
        <f t="shared" ca="1" si="48"/>
        <v>26905.199518771606</v>
      </c>
      <c r="AB1423" s="8"/>
      <c r="AC1423" s="58">
        <f ca="1">(X1423+R1423)/'Parameter Inputs'!$F$439</f>
        <v>7554850033.6405087</v>
      </c>
    </row>
    <row r="1424" spans="4:29">
      <c r="D1424" s="8" t="s">
        <v>73</v>
      </c>
      <c r="E1424" s="8">
        <f>'Parameter Inputs'!E92</f>
        <v>6</v>
      </c>
      <c r="F1424" s="8">
        <f>'Parameter Inputs'!F92</f>
        <v>6.9686411149825789</v>
      </c>
      <c r="G1424" s="8">
        <v>35</v>
      </c>
      <c r="H1424" s="50">
        <f ca="1">2*PI()*('Parameter Inputs'!K792/2)*'Parameter Inputs'!L792</f>
        <v>206.05073504666839</v>
      </c>
      <c r="I1424" s="50">
        <f ca="1">PI()*(('Parameter Inputs'!K792/2)^2)</f>
        <v>51.512683761667105</v>
      </c>
      <c r="J1424" s="50">
        <f t="shared" ca="1" si="43"/>
        <v>51.512683761667105</v>
      </c>
      <c r="K1424" s="8">
        <f ca="1">'Parameter Inputs'!$F$188*'Parameter Inputs'!H1424*('Parameter Inputs'!G1424-'Parameter Inputs'!E1424)*86400</f>
        <v>361396505.21305263</v>
      </c>
      <c r="L1424" s="8">
        <f ca="1">'Parameter Inputs'!$H$188*'Parameter Inputs'!J1424*('Parameter Inputs'!G1424-'Parameter Inputs'!F1424)*86400</f>
        <v>174662674.78307152</v>
      </c>
      <c r="M1424" s="8">
        <f ca="1">'Parameter Inputs'!$J$188*'Parameter Inputs'!I1424*('Parameter Inputs'!G1424-'Parameter Inputs'!E1424)*86400</f>
        <v>367850014.23471433</v>
      </c>
      <c r="N1424" s="8">
        <f t="shared" ca="1" si="44"/>
        <v>903909194.23083854</v>
      </c>
      <c r="O1424" s="8">
        <v>1</v>
      </c>
      <c r="P1424" s="8">
        <f t="shared" ca="1" si="45"/>
        <v>903909194.23083854</v>
      </c>
      <c r="Q1424" s="8">
        <f ca="1">P1424*31</f>
        <v>28021185021.155994</v>
      </c>
      <c r="R1424" s="8">
        <f ca="1">N1424*'Parameter Inputs'!$F$411</f>
        <v>4519545971.1541929</v>
      </c>
      <c r="S1424" s="8"/>
      <c r="T1424" s="49">
        <f ca="1">'Parameter Inputs'!L906</f>
        <v>25283.801978745334</v>
      </c>
      <c r="U1424" s="8">
        <v>4200</v>
      </c>
      <c r="V1424" s="8">
        <v>12.468999999999999</v>
      </c>
      <c r="W1424" s="8">
        <v>35</v>
      </c>
      <c r="X1424" s="58">
        <f t="shared" ca="1" si="46"/>
        <v>2392611238.0090666</v>
      </c>
      <c r="Y1424" s="58">
        <f ca="1">X1424*31</f>
        <v>74170948378.281067</v>
      </c>
      <c r="Z1424" s="58">
        <f t="shared" ca="1" si="47"/>
        <v>102192133399.43706</v>
      </c>
      <c r="AA1424" s="47">
        <f t="shared" ca="1" si="48"/>
        <v>28386.726431428826</v>
      </c>
      <c r="AB1424" s="8"/>
      <c r="AC1424" s="58">
        <f ca="1">(X1424+R1424)/'Parameter Inputs'!$F$439</f>
        <v>7945008286.3945513</v>
      </c>
    </row>
    <row r="1425" spans="4:29">
      <c r="D1425" s="8" t="s">
        <v>477</v>
      </c>
      <c r="E1425" s="8"/>
      <c r="F1425" s="8"/>
      <c r="G1425" s="8"/>
      <c r="H1425" s="50"/>
      <c r="I1425" s="50"/>
      <c r="J1425" s="50"/>
      <c r="K1425" s="8"/>
      <c r="L1425" s="8"/>
      <c r="M1425" s="8"/>
      <c r="N1425" s="8"/>
      <c r="O1425" s="8"/>
      <c r="P1425" s="8"/>
      <c r="Q1425" s="8"/>
      <c r="R1425" s="8"/>
      <c r="S1425" s="8"/>
      <c r="T1425" s="8"/>
      <c r="U1425" s="8"/>
      <c r="V1425" s="8"/>
      <c r="W1425" s="8"/>
      <c r="X1425" s="58"/>
      <c r="Y1425" s="58"/>
      <c r="Z1425" s="58"/>
      <c r="AA1425" s="49">
        <f ca="1">SUM(AA1413:AA1424)</f>
        <v>297063.14968316833</v>
      </c>
      <c r="AB1425" s="8"/>
      <c r="AC1425" s="58"/>
    </row>
    <row r="1426" spans="4:29">
      <c r="D1426" s="8" t="s">
        <v>1148</v>
      </c>
      <c r="E1426" s="8">
        <f ca="1">'Parameter Inputs'!F307*'Parameter Inputs'!G792</f>
        <v>2.2755421780870795</v>
      </c>
      <c r="AA1426" s="5">
        <v>15141080.491547132</v>
      </c>
      <c r="AC1426" s="5">
        <f ca="1">AA1425/('Parameter Inputs'!L907*365)</f>
        <v>32.189448550963988</v>
      </c>
    </row>
    <row r="1427" spans="4:29">
      <c r="D1427" s="8" t="s">
        <v>1147</v>
      </c>
      <c r="E1427" s="49">
        <f ca="1">E1426*(8760)</f>
        <v>19933.749480042818</v>
      </c>
    </row>
    <row r="1428" spans="4:29">
      <c r="D1428" s="8" t="s">
        <v>1368</v>
      </c>
      <c r="E1428" s="49">
        <f ca="1">'Parameter Inputs'!F470*'Parameter Inputs'!L1047*365</f>
        <v>0</v>
      </c>
    </row>
    <row r="1429" spans="4:29">
      <c r="D1429" s="8" t="s">
        <v>1369</v>
      </c>
      <c r="E1429" s="49">
        <f ca="1">E1427+E1428</f>
        <v>19933.749480042818</v>
      </c>
    </row>
    <row r="1430" spans="4:29">
      <c r="E1430" s="91"/>
    </row>
    <row r="1431" spans="4:29">
      <c r="D1431" s="42" t="s">
        <v>1258</v>
      </c>
      <c r="E1431" s="42" t="s">
        <v>1263</v>
      </c>
      <c r="F1431" s="42" t="s">
        <v>1259</v>
      </c>
      <c r="G1431" s="42" t="s">
        <v>1260</v>
      </c>
      <c r="H1431" s="42" t="s">
        <v>1261</v>
      </c>
      <c r="I1431" s="42" t="s">
        <v>1262</v>
      </c>
      <c r="J1431" s="42" t="s">
        <v>1264</v>
      </c>
      <c r="K1431" s="42" t="s">
        <v>1265</v>
      </c>
      <c r="L1431" s="42" t="s">
        <v>1321</v>
      </c>
      <c r="M1431" s="42" t="s">
        <v>1266</v>
      </c>
      <c r="N1431" s="42" t="s">
        <v>1267</v>
      </c>
      <c r="O1431" s="42" t="s">
        <v>1268</v>
      </c>
      <c r="P1431" s="42" t="s">
        <v>1269</v>
      </c>
      <c r="Q1431" s="42" t="s">
        <v>1270</v>
      </c>
      <c r="R1431" s="42" t="s">
        <v>1271</v>
      </c>
      <c r="S1431" s="42" t="s">
        <v>1272</v>
      </c>
      <c r="T1431" s="42"/>
    </row>
    <row r="1432" spans="4:29">
      <c r="D1432" s="8" t="s">
        <v>62</v>
      </c>
      <c r="E1432" s="103">
        <v>10.9876543209876</v>
      </c>
      <c r="F1432" s="8">
        <v>1.5</v>
      </c>
      <c r="G1432" s="8">
        <v>4.2</v>
      </c>
      <c r="H1432" s="167">
        <v>0.16</v>
      </c>
      <c r="I1432" s="8">
        <v>110</v>
      </c>
      <c r="J1432" s="8">
        <v>2785</v>
      </c>
      <c r="K1432" s="8">
        <v>0</v>
      </c>
      <c r="L1432" s="159">
        <f t="shared" ref="L1432:L1443" si="49">((F1432+(G1432/H1432)-G1432)*(I1432-E1432))/(J1432-(G1432*(I1432-K1432)))</f>
        <v>1.0037626951100913</v>
      </c>
      <c r="M1432" s="49">
        <f ca="1">'Parameter Inputs'!L906</f>
        <v>25283.801978745334</v>
      </c>
      <c r="N1432" s="49">
        <f t="shared" ref="N1432:N1443" ca="1" si="50">L1432*M1432</f>
        <v>25378.937216815277</v>
      </c>
      <c r="O1432" s="49">
        <v>2785</v>
      </c>
      <c r="P1432" s="49">
        <f t="shared" ref="P1432:P1443" ca="1" si="51">O1432*N1432</f>
        <v>70680340.148830548</v>
      </c>
      <c r="Q1432" s="49">
        <f t="shared" ref="Q1432:Q1443" ca="1" si="52">P1432/3600</f>
        <v>19633.427819119595</v>
      </c>
      <c r="R1432" s="49">
        <f ca="1">Q1432*31</f>
        <v>608636.2623927074</v>
      </c>
      <c r="S1432" s="49">
        <f t="shared" ref="S1432:S1443" ca="1" si="53">Q1413/3600000</f>
        <v>7783.6625058766649</v>
      </c>
      <c r="T1432" s="47">
        <f t="shared" ref="T1432:T1443" ca="1" si="54">R1432+S1432</f>
        <v>616419.92489858402</v>
      </c>
    </row>
    <row r="1433" spans="4:29">
      <c r="D1433" s="8" t="s">
        <v>63</v>
      </c>
      <c r="E1433" s="103">
        <v>11.8518518518518</v>
      </c>
      <c r="F1433" s="8">
        <v>1.5</v>
      </c>
      <c r="G1433" s="8">
        <v>4.2</v>
      </c>
      <c r="H1433" s="167">
        <v>0.16</v>
      </c>
      <c r="I1433" s="8">
        <v>110</v>
      </c>
      <c r="J1433" s="8">
        <v>2785</v>
      </c>
      <c r="K1433" s="8">
        <v>0</v>
      </c>
      <c r="L1433" s="49">
        <f t="shared" si="49"/>
        <v>0.99500167408045204</v>
      </c>
      <c r="M1433" s="49">
        <f ca="1">'Parameter Inputs'!L906</f>
        <v>25283.801978745334</v>
      </c>
      <c r="N1433" s="49">
        <f t="shared" ca="1" si="50"/>
        <v>25157.425295970254</v>
      </c>
      <c r="O1433" s="49">
        <v>2785</v>
      </c>
      <c r="P1433" s="49">
        <f t="shared" ca="1" si="51"/>
        <v>70063429.449277163</v>
      </c>
      <c r="Q1433" s="49">
        <f t="shared" ca="1" si="52"/>
        <v>19462.063735910324</v>
      </c>
      <c r="R1433" s="49">
        <f ca="1">Q1433*28</f>
        <v>544937.78460548911</v>
      </c>
      <c r="S1433" s="49">
        <f t="shared" ca="1" si="53"/>
        <v>7282.2752317854593</v>
      </c>
      <c r="T1433" s="47">
        <f t="shared" ca="1" si="54"/>
        <v>552220.0598372746</v>
      </c>
    </row>
    <row r="1434" spans="4:29">
      <c r="D1434" s="8" t="s">
        <v>64</v>
      </c>
      <c r="E1434" s="103">
        <v>12.592592592592499</v>
      </c>
      <c r="F1434" s="8">
        <v>1.5</v>
      </c>
      <c r="G1434" s="8">
        <v>4.2</v>
      </c>
      <c r="H1434" s="167">
        <v>0.16</v>
      </c>
      <c r="I1434" s="8">
        <v>110</v>
      </c>
      <c r="J1434" s="8">
        <v>2785</v>
      </c>
      <c r="K1434" s="8">
        <v>0</v>
      </c>
      <c r="L1434" s="49">
        <f t="shared" si="49"/>
        <v>0.98749222748361887</v>
      </c>
      <c r="M1434" s="49">
        <f ca="1">'Parameter Inputs'!L906</f>
        <v>25283.801978745334</v>
      </c>
      <c r="N1434" s="49">
        <f t="shared" ca="1" si="50"/>
        <v>24967.557935245961</v>
      </c>
      <c r="O1434" s="49">
        <v>2785</v>
      </c>
      <c r="P1434" s="49">
        <f t="shared" ca="1" si="51"/>
        <v>69534648.849659994</v>
      </c>
      <c r="Q1434" s="49">
        <f t="shared" ca="1" si="52"/>
        <v>19315.180236016666</v>
      </c>
      <c r="R1434" s="49">
        <f ca="1">Q1434*31</f>
        <v>598770.58731651667</v>
      </c>
      <c r="S1434" s="49">
        <f t="shared" ca="1" si="53"/>
        <v>7517.1148223734663</v>
      </c>
      <c r="T1434" s="47">
        <f t="shared" ca="1" si="54"/>
        <v>606287.70213889016</v>
      </c>
    </row>
    <row r="1435" spans="4:29">
      <c r="D1435" s="8" t="s">
        <v>65</v>
      </c>
      <c r="E1435" s="103">
        <v>15.1851851851851</v>
      </c>
      <c r="F1435" s="8">
        <v>1.5</v>
      </c>
      <c r="G1435" s="8">
        <v>4.2</v>
      </c>
      <c r="H1435" s="167">
        <v>0.16</v>
      </c>
      <c r="I1435" s="8">
        <v>110</v>
      </c>
      <c r="J1435" s="8">
        <v>2785</v>
      </c>
      <c r="K1435" s="8">
        <v>0</v>
      </c>
      <c r="L1435" s="49">
        <f t="shared" si="49"/>
        <v>0.96120916439470128</v>
      </c>
      <c r="M1435" s="49">
        <f ca="1">'Parameter Inputs'!L906</f>
        <v>25283.801978745334</v>
      </c>
      <c r="N1435" s="49">
        <f t="shared" ca="1" si="50"/>
        <v>24303.022172710898</v>
      </c>
      <c r="O1435" s="49">
        <v>2785</v>
      </c>
      <c r="P1435" s="49">
        <f t="shared" ca="1" si="51"/>
        <v>67683916.750999853</v>
      </c>
      <c r="Q1435" s="49">
        <f t="shared" ca="1" si="52"/>
        <v>18801.087986388848</v>
      </c>
      <c r="R1435" s="49">
        <f ca="1">Q1435*30</f>
        <v>564032.63959166547</v>
      </c>
      <c r="S1435" s="49">
        <f t="shared" ca="1" si="53"/>
        <v>7006.467797509682</v>
      </c>
      <c r="T1435" s="47">
        <f t="shared" ca="1" si="54"/>
        <v>571039.1073891751</v>
      </c>
    </row>
    <row r="1436" spans="4:29">
      <c r="D1436" s="8" t="s">
        <v>66</v>
      </c>
      <c r="E1436" s="103">
        <v>17.037037037036999</v>
      </c>
      <c r="F1436" s="8">
        <v>1.5</v>
      </c>
      <c r="G1436" s="8">
        <v>4.2</v>
      </c>
      <c r="H1436" s="167">
        <v>0.16</v>
      </c>
      <c r="I1436" s="8">
        <v>110</v>
      </c>
      <c r="J1436" s="8">
        <v>2785</v>
      </c>
      <c r="K1436" s="8">
        <v>0</v>
      </c>
      <c r="L1436" s="49">
        <f t="shared" si="49"/>
        <v>0.94243554790261674</v>
      </c>
      <c r="M1436" s="49">
        <f ca="1">'Parameter Inputs'!L906</f>
        <v>25283.801978745334</v>
      </c>
      <c r="N1436" s="49">
        <f t="shared" ca="1" si="50"/>
        <v>23828.353770900125</v>
      </c>
      <c r="O1436" s="49">
        <v>2785</v>
      </c>
      <c r="P1436" s="49">
        <f t="shared" ca="1" si="51"/>
        <v>66361965.25195685</v>
      </c>
      <c r="Q1436" s="49">
        <f t="shared" ca="1" si="52"/>
        <v>18433.87923665468</v>
      </c>
      <c r="R1436" s="49">
        <f ca="1">Q1436*31</f>
        <v>571450.25633629505</v>
      </c>
      <c r="S1436" s="49">
        <f t="shared" ca="1" si="53"/>
        <v>6408.7224292529509</v>
      </c>
      <c r="T1436" s="47">
        <f t="shared" ca="1" si="54"/>
        <v>577858.97876554797</v>
      </c>
    </row>
    <row r="1437" spans="4:29">
      <c r="D1437" s="8" t="s">
        <v>67</v>
      </c>
      <c r="E1437" s="103">
        <v>18.148148148148099</v>
      </c>
      <c r="F1437" s="8">
        <v>1.5</v>
      </c>
      <c r="G1437" s="8">
        <v>4.2</v>
      </c>
      <c r="H1437" s="167">
        <v>0.16</v>
      </c>
      <c r="I1437" s="8">
        <v>110</v>
      </c>
      <c r="J1437" s="8">
        <v>2785</v>
      </c>
      <c r="K1437" s="8">
        <v>0</v>
      </c>
      <c r="L1437" s="49">
        <f t="shared" si="49"/>
        <v>0.93117137800736638</v>
      </c>
      <c r="M1437" s="49">
        <f ca="1">'Parameter Inputs'!L906</f>
        <v>25283.801978745334</v>
      </c>
      <c r="N1437" s="49">
        <f t="shared" ca="1" si="50"/>
        <v>23543.552729813669</v>
      </c>
      <c r="O1437" s="49">
        <v>2785</v>
      </c>
      <c r="P1437" s="49">
        <f t="shared" ca="1" si="51"/>
        <v>65568794.352531068</v>
      </c>
      <c r="Q1437" s="49">
        <f t="shared" ca="1" si="52"/>
        <v>18213.553986814186</v>
      </c>
      <c r="R1437" s="49">
        <f ca="1">Q1437*30</f>
        <v>546406.61960442562</v>
      </c>
      <c r="S1437" s="49">
        <f t="shared" ca="1" si="53"/>
        <v>5468.7082653911075</v>
      </c>
      <c r="T1437" s="47">
        <f t="shared" ca="1" si="54"/>
        <v>551875.32786981668</v>
      </c>
    </row>
    <row r="1438" spans="4:29">
      <c r="D1438" s="8" t="s">
        <v>68</v>
      </c>
      <c r="E1438" s="103">
        <v>18.6419753086419</v>
      </c>
      <c r="F1438" s="8">
        <v>1.5</v>
      </c>
      <c r="G1438" s="8">
        <v>4.2</v>
      </c>
      <c r="H1438" s="167">
        <v>0.16</v>
      </c>
      <c r="I1438" s="8">
        <v>110</v>
      </c>
      <c r="J1438" s="8">
        <v>2785</v>
      </c>
      <c r="K1438" s="8">
        <v>0</v>
      </c>
      <c r="L1438" s="49">
        <f t="shared" si="49"/>
        <v>0.9261650802761443</v>
      </c>
      <c r="M1438" s="49">
        <f ca="1">'Parameter Inputs'!L906</f>
        <v>25283.801978745334</v>
      </c>
      <c r="N1438" s="49">
        <f t="shared" ca="1" si="50"/>
        <v>23416.974489330809</v>
      </c>
      <c r="O1438" s="49">
        <v>2785</v>
      </c>
      <c r="P1438" s="49">
        <f t="shared" ca="1" si="51"/>
        <v>65216273.952786304</v>
      </c>
      <c r="Q1438" s="49">
        <f t="shared" ca="1" si="52"/>
        <v>18115.631653551751</v>
      </c>
      <c r="R1438" s="49">
        <f ca="1">Q1438*31</f>
        <v>561584.58126010431</v>
      </c>
      <c r="S1438" s="49">
        <f t="shared" ca="1" si="53"/>
        <v>5065.4903917610318</v>
      </c>
      <c r="T1438" s="47">
        <f t="shared" ca="1" si="54"/>
        <v>566650.07165186538</v>
      </c>
    </row>
    <row r="1439" spans="4:29">
      <c r="D1439" s="8" t="s">
        <v>69</v>
      </c>
      <c r="E1439" s="103">
        <v>17.7777777777777</v>
      </c>
      <c r="F1439" s="8">
        <v>1.5</v>
      </c>
      <c r="G1439" s="8">
        <v>4.2</v>
      </c>
      <c r="H1439" s="167">
        <v>0.16</v>
      </c>
      <c r="I1439" s="8">
        <v>110</v>
      </c>
      <c r="J1439" s="8">
        <v>2785</v>
      </c>
      <c r="K1439" s="8">
        <v>0</v>
      </c>
      <c r="L1439" s="49">
        <f t="shared" si="49"/>
        <v>0.93492610130578357</v>
      </c>
      <c r="M1439" s="49">
        <f ca="1">'Parameter Inputs'!L906</f>
        <v>25283.801978745334</v>
      </c>
      <c r="N1439" s="49">
        <f t="shared" ca="1" si="50"/>
        <v>23638.486410175832</v>
      </c>
      <c r="O1439" s="49">
        <v>2785</v>
      </c>
      <c r="P1439" s="49">
        <f t="shared" ca="1" si="51"/>
        <v>65833184.652339689</v>
      </c>
      <c r="Q1439" s="49">
        <f t="shared" ca="1" si="52"/>
        <v>18286.995736761026</v>
      </c>
      <c r="R1439" s="49">
        <f ca="1">Q1439*31</f>
        <v>566896.86783959181</v>
      </c>
      <c r="S1439" s="49">
        <f t="shared" ca="1" si="53"/>
        <v>5065.4903917610318</v>
      </c>
      <c r="T1439" s="47">
        <f t="shared" ca="1" si="54"/>
        <v>571962.35823135288</v>
      </c>
    </row>
    <row r="1440" spans="4:29">
      <c r="D1440" s="8" t="s">
        <v>70</v>
      </c>
      <c r="E1440" s="103">
        <v>15.432098765432</v>
      </c>
      <c r="F1440" s="8">
        <v>1.5</v>
      </c>
      <c r="G1440" s="8">
        <v>4.2</v>
      </c>
      <c r="H1440" s="167">
        <v>0.16</v>
      </c>
      <c r="I1440" s="8">
        <v>110</v>
      </c>
      <c r="J1440" s="8">
        <v>2785</v>
      </c>
      <c r="K1440" s="8">
        <v>0</v>
      </c>
      <c r="L1440" s="49">
        <f t="shared" si="49"/>
        <v>0.95870601552909029</v>
      </c>
      <c r="M1440" s="49">
        <f ca="1">'Parameter Inputs'!L906</f>
        <v>25283.801978745334</v>
      </c>
      <c r="N1440" s="49">
        <f t="shared" ca="1" si="50"/>
        <v>24239.73305246947</v>
      </c>
      <c r="O1440" s="49">
        <v>2785</v>
      </c>
      <c r="P1440" s="49">
        <f t="shared" ca="1" si="51"/>
        <v>67507656.551127478</v>
      </c>
      <c r="Q1440" s="49">
        <f t="shared" ca="1" si="52"/>
        <v>18752.126819757632</v>
      </c>
      <c r="R1440" s="49">
        <f ca="1">Q1440*30</f>
        <v>562563.80459272896</v>
      </c>
      <c r="S1440" s="49">
        <f t="shared" ca="1" si="53"/>
        <v>5601.3260562025844</v>
      </c>
      <c r="T1440" s="47">
        <f t="shared" ca="1" si="54"/>
        <v>568165.1306489316</v>
      </c>
    </row>
    <row r="1441" spans="4:20">
      <c r="D1441" s="8" t="s">
        <v>71</v>
      </c>
      <c r="E1441" s="103">
        <v>13.703703703703701</v>
      </c>
      <c r="F1441" s="8">
        <v>1.5</v>
      </c>
      <c r="G1441" s="8">
        <v>4.2</v>
      </c>
      <c r="H1441" s="167">
        <v>0.16</v>
      </c>
      <c r="I1441" s="8">
        <v>110</v>
      </c>
      <c r="J1441" s="8">
        <v>2785</v>
      </c>
      <c r="K1441" s="8">
        <v>0</v>
      </c>
      <c r="L1441" s="49">
        <f t="shared" si="49"/>
        <v>0.9762280575883675</v>
      </c>
      <c r="M1441" s="49">
        <f ca="1">'Parameter Inputs'!L906</f>
        <v>25283.801978745334</v>
      </c>
      <c r="N1441" s="49">
        <f t="shared" ca="1" si="50"/>
        <v>24682.75689415948</v>
      </c>
      <c r="O1441" s="49">
        <v>2785</v>
      </c>
      <c r="P1441" s="49">
        <f t="shared" ca="1" si="51"/>
        <v>68741477.950234145</v>
      </c>
      <c r="Q1441" s="49">
        <f t="shared" ca="1" si="52"/>
        <v>19094.854986176153</v>
      </c>
      <c r="R1441" s="49">
        <f ca="1">Q1441*31</f>
        <v>591940.50457146077</v>
      </c>
      <c r="S1441" s="49">
        <f t="shared" ca="1" si="53"/>
        <v>6634.6749060330621</v>
      </c>
      <c r="T1441" s="47">
        <f t="shared" ca="1" si="54"/>
        <v>598575.17947749386</v>
      </c>
    </row>
    <row r="1442" spans="4:20">
      <c r="D1442" s="8" t="s">
        <v>72</v>
      </c>
      <c r="E1442" s="103">
        <v>12.469135802469101</v>
      </c>
      <c r="F1442" s="8">
        <v>1.5</v>
      </c>
      <c r="G1442" s="8">
        <v>4.2</v>
      </c>
      <c r="H1442" s="167">
        <v>0.16</v>
      </c>
      <c r="I1442" s="8">
        <v>110</v>
      </c>
      <c r="J1442" s="8">
        <v>2785</v>
      </c>
      <c r="K1442" s="8">
        <v>0</v>
      </c>
      <c r="L1442" s="49">
        <f t="shared" si="49"/>
        <v>0.98874380191642386</v>
      </c>
      <c r="M1442" s="49">
        <f ca="1">'Parameter Inputs'!L906</f>
        <v>25283.801978745334</v>
      </c>
      <c r="N1442" s="49">
        <f t="shared" ca="1" si="50"/>
        <v>24999.202495366662</v>
      </c>
      <c r="O1442" s="49">
        <v>2785</v>
      </c>
      <c r="P1442" s="49">
        <f t="shared" ca="1" si="51"/>
        <v>69622778.949596152</v>
      </c>
      <c r="Q1442" s="49">
        <f t="shared" ca="1" si="52"/>
        <v>19339.660819332265</v>
      </c>
      <c r="R1442" s="49">
        <f ca="1">Q1442*30</f>
        <v>580189.82457996788</v>
      </c>
      <c r="S1442" s="49">
        <f t="shared" ca="1" si="53"/>
        <v>6966.8711873161201</v>
      </c>
      <c r="T1442" s="47">
        <f t="shared" ca="1" si="54"/>
        <v>587156.69576728402</v>
      </c>
    </row>
    <row r="1443" spans="4:20">
      <c r="D1443" s="8" t="s">
        <v>73</v>
      </c>
      <c r="E1443" s="8">
        <v>12.468999999999999</v>
      </c>
      <c r="F1443" s="8">
        <v>1.5</v>
      </c>
      <c r="G1443" s="8">
        <v>4.2</v>
      </c>
      <c r="H1443" s="167">
        <v>0.16</v>
      </c>
      <c r="I1443" s="8">
        <v>110</v>
      </c>
      <c r="J1443" s="8">
        <v>2785</v>
      </c>
      <c r="K1443" s="8">
        <v>0</v>
      </c>
      <c r="L1443" s="49">
        <f t="shared" si="49"/>
        <v>0.98874517864829969</v>
      </c>
      <c r="M1443" s="49">
        <f ca="1">'Parameter Inputs'!L906</f>
        <v>25283.801978745334</v>
      </c>
      <c r="N1443" s="49">
        <f t="shared" ca="1" si="50"/>
        <v>24999.23730438279</v>
      </c>
      <c r="O1443" s="49">
        <v>2785</v>
      </c>
      <c r="P1443" s="49">
        <f t="shared" ca="1" si="51"/>
        <v>69622875.892706066</v>
      </c>
      <c r="Q1443" s="49">
        <f t="shared" ca="1" si="52"/>
        <v>19339.687747973909</v>
      </c>
      <c r="R1443" s="49">
        <f ca="1">Q1443*31</f>
        <v>599530.32018719113</v>
      </c>
      <c r="S1443" s="49">
        <f t="shared" ca="1" si="53"/>
        <v>7783.6625058766649</v>
      </c>
      <c r="T1443" s="47">
        <f t="shared" ca="1" si="54"/>
        <v>607313.98269306775</v>
      </c>
    </row>
    <row r="1444" spans="4:20">
      <c r="D1444" s="8"/>
      <c r="E1444" s="8"/>
      <c r="F1444" s="8"/>
      <c r="G1444" s="8"/>
      <c r="H1444" s="8"/>
      <c r="I1444" s="8"/>
      <c r="J1444" s="8"/>
      <c r="K1444" s="8"/>
      <c r="L1444" s="8"/>
      <c r="M1444" s="8"/>
      <c r="N1444" s="8"/>
      <c r="O1444" s="8"/>
      <c r="P1444" s="8"/>
      <c r="Q1444" s="8"/>
      <c r="R1444" s="49">
        <f ca="1">SUM(R1432:R1443)</f>
        <v>6896940.0528781442</v>
      </c>
      <c r="S1444" s="49">
        <f ca="1">SUM(S1432:S1443)</f>
        <v>78584.466491139829</v>
      </c>
      <c r="T1444" s="49">
        <f ca="1">SUM(T1432:T1443)</f>
        <v>6975524.5193692846</v>
      </c>
    </row>
    <row r="1446" spans="4:20">
      <c r="D1446" s="170"/>
      <c r="F1446" s="171"/>
      <c r="I1446" s="134"/>
      <c r="J1446" s="134"/>
      <c r="K1446" s="134"/>
    </row>
    <row r="1447" spans="4:20">
      <c r="D1447" s="8" t="s">
        <v>1208</v>
      </c>
      <c r="E1447" s="167">
        <v>0.42</v>
      </c>
      <c r="F1447" s="8"/>
    </row>
    <row r="1448" spans="4:20">
      <c r="D1448" s="8" t="s">
        <v>1209</v>
      </c>
      <c r="E1448" s="167">
        <v>0.39</v>
      </c>
      <c r="F1448" s="8"/>
    </row>
    <row r="1449" spans="4:20">
      <c r="D1449" s="8" t="s">
        <v>1210</v>
      </c>
      <c r="E1449" s="167">
        <v>0.33</v>
      </c>
      <c r="F1449" s="8">
        <f>F727*279</f>
        <v>863.14229999999998</v>
      </c>
    </row>
    <row r="1450" spans="4:20">
      <c r="D1450" s="8" t="s">
        <v>1211</v>
      </c>
      <c r="E1450" s="167">
        <v>0.08</v>
      </c>
      <c r="F1450" s="8">
        <f>F1449*1000</f>
        <v>863142.29999999993</v>
      </c>
    </row>
    <row r="1451" spans="4:20">
      <c r="D1451" s="8" t="s">
        <v>1212</v>
      </c>
      <c r="E1451" s="167">
        <v>0.41</v>
      </c>
      <c r="F1451" s="8">
        <f>F1450/15000</f>
        <v>57.542819999999992</v>
      </c>
    </row>
    <row r="1452" spans="4:20">
      <c r="D1452" s="8" t="s">
        <v>1213</v>
      </c>
      <c r="E1452" s="8"/>
      <c r="F1452" s="8"/>
    </row>
    <row r="1453" spans="4:20">
      <c r="D1453" s="8" t="s">
        <v>1214</v>
      </c>
      <c r="E1453" s="8">
        <f>517301</f>
        <v>517301</v>
      </c>
      <c r="F1453" s="8"/>
    </row>
    <row r="1454" spans="4:20">
      <c r="D1454" s="8"/>
      <c r="E1454" s="8"/>
      <c r="F1454" s="8"/>
    </row>
    <row r="1455" spans="4:20">
      <c r="D1455" s="8" t="s">
        <v>1205</v>
      </c>
      <c r="E1455" s="8">
        <f>129500</f>
        <v>129500</v>
      </c>
      <c r="F1455" s="284">
        <f>E1455/E1458</f>
        <v>0.15805351954485738</v>
      </c>
    </row>
    <row r="1456" spans="4:20">
      <c r="D1456" s="8" t="s">
        <v>1217</v>
      </c>
      <c r="E1456" s="49">
        <f>E1461*E1460</f>
        <v>338638.71614398586</v>
      </c>
      <c r="F1456" s="284">
        <f>E1456/E1458</f>
        <v>0.41330533544948939</v>
      </c>
    </row>
    <row r="1457" spans="4:10">
      <c r="D1457" s="8" t="s">
        <v>1218</v>
      </c>
      <c r="E1457" s="8">
        <v>351204</v>
      </c>
      <c r="F1457" s="284">
        <f>E1457/E1458</f>
        <v>0.4286411450056532</v>
      </c>
    </row>
    <row r="1458" spans="4:10">
      <c r="D1458" s="8" t="s">
        <v>1207</v>
      </c>
      <c r="E1458" s="8">
        <f>SUM(E1455:E1457)</f>
        <v>819342.71614398586</v>
      </c>
      <c r="F1458" s="8"/>
    </row>
    <row r="1459" spans="4:10">
      <c r="D1459" s="8"/>
      <c r="E1459" s="8"/>
      <c r="F1459" s="8"/>
    </row>
    <row r="1460" spans="4:10">
      <c r="D1460" s="8" t="s">
        <v>1215</v>
      </c>
      <c r="E1460" s="284">
        <f>E1455/E1453</f>
        <v>0.25033781106164499</v>
      </c>
      <c r="F1460" s="8"/>
    </row>
    <row r="1461" spans="4:10">
      <c r="D1461" s="8" t="s">
        <v>1216</v>
      </c>
      <c r="E1461" s="8">
        <v>1352727</v>
      </c>
      <c r="F1461" s="8"/>
    </row>
    <row r="1462" spans="4:10">
      <c r="D1462" s="8"/>
      <c r="E1462" s="8"/>
      <c r="F1462" s="8"/>
    </row>
    <row r="1463" spans="4:10">
      <c r="D1463" s="8" t="s">
        <v>1206</v>
      </c>
      <c r="E1463" s="8">
        <f>597000</f>
        <v>597000</v>
      </c>
      <c r="F1463" s="8"/>
    </row>
    <row r="1464" spans="4:10">
      <c r="D1464" s="8" t="s">
        <v>1207</v>
      </c>
      <c r="E1464" s="8">
        <f>E1455+E1463</f>
        <v>726500</v>
      </c>
      <c r="F1464" s="8"/>
    </row>
    <row r="1465" spans="4:10">
      <c r="D1465" s="8"/>
      <c r="E1465" s="8"/>
      <c r="F1465" s="8"/>
    </row>
    <row r="1466" spans="4:10">
      <c r="D1466" s="8"/>
      <c r="E1466" s="8"/>
      <c r="F1466" s="8"/>
    </row>
    <row r="1467" spans="4:10">
      <c r="D1467" s="8" t="s">
        <v>1253</v>
      </c>
      <c r="E1467" s="8">
        <v>58387</v>
      </c>
      <c r="F1467" s="8"/>
    </row>
    <row r="1468" spans="4:10">
      <c r="D1468" s="8" t="s">
        <v>1254</v>
      </c>
      <c r="E1468" s="8">
        <v>57643</v>
      </c>
      <c r="F1468" s="285">
        <f>E1468/E1467</f>
        <v>0.98725743744326644</v>
      </c>
    </row>
    <row r="1469" spans="4:10">
      <c r="D1469" s="8" t="s">
        <v>1255</v>
      </c>
      <c r="E1469" s="8">
        <v>650</v>
      </c>
      <c r="F1469" s="285">
        <f>E1469/E1467</f>
        <v>1.1132615136931166E-2</v>
      </c>
      <c r="J1469" s="134"/>
    </row>
    <row r="1470" spans="4:10">
      <c r="D1470" s="8" t="s">
        <v>1256</v>
      </c>
      <c r="E1470" s="8">
        <v>94</v>
      </c>
      <c r="F1470" s="285">
        <f>E1470/E1467</f>
        <v>1.6099474198023533E-3</v>
      </c>
      <c r="J1470" s="134"/>
    </row>
    <row r="1472" spans="4:10">
      <c r="J1472" s="134"/>
    </row>
    <row r="1475" spans="4:5">
      <c r="D1475" s="8" t="s">
        <v>1303</v>
      </c>
      <c r="E1475" s="8"/>
    </row>
    <row r="1476" spans="4:5">
      <c r="D1476" s="8" t="s">
        <v>1325</v>
      </c>
      <c r="E1476" s="8"/>
    </row>
    <row r="1477" spans="4:5">
      <c r="D1477" s="8" t="s">
        <v>1326</v>
      </c>
      <c r="E1477" s="8"/>
    </row>
    <row r="1478" spans="4:5">
      <c r="D1478" s="8" t="s">
        <v>1327</v>
      </c>
      <c r="E1478" s="8"/>
    </row>
    <row r="1479" spans="4:5">
      <c r="D1479" s="8" t="s">
        <v>1328</v>
      </c>
      <c r="E1479" s="8">
        <f>12+4</f>
        <v>16</v>
      </c>
    </row>
    <row r="1480" spans="4:5">
      <c r="D1480" s="8" t="s">
        <v>1329</v>
      </c>
      <c r="E1480" s="8">
        <f ca="1">'Parameter Inputs'!L1023*0.65</f>
        <v>4069.3410525331465</v>
      </c>
    </row>
    <row r="1481" spans="4:5">
      <c r="D1481" s="8" t="s">
        <v>1330</v>
      </c>
      <c r="E1481" s="8">
        <f>44.7</f>
        <v>44.7</v>
      </c>
    </row>
    <row r="1482" spans="4:5">
      <c r="D1482" s="8" t="s">
        <v>1331</v>
      </c>
      <c r="E1482" s="8">
        <f ca="1">E1480*E1481</f>
        <v>181899.54504823167</v>
      </c>
    </row>
    <row r="1483" spans="4:5">
      <c r="D1483" s="8" t="s">
        <v>1332</v>
      </c>
      <c r="E1483" s="8">
        <f ca="1">E1482</f>
        <v>181899.54504823167</v>
      </c>
    </row>
    <row r="1484" spans="4:5">
      <c r="D1484" s="8" t="s">
        <v>1333</v>
      </c>
      <c r="E1484" s="8">
        <f>12+16+16</f>
        <v>44</v>
      </c>
    </row>
    <row r="1485" spans="4:5">
      <c r="D1485" s="8" t="s">
        <v>1334</v>
      </c>
      <c r="E1485" s="8">
        <f ca="1">(E1484/1000)*E1483</f>
        <v>8003.5799821221926</v>
      </c>
    </row>
    <row r="1486" spans="4:5">
      <c r="D1486" s="8" t="s">
        <v>1335</v>
      </c>
      <c r="E1486" s="8">
        <f ca="1">('Parameter Inputs'!L1023*0.25)</f>
        <v>1565.1311740512101</v>
      </c>
    </row>
    <row r="1487" spans="4:5">
      <c r="D1487" s="8" t="s">
        <v>1336</v>
      </c>
      <c r="E1487" s="8">
        <f ca="1">E1486*'Parameter Inputs'!F445</f>
        <v>2926.7952954757629</v>
      </c>
    </row>
    <row r="1488" spans="4:5">
      <c r="D1488" s="8" t="s">
        <v>1337</v>
      </c>
      <c r="E1488" s="8">
        <f ca="1">E1487+E1485</f>
        <v>10930.375277597956</v>
      </c>
    </row>
    <row r="1489" spans="4:5">
      <c r="D1489" s="8" t="s">
        <v>1342</v>
      </c>
      <c r="E1489" s="8">
        <f ca="1">E1482*2</f>
        <v>363799.09009646333</v>
      </c>
    </row>
    <row r="1490" spans="4:5">
      <c r="D1490" s="8" t="s">
        <v>1343</v>
      </c>
      <c r="E1490" s="8">
        <f ca="1">(E1489*(18/1000))</f>
        <v>6548.3836217363396</v>
      </c>
    </row>
    <row r="1491" spans="4:5">
      <c r="D1491" s="8" t="s">
        <v>1344</v>
      </c>
      <c r="E1491" s="8">
        <f ca="1">E1482*7.52</f>
        <v>1367884.5787627019</v>
      </c>
    </row>
    <row r="1492" spans="4:5">
      <c r="D1492" s="8" t="s">
        <v>1345</v>
      </c>
      <c r="E1492" s="8">
        <f ca="1">E1491*(28/1000)</f>
        <v>38300.768205355656</v>
      </c>
    </row>
    <row r="1493" spans="4:5">
      <c r="D1493" s="8"/>
      <c r="E1493" s="8"/>
    </row>
    <row r="1494" spans="4:5">
      <c r="D1494" s="8" t="s">
        <v>1338</v>
      </c>
      <c r="E1494" s="49">
        <f ca="1">'Parameter Inputs'!E1235/365</f>
        <v>544.661920659163</v>
      </c>
    </row>
    <row r="1495" spans="4:5">
      <c r="D1495" s="8" t="s">
        <v>1339</v>
      </c>
      <c r="E1495" s="8">
        <f ca="1">E1494*E1484</f>
        <v>23965.124509003173</v>
      </c>
    </row>
    <row r="1496" spans="4:5">
      <c r="D1496" s="8" t="s">
        <v>1340</v>
      </c>
      <c r="E1496" s="8">
        <f ca="1">E1495</f>
        <v>23965.124509003173</v>
      </c>
    </row>
    <row r="1497" spans="4:5">
      <c r="D1497" s="8" t="s">
        <v>1341</v>
      </c>
      <c r="E1497" s="8">
        <f ca="1">E1496*(E1484/1000)</f>
        <v>1054.4654783961396</v>
      </c>
    </row>
    <row r="1498" spans="4:5">
      <c r="D1498" s="8"/>
      <c r="E1498" s="8"/>
    </row>
    <row r="1499" spans="4:5">
      <c r="D1499" s="8" t="s">
        <v>1346</v>
      </c>
      <c r="E1499" s="8">
        <f ca="1">E1495*2</f>
        <v>47930.249018006347</v>
      </c>
    </row>
    <row r="1500" spans="4:5">
      <c r="D1500" s="8" t="s">
        <v>1347</v>
      </c>
      <c r="E1500" s="8">
        <f ca="1">E1499*(18/1000)</f>
        <v>862.74448232411419</v>
      </c>
    </row>
    <row r="1501" spans="4:5">
      <c r="D1501" s="8" t="s">
        <v>1348</v>
      </c>
      <c r="E1501" s="8">
        <f ca="1">E1495*7.52</f>
        <v>180217.73630770386</v>
      </c>
    </row>
    <row r="1502" spans="4:5">
      <c r="D1502" s="8" t="s">
        <v>1349</v>
      </c>
      <c r="E1502" s="8">
        <f ca="1">E1501*(28/1000)</f>
        <v>5046.0966166157086</v>
      </c>
    </row>
    <row r="1503" spans="4:5">
      <c r="D1503" s="8"/>
      <c r="E1503" s="8"/>
    </row>
    <row r="1504" spans="4:5">
      <c r="D1504" s="8" t="s">
        <v>1350</v>
      </c>
      <c r="E1504" s="49">
        <f ca="1">E1497+E1488</f>
        <v>11984.840755994095</v>
      </c>
    </row>
    <row r="1505" spans="4:5">
      <c r="D1505" s="8" t="s">
        <v>1351</v>
      </c>
      <c r="E1505" s="49">
        <f ca="1">E1500+E1490</f>
        <v>7411.1281040604536</v>
      </c>
    </row>
    <row r="1506" spans="4:5">
      <c r="D1506" s="8" t="s">
        <v>1352</v>
      </c>
      <c r="E1506" s="49">
        <f ca="1">E1492+E1502</f>
        <v>43346.864821971365</v>
      </c>
    </row>
    <row r="1507" spans="4:5">
      <c r="D1507" s="8"/>
      <c r="E1507" s="49">
        <f ca="1">SUM(E1504:E1506)</f>
        <v>62742.833682025914</v>
      </c>
    </row>
    <row r="1508" spans="4:5">
      <c r="D1508" s="8"/>
      <c r="E1508" s="8"/>
    </row>
    <row r="1509" spans="4:5">
      <c r="D1509" s="8"/>
      <c r="E1509" s="8"/>
    </row>
    <row r="1510" spans="4:5">
      <c r="D1510" s="8" t="s">
        <v>1359</v>
      </c>
      <c r="E1510" s="8"/>
    </row>
    <row r="1511" spans="4:5">
      <c r="D1511" s="8" t="s">
        <v>1363</v>
      </c>
      <c r="E1511" s="8">
        <v>5.6000000000000001E-2</v>
      </c>
    </row>
    <row r="1512" spans="4:5">
      <c r="D1512" s="8" t="s">
        <v>1356</v>
      </c>
      <c r="E1512" s="8">
        <v>59</v>
      </c>
    </row>
    <row r="1513" spans="4:5">
      <c r="D1513" s="334" t="s">
        <v>1362</v>
      </c>
      <c r="E1513" s="334"/>
    </row>
    <row r="1514" spans="4:5">
      <c r="D1514" s="8" t="s">
        <v>1357</v>
      </c>
      <c r="E1514" s="8">
        <f ca="1">('Parameter Inputs'!E1111*'Parameter Inputs'!E1108*'Parameter Inputs'!F482)</f>
        <v>2472.7076532945684</v>
      </c>
    </row>
    <row r="1515" spans="4:5">
      <c r="D1515" s="8" t="s">
        <v>1358</v>
      </c>
      <c r="E1515" s="8">
        <f ca="1">(E1514*1000)/E1512</f>
        <v>41910.299208382516</v>
      </c>
    </row>
    <row r="1516" spans="4:5">
      <c r="D1516" s="8" t="s">
        <v>1360</v>
      </c>
      <c r="E1516" s="8">
        <f ca="1">E1515*E1511</f>
        <v>2346.976755669421</v>
      </c>
    </row>
    <row r="1517" spans="4:5">
      <c r="D1517" s="8" t="s">
        <v>1361</v>
      </c>
      <c r="E1517" s="8">
        <f ca="1">E1516*(44/1000)</f>
        <v>103.26697724945451</v>
      </c>
    </row>
    <row r="1518" spans="4:5">
      <c r="D1518" s="334" t="s">
        <v>25</v>
      </c>
      <c r="E1518" s="334"/>
    </row>
    <row r="1519" spans="4:5">
      <c r="D1519" s="8" t="s">
        <v>1364</v>
      </c>
      <c r="E1519" s="8">
        <f ca="1">'Parameter Inputs'!K1106*'Parameter Inputs'!K1107*'Parameter Inputs'!F536</f>
        <v>9226.5500835070652</v>
      </c>
    </row>
    <row r="1520" spans="4:5">
      <c r="D1520" s="8" t="s">
        <v>1358</v>
      </c>
      <c r="E1520" s="8">
        <f ca="1">(E1519*1000)/E1512</f>
        <v>156382.2048052045</v>
      </c>
    </row>
    <row r="1521" spans="4:28">
      <c r="D1521" s="8" t="s">
        <v>1360</v>
      </c>
      <c r="E1521" s="8">
        <f ca="1">E1520*E1511</f>
        <v>8757.4034690914523</v>
      </c>
    </row>
    <row r="1522" spans="4:28">
      <c r="D1522" s="8" t="s">
        <v>1361</v>
      </c>
      <c r="E1522" s="8">
        <f ca="1">E1521*(44/1000)</f>
        <v>385.32575264002389</v>
      </c>
    </row>
    <row r="1525" spans="4:28" s="224" customFormat="1">
      <c r="D1525" s="225" t="s">
        <v>1699</v>
      </c>
    </row>
    <row r="1528" spans="4:28">
      <c r="D1528" s="8"/>
      <c r="E1528" s="8" t="s">
        <v>664</v>
      </c>
      <c r="F1528" s="8" t="s">
        <v>665</v>
      </c>
      <c r="G1528" s="8" t="s">
        <v>669</v>
      </c>
      <c r="H1528" s="8" t="s">
        <v>666</v>
      </c>
      <c r="I1528" s="8" t="s">
        <v>667</v>
      </c>
      <c r="J1528" s="8" t="s">
        <v>668</v>
      </c>
      <c r="K1528" s="8" t="s">
        <v>676</v>
      </c>
      <c r="L1528" s="8" t="s">
        <v>677</v>
      </c>
      <c r="M1528" s="8" t="s">
        <v>678</v>
      </c>
      <c r="N1528" s="8" t="s">
        <v>807</v>
      </c>
      <c r="O1528" s="8" t="s">
        <v>805</v>
      </c>
    </row>
    <row r="1529" spans="4:28">
      <c r="D1529" s="8" t="s">
        <v>651</v>
      </c>
      <c r="E1529" s="8" t="s">
        <v>658</v>
      </c>
      <c r="F1529" s="8">
        <v>2500</v>
      </c>
      <c r="G1529" s="8" t="s">
        <v>670</v>
      </c>
      <c r="H1529" s="8">
        <v>122407</v>
      </c>
      <c r="I1529" s="8">
        <v>0.75</v>
      </c>
      <c r="J1529" s="50">
        <f ca="1">'Parameter Inputs'!H786</f>
        <v>1372.4662485667616</v>
      </c>
      <c r="K1529" s="49">
        <f t="shared" ref="K1529:K1536" ca="1" si="55">H1529*(J1529/F1529)^I1529</f>
        <v>78068.799770092694</v>
      </c>
      <c r="L1529" s="8">
        <v>5</v>
      </c>
      <c r="M1529" s="8" cm="1">
        <f t="array" aca="1" ref="M1529" ca="1">_xlfn.IFS(E195=$D$1719,K1529*L1529,E195=$D$1720,G195)</f>
        <v>390343.99885046348</v>
      </c>
      <c r="N1529" s="287">
        <f ca="1">K1529</f>
        <v>78068.799770092694</v>
      </c>
      <c r="O1529" s="8">
        <v>5</v>
      </c>
      <c r="P1529" s="60" t="s">
        <v>806</v>
      </c>
    </row>
    <row r="1530" spans="4:28">
      <c r="D1530" s="8" t="s">
        <v>652</v>
      </c>
      <c r="E1530" s="8" t="s">
        <v>659</v>
      </c>
      <c r="F1530" s="8">
        <v>4</v>
      </c>
      <c r="G1530" s="8" t="s">
        <v>671</v>
      </c>
      <c r="H1530" s="8">
        <v>235000</v>
      </c>
      <c r="I1530" s="8">
        <v>0.6</v>
      </c>
      <c r="J1530" s="50">
        <f ca="1">'Parameter Inputs'!E797</f>
        <v>56.699593765212178</v>
      </c>
      <c r="K1530" s="49">
        <f t="shared" ca="1" si="55"/>
        <v>1153399.7046545665</v>
      </c>
      <c r="L1530" s="8">
        <v>1</v>
      </c>
      <c r="M1530" s="8" cm="1">
        <f t="array" aca="1" ref="M1530" ca="1">_xlfn.IFS(E197=$D$1719,K1530*L1530,E197=$D$1720,G197)</f>
        <v>1153399.7046545665</v>
      </c>
      <c r="N1530" s="8">
        <f>60000*E1574</f>
        <v>0</v>
      </c>
      <c r="O1530" s="8">
        <v>1</v>
      </c>
    </row>
    <row r="1531" spans="4:28">
      <c r="D1531" s="8" t="s">
        <v>653</v>
      </c>
      <c r="E1531" s="8" t="s">
        <v>660</v>
      </c>
      <c r="F1531" s="8">
        <v>30</v>
      </c>
      <c r="G1531" s="8" t="s">
        <v>491</v>
      </c>
      <c r="H1531" s="8">
        <v>263947</v>
      </c>
      <c r="I1531" s="8">
        <v>0.78</v>
      </c>
      <c r="J1531" s="50">
        <f ca="1">'Parameter Inputs'!H787</f>
        <v>450.4752398678778</v>
      </c>
      <c r="K1531" s="49">
        <f t="shared" ca="1" si="55"/>
        <v>2183863.4165731501</v>
      </c>
      <c r="L1531" s="8">
        <v>1</v>
      </c>
      <c r="M1531" s="8" cm="1">
        <f t="array" aca="1" ref="M1531" ca="1">_xlfn.IFS(E199=$D$1719,K1531*L1531,E199=$D$1720,G199)</f>
        <v>2183863.4165731501</v>
      </c>
      <c r="N1531" s="8"/>
      <c r="O1531" s="8"/>
    </row>
    <row r="1532" spans="4:28">
      <c r="D1532" s="8" t="s">
        <v>654</v>
      </c>
      <c r="E1532" s="8" t="s">
        <v>660</v>
      </c>
      <c r="F1532" s="8">
        <v>30</v>
      </c>
      <c r="G1532" s="8" t="s">
        <v>491</v>
      </c>
      <c r="H1532" s="8">
        <v>263947</v>
      </c>
      <c r="I1532" s="8">
        <v>0.78</v>
      </c>
      <c r="J1532" s="50">
        <f ca="1">'Parameter Inputs'!H788</f>
        <v>558.5611203325426</v>
      </c>
      <c r="K1532" s="49">
        <f t="shared" ca="1" si="55"/>
        <v>2582719.8447433985</v>
      </c>
      <c r="L1532" s="8">
        <v>1</v>
      </c>
      <c r="M1532" s="8" cm="1">
        <f t="array" aca="1" ref="M1532" ca="1">_xlfn.IFS(E201=$D$1719,K1532*L1532,E201=$D$1720,G201)</f>
        <v>2582719.8447433985</v>
      </c>
      <c r="N1532" s="8"/>
      <c r="O1532" s="8"/>
      <c r="AB1532" s="113"/>
    </row>
    <row r="1533" spans="4:28">
      <c r="D1533" s="8" t="s">
        <v>655</v>
      </c>
      <c r="E1533" s="8" t="s">
        <v>659</v>
      </c>
      <c r="F1533" s="8">
        <v>4</v>
      </c>
      <c r="G1533" s="8" t="s">
        <v>671</v>
      </c>
      <c r="H1533" s="8">
        <v>235000</v>
      </c>
      <c r="I1533" s="8">
        <v>0.6</v>
      </c>
      <c r="J1533" s="50">
        <f ca="1">'Parameter Inputs'!K1129/24</f>
        <v>42.315236388828986</v>
      </c>
      <c r="K1533" s="49">
        <f t="shared" ca="1" si="55"/>
        <v>967675.91162787378</v>
      </c>
      <c r="L1533" s="8">
        <v>1</v>
      </c>
      <c r="M1533" s="8" cm="1">
        <f t="array" aca="1" ref="M1533" ca="1">_xlfn.IFS(E203=$D$1719,K1533*L1533,E203=$D$1720,G203)</f>
        <v>967675.91162787378</v>
      </c>
      <c r="N1533" s="8"/>
      <c r="O1533" s="8"/>
      <c r="AA1533" s="86"/>
      <c r="AB1533" s="113"/>
    </row>
    <row r="1534" spans="4:28">
      <c r="D1534" s="8" t="s">
        <v>656</v>
      </c>
      <c r="E1534" s="8" t="s">
        <v>661</v>
      </c>
      <c r="F1534" s="8">
        <v>51.6</v>
      </c>
      <c r="G1534" s="8" t="s">
        <v>672</v>
      </c>
      <c r="H1534" s="8">
        <v>118000</v>
      </c>
      <c r="I1534" s="8">
        <v>0.6</v>
      </c>
      <c r="J1534" s="50">
        <f ca="1">'Parameter Inputs'!N1151/24</f>
        <v>534.78139948557248</v>
      </c>
      <c r="K1534" s="49">
        <f t="shared" ca="1" si="55"/>
        <v>479952.17309669236</v>
      </c>
      <c r="L1534" s="8">
        <v>1</v>
      </c>
      <c r="M1534" s="8" cm="1">
        <f t="array" aca="1" ref="M1534" ca="1">_xlfn.IFS(E205=$D$1719,K1534*L1534,E205=$D$1720,G205)</f>
        <v>479952.17309669236</v>
      </c>
      <c r="N1534" s="8"/>
      <c r="O1534" s="8"/>
      <c r="AB1534" s="113"/>
    </row>
    <row r="1535" spans="4:28">
      <c r="D1535" s="8" t="s">
        <v>657</v>
      </c>
      <c r="E1535" s="8" t="s">
        <v>662</v>
      </c>
      <c r="F1535" s="8">
        <v>125</v>
      </c>
      <c r="G1535" s="8" t="s">
        <v>670</v>
      </c>
      <c r="H1535" s="8">
        <v>50255</v>
      </c>
      <c r="I1535" s="8">
        <v>0.78</v>
      </c>
      <c r="J1535" s="50">
        <f ca="1">'Parameter Inputs'!H790</f>
        <v>73.889796355090709</v>
      </c>
      <c r="K1535" s="49">
        <f t="shared" ca="1" si="55"/>
        <v>33349.194871277105</v>
      </c>
      <c r="L1535" s="8">
        <v>1</v>
      </c>
      <c r="M1535" s="8" cm="1">
        <f t="array" aca="1" ref="M1535" ca="1">_xlfn.IFS(E207=$D$1719,K1535*L1535,E207=$D$1720,G207)</f>
        <v>33349.194871277105</v>
      </c>
      <c r="N1535" s="8"/>
      <c r="O1535" s="8"/>
      <c r="AA1535" s="86"/>
      <c r="AB1535" s="113"/>
    </row>
    <row r="1536" spans="4:28">
      <c r="D1536" s="8" t="s">
        <v>673</v>
      </c>
      <c r="E1536" s="8" t="s">
        <v>659</v>
      </c>
      <c r="F1536" s="8">
        <v>4</v>
      </c>
      <c r="G1536" s="8" t="s">
        <v>671</v>
      </c>
      <c r="H1536" s="8">
        <v>235000</v>
      </c>
      <c r="I1536" s="8">
        <v>0.6</v>
      </c>
      <c r="J1536" s="50">
        <f ca="1">('Parameter Inputs'!K1165/20)</f>
        <v>3.3586271070495775</v>
      </c>
      <c r="K1536" s="49">
        <f t="shared" ca="1" si="55"/>
        <v>211606.46920139922</v>
      </c>
      <c r="L1536" s="8">
        <v>1</v>
      </c>
      <c r="M1536" s="8" cm="1">
        <f t="array" aca="1" ref="M1536" ca="1">_xlfn.IFS(E209=$D$1719,K1536*L1536,E209=$D$1720,G209)</f>
        <v>211606.46920139922</v>
      </c>
      <c r="N1536" s="8"/>
      <c r="O1536" s="8"/>
      <c r="AB1536" s="113"/>
    </row>
    <row r="1537" spans="4:28">
      <c r="D1537" s="8" t="s">
        <v>674</v>
      </c>
      <c r="E1537" s="8" t="s">
        <v>663</v>
      </c>
      <c r="F1537" s="8">
        <v>0.02</v>
      </c>
      <c r="G1537" s="8" t="s">
        <v>804</v>
      </c>
      <c r="H1537" s="8">
        <v>2550</v>
      </c>
      <c r="I1537" s="8">
        <v>0.6</v>
      </c>
      <c r="J1537" s="50">
        <f ca="1">('Parameter Inputs'!N1172/2)/10</f>
        <v>3308.7481358827849</v>
      </c>
      <c r="K1537" s="49">
        <v>434920.14</v>
      </c>
      <c r="L1537" s="8">
        <v>2</v>
      </c>
      <c r="M1537" s="8" cm="1">
        <f t="array" ref="M1537">_xlfn.IFS(E211=$D$1719,K1537*L1537,E211=$D$1720,G211)</f>
        <v>869840.28</v>
      </c>
      <c r="N1537" s="8"/>
      <c r="O1537" s="8"/>
      <c r="AA1537" s="86"/>
      <c r="AB1537" s="113"/>
    </row>
    <row r="1538" spans="4:28">
      <c r="D1538" s="8" t="s">
        <v>675</v>
      </c>
      <c r="E1538" s="8" t="s">
        <v>663</v>
      </c>
      <c r="F1538" s="8">
        <v>0.02</v>
      </c>
      <c r="G1538" s="8" t="s">
        <v>804</v>
      </c>
      <c r="H1538" s="8">
        <v>2550</v>
      </c>
      <c r="I1538" s="8">
        <v>0.6</v>
      </c>
      <c r="J1538" s="50">
        <f ca="1">('Parameter Inputs'!T1161/2)/10</f>
        <v>105.65569153356542</v>
      </c>
      <c r="K1538" s="49">
        <v>434920.14</v>
      </c>
      <c r="L1538" s="8">
        <v>1</v>
      </c>
      <c r="M1538" s="8" cm="1">
        <f t="array" ref="M1538">_xlfn.IFS(E213=$D$1719,K1538*L1538,E213=$D$1720,G213)</f>
        <v>434920.14</v>
      </c>
      <c r="N1538" s="8"/>
      <c r="O1538" s="8"/>
      <c r="AB1538" s="113"/>
    </row>
    <row r="1539" spans="4:28">
      <c r="D1539" s="8" t="s">
        <v>1438</v>
      </c>
      <c r="E1539" s="8" t="s">
        <v>1451</v>
      </c>
      <c r="F1539" s="8">
        <v>500</v>
      </c>
      <c r="G1539" s="8" t="s">
        <v>804</v>
      </c>
      <c r="H1539" s="8">
        <v>485930</v>
      </c>
      <c r="I1539" s="8">
        <v>0.6</v>
      </c>
      <c r="J1539" s="8">
        <v>300</v>
      </c>
      <c r="K1539" s="49">
        <f>H1539*(J1539/F1539)^I1539</f>
        <v>357655.13295486971</v>
      </c>
      <c r="L1539" s="8">
        <v>1</v>
      </c>
      <c r="M1539" s="8" cm="1">
        <f t="array" ref="M1539">_xlfn.IFS(E215=$D$1719,K1539*L1539,E215=$D$1720,G215)</f>
        <v>357655.13295486971</v>
      </c>
      <c r="N1539" s="8"/>
      <c r="O1539" s="8"/>
      <c r="AB1539" s="113"/>
    </row>
    <row r="1540" spans="4:28">
      <c r="D1540" s="8" t="s">
        <v>679</v>
      </c>
      <c r="E1540" s="8"/>
      <c r="F1540" s="8"/>
      <c r="G1540" s="8"/>
      <c r="H1540" s="8"/>
      <c r="I1540" s="8"/>
      <c r="J1540" s="8"/>
      <c r="K1540" s="8"/>
      <c r="L1540" s="8"/>
      <c r="M1540" s="8">
        <f ca="1">SUM(M1529:M1537)</f>
        <v>8872750.9936188217</v>
      </c>
      <c r="N1540" s="8"/>
      <c r="O1540" s="8"/>
      <c r="AA1540" s="86"/>
      <c r="AB1540" s="113"/>
    </row>
    <row r="1541" spans="4:28">
      <c r="D1541" s="8" t="s">
        <v>680</v>
      </c>
      <c r="E1541" s="8" t="s">
        <v>686</v>
      </c>
      <c r="F1541" s="284">
        <v>0.15</v>
      </c>
      <c r="G1541" s="8">
        <f ca="1">F1541*$M$1540</f>
        <v>1330912.6490428231</v>
      </c>
      <c r="H1541" s="8"/>
      <c r="I1541" s="8"/>
      <c r="J1541" s="8"/>
      <c r="K1541" s="8"/>
      <c r="L1541" s="8"/>
      <c r="M1541" s="8"/>
      <c r="N1541" s="8"/>
      <c r="O1541" s="8"/>
      <c r="AA1541" s="86"/>
      <c r="AB1541" s="113"/>
    </row>
    <row r="1542" spans="4:28">
      <c r="D1542" s="8" t="s">
        <v>681</v>
      </c>
      <c r="E1542" s="8" t="s">
        <v>686</v>
      </c>
      <c r="F1542" s="284">
        <v>0.25</v>
      </c>
      <c r="G1542" s="8">
        <f ca="1">F1542*$M$1540</f>
        <v>2218187.7484047054</v>
      </c>
      <c r="H1542" s="8"/>
      <c r="I1542" s="8"/>
      <c r="J1542" s="8"/>
      <c r="K1542" s="8"/>
      <c r="L1542" s="8"/>
      <c r="M1542" s="8"/>
      <c r="N1542" s="8"/>
      <c r="O1542" s="8">
        <f ca="1">J1529/24</f>
        <v>57.18609369028173</v>
      </c>
      <c r="AA1542" s="86"/>
      <c r="AB1542" s="113"/>
    </row>
    <row r="1543" spans="4:28">
      <c r="D1543" s="8" t="s">
        <v>682</v>
      </c>
      <c r="E1543" s="8" t="s">
        <v>686</v>
      </c>
      <c r="F1543" s="284">
        <v>0.1</v>
      </c>
      <c r="G1543" s="8">
        <f ca="1">F1543*$M$1540</f>
        <v>887275.0993618822</v>
      </c>
      <c r="H1543" s="8"/>
      <c r="I1543" s="8"/>
      <c r="J1543" s="8"/>
      <c r="K1543" s="8">
        <v>4.5</v>
      </c>
      <c r="L1543" s="8"/>
      <c r="M1543" s="8"/>
      <c r="N1543" s="8"/>
      <c r="O1543" s="8">
        <f ca="1">O1542/60</f>
        <v>0.95310156150469549</v>
      </c>
      <c r="AA1543" s="86"/>
      <c r="AB1543" s="113"/>
    </row>
    <row r="1544" spans="4:28">
      <c r="D1544" s="8" t="s">
        <v>683</v>
      </c>
      <c r="E1544" s="8" t="s">
        <v>686</v>
      </c>
      <c r="F1544" s="284">
        <v>0.34</v>
      </c>
      <c r="G1544" s="8">
        <f ca="1">F1544*$M$1540</f>
        <v>3016735.3378303996</v>
      </c>
      <c r="H1544" s="8"/>
      <c r="I1544" s="8"/>
      <c r="J1544" s="8"/>
      <c r="K1544" s="8"/>
      <c r="L1544" s="8"/>
      <c r="M1544" s="8"/>
      <c r="N1544" s="8"/>
      <c r="O1544" s="8">
        <f ca="1">O1543*1000</f>
        <v>953.1015615046955</v>
      </c>
    </row>
    <row r="1545" spans="4:28">
      <c r="D1545" s="8" t="s">
        <v>684</v>
      </c>
      <c r="E1545" s="8" t="s">
        <v>686</v>
      </c>
      <c r="F1545" s="284">
        <v>0.12</v>
      </c>
      <c r="G1545" s="8">
        <f ca="1">F1545*$M$1540</f>
        <v>1064730.1192342585</v>
      </c>
      <c r="H1545" s="8"/>
      <c r="I1545" s="8"/>
      <c r="J1545" s="8"/>
      <c r="K1545" s="8"/>
      <c r="L1545" s="8"/>
      <c r="M1545" s="8"/>
      <c r="N1545" s="8"/>
      <c r="O1545" s="8"/>
    </row>
    <row r="1546" spans="4:28">
      <c r="D1546" s="8" t="s">
        <v>688</v>
      </c>
      <c r="E1546" s="8"/>
      <c r="F1546" s="167"/>
      <c r="G1546" s="8">
        <f ca="1">G1545+M1540</f>
        <v>9937481.11285308</v>
      </c>
      <c r="H1546" s="8"/>
      <c r="I1546" s="8"/>
      <c r="J1546" s="8"/>
      <c r="K1546" s="8"/>
      <c r="L1546" s="8"/>
      <c r="M1546" s="8"/>
      <c r="N1546" s="8"/>
      <c r="O1546" s="8"/>
    </row>
    <row r="1547" spans="4:28">
      <c r="D1547" s="8" t="s">
        <v>685</v>
      </c>
      <c r="E1547" s="8" t="s">
        <v>687</v>
      </c>
      <c r="F1547" s="285">
        <v>5.0000000000000001E-3</v>
      </c>
      <c r="G1547" s="8">
        <f ca="1">F1547*G1546</f>
        <v>49687.405564265398</v>
      </c>
      <c r="H1547" s="8"/>
      <c r="I1547" s="8"/>
      <c r="J1547" s="8"/>
      <c r="K1547" s="8"/>
      <c r="L1547" s="8"/>
      <c r="M1547" s="8"/>
      <c r="N1547" s="8"/>
      <c r="O1547" s="8">
        <f ca="1">J1530/60</f>
        <v>0.94499322942020292</v>
      </c>
    </row>
    <row r="1548" spans="4:28">
      <c r="D1548" s="8" t="s">
        <v>1121</v>
      </c>
      <c r="E1548" s="8"/>
      <c r="F1548" s="8"/>
      <c r="G1548" s="8">
        <f ca="1">G1547+G1546</f>
        <v>9987168.5184173454</v>
      </c>
      <c r="H1548" s="8"/>
      <c r="I1548" s="8"/>
      <c r="J1548" s="8"/>
      <c r="K1548" s="8"/>
      <c r="L1548" s="8"/>
      <c r="M1548" s="8"/>
      <c r="N1548" s="8"/>
      <c r="O1548" s="8">
        <f ca="1">O1547*1000</f>
        <v>944.99322942020297</v>
      </c>
      <c r="AA1548" s="86"/>
      <c r="AB1548" s="113"/>
    </row>
    <row r="1549" spans="4:28">
      <c r="D1549" s="8" t="s">
        <v>1372</v>
      </c>
      <c r="E1549" s="8"/>
      <c r="F1549" s="8"/>
      <c r="G1549" s="284">
        <v>4.1000000000000002E-2</v>
      </c>
      <c r="H1549" s="8"/>
      <c r="I1549" s="8"/>
      <c r="J1549" s="8"/>
      <c r="K1549" s="8"/>
      <c r="L1549" s="8"/>
      <c r="M1549" s="8"/>
      <c r="N1549" s="8"/>
      <c r="O1549" s="8"/>
      <c r="AB1549" s="113"/>
    </row>
    <row r="1550" spans="4:28">
      <c r="D1550" s="8" t="s">
        <v>1122</v>
      </c>
      <c r="E1550" s="8"/>
      <c r="F1550" s="8"/>
      <c r="G1550" s="50">
        <f ca="1">G1548/((1-((1+G1549)^(-20)))/G1549)</f>
        <v>741395.29559232178</v>
      </c>
      <c r="H1550" s="8"/>
      <c r="I1550" s="8"/>
      <c r="J1550" s="284"/>
      <c r="K1550" s="8"/>
      <c r="L1550" s="8"/>
      <c r="M1550" s="8"/>
      <c r="N1550" s="8"/>
      <c r="O1550" s="8"/>
      <c r="AA1550" s="86"/>
      <c r="AB1550" s="113"/>
    </row>
    <row r="1551" spans="4:28">
      <c r="G1551" s="105"/>
      <c r="J1551" s="113"/>
      <c r="AA1551" s="86"/>
      <c r="AB1551" s="113"/>
    </row>
    <row r="1552" spans="4:28">
      <c r="D1552" s="8" t="s">
        <v>1125</v>
      </c>
      <c r="E1552" s="8">
        <v>13</v>
      </c>
      <c r="F1552" s="8"/>
      <c r="G1552" s="50"/>
      <c r="H1552" s="8"/>
      <c r="I1552" s="8"/>
      <c r="J1552" s="284"/>
      <c r="K1552" s="8"/>
      <c r="L1552" s="8"/>
      <c r="M1552" s="8"/>
      <c r="N1552" s="8"/>
      <c r="O1552" s="8"/>
      <c r="P1552" s="8"/>
      <c r="Q1552" s="8"/>
      <c r="AA1552" s="86"/>
      <c r="AB1552" s="113"/>
    </row>
    <row r="1553" spans="4:28">
      <c r="D1553" s="8" t="s">
        <v>1124</v>
      </c>
      <c r="E1553" s="8">
        <v>1</v>
      </c>
      <c r="F1553" s="8"/>
      <c r="G1553" s="50"/>
      <c r="H1553" s="8"/>
      <c r="I1553" s="8"/>
      <c r="J1553" s="284"/>
      <c r="K1553" s="8"/>
      <c r="L1553" s="8"/>
      <c r="M1553" s="8"/>
      <c r="N1553" s="8"/>
      <c r="O1553" s="8"/>
      <c r="P1553" s="8"/>
      <c r="Q1553" s="8"/>
      <c r="AA1553" s="86"/>
      <c r="AB1553" s="113"/>
    </row>
    <row r="1554" spans="4:28">
      <c r="D1554" s="8" t="s">
        <v>1123</v>
      </c>
      <c r="E1554" s="8">
        <f>(6.29+(31.7*(E1553^2))+(0.23*E1552))^0.5</f>
        <v>6.4015623093116893</v>
      </c>
      <c r="F1554" s="8"/>
      <c r="G1554" s="50"/>
      <c r="H1554" s="8"/>
      <c r="I1554" s="8"/>
      <c r="J1554" s="284"/>
      <c r="K1554" s="8"/>
      <c r="L1554" s="8"/>
      <c r="M1554" s="8"/>
      <c r="N1554" s="8"/>
      <c r="O1554" s="8"/>
      <c r="P1554" s="8"/>
      <c r="Q1554" s="8"/>
      <c r="AA1554" s="86"/>
      <c r="AB1554" s="113"/>
    </row>
    <row r="1555" spans="4:28">
      <c r="D1555" s="8" t="s">
        <v>1132</v>
      </c>
      <c r="E1555" s="8">
        <f>E1554*4.5</f>
        <v>28.8070303919026</v>
      </c>
      <c r="F1555" s="8"/>
      <c r="G1555" s="50"/>
      <c r="H1555" s="8"/>
      <c r="I1555" s="8"/>
      <c r="J1555" s="284"/>
      <c r="K1555" s="8"/>
      <c r="L1555" s="8"/>
      <c r="M1555" s="8"/>
      <c r="N1555" s="8"/>
      <c r="O1555" s="8"/>
      <c r="P1555" s="8"/>
      <c r="Q1555" s="8"/>
      <c r="AA1555" s="86"/>
      <c r="AB1555" s="113"/>
    </row>
    <row r="1556" spans="4:28">
      <c r="D1556" s="8" t="s">
        <v>1647</v>
      </c>
      <c r="E1556" s="8">
        <v>40000</v>
      </c>
      <c r="F1556" s="8"/>
      <c r="G1556" s="50"/>
      <c r="H1556" s="8"/>
      <c r="I1556" s="8"/>
      <c r="J1556" s="284"/>
      <c r="K1556" s="8"/>
      <c r="L1556" s="8"/>
      <c r="M1556" s="8"/>
      <c r="N1556" s="8"/>
      <c r="O1556" s="8"/>
      <c r="P1556" s="8"/>
      <c r="Q1556" s="8"/>
      <c r="AA1556" s="86"/>
      <c r="AB1556" s="113"/>
    </row>
    <row r="1557" spans="4:28">
      <c r="D1557" s="8" t="s">
        <v>1595</v>
      </c>
      <c r="E1557" s="8">
        <f>E1555*E1556</f>
        <v>1152281.215676104</v>
      </c>
      <c r="F1557" s="8"/>
      <c r="G1557" s="50"/>
      <c r="H1557" s="8"/>
      <c r="I1557" s="8"/>
      <c r="J1557" s="284"/>
      <c r="K1557" s="8"/>
      <c r="L1557" s="8"/>
      <c r="M1557" s="8"/>
      <c r="N1557" s="8"/>
      <c r="O1557" s="8"/>
      <c r="P1557" s="8"/>
      <c r="Q1557" s="8"/>
      <c r="AA1557" s="86"/>
      <c r="AB1557" s="113"/>
    </row>
    <row r="1558" spans="4:28">
      <c r="D1558" s="8"/>
      <c r="E1558" s="8"/>
      <c r="F1558" s="8"/>
      <c r="G1558" s="8"/>
      <c r="H1558" s="8"/>
      <c r="I1558" s="8"/>
      <c r="J1558" s="8"/>
      <c r="K1558" s="8"/>
      <c r="L1558" s="8"/>
      <c r="M1558" s="8"/>
      <c r="N1558" s="8"/>
      <c r="O1558" s="8"/>
      <c r="P1558" s="8"/>
      <c r="Q1558" s="8">
        <v>100</v>
      </c>
      <c r="AA1558" s="86"/>
      <c r="AB1558" s="113"/>
    </row>
    <row r="1559" spans="4:28">
      <c r="D1559" s="8" t="s">
        <v>1648</v>
      </c>
      <c r="E1559" s="8"/>
      <c r="F1559" s="8"/>
      <c r="G1559" s="8" t="s">
        <v>692</v>
      </c>
      <c r="H1559" s="8" t="s">
        <v>1119</v>
      </c>
      <c r="I1559" s="8" t="s">
        <v>1120</v>
      </c>
      <c r="J1559" s="8" t="s">
        <v>977</v>
      </c>
      <c r="K1559" s="8" t="s">
        <v>1367</v>
      </c>
      <c r="L1559" s="8" t="s">
        <v>705</v>
      </c>
      <c r="M1559" s="8"/>
      <c r="N1559" s="8"/>
      <c r="O1559" s="8"/>
      <c r="P1559" s="8"/>
      <c r="Q1559" s="8"/>
      <c r="AA1559" s="86"/>
      <c r="AB1559" s="113"/>
    </row>
    <row r="1560" spans="4:28">
      <c r="D1560" s="8" t="s">
        <v>1495</v>
      </c>
      <c r="E1560" s="8" t="s">
        <v>691</v>
      </c>
      <c r="F1560" s="8" t="s">
        <v>693</v>
      </c>
      <c r="G1560" s="284">
        <v>0.09</v>
      </c>
      <c r="H1560" s="8">
        <f>F242+(F242*G1560)</f>
        <v>0.24001800000000001</v>
      </c>
      <c r="I1560" s="47">
        <f ca="1">(H1560*('Parameter Inputs'!E1217*'Parameter Inputs'!E1185))</f>
        <v>1664274.8106617348</v>
      </c>
      <c r="J1560" s="47">
        <f ca="1">I1560/'Parameter Inputs'!E1595</f>
        <v>2.407318150559099</v>
      </c>
      <c r="K1560" s="47">
        <f ca="1">I1560/((('Parameter Inputs'!L987+'Parameter Inputs'!L988)*365)/1000)</f>
        <v>63.199191392591814</v>
      </c>
      <c r="L1560" s="52" t="s">
        <v>704</v>
      </c>
      <c r="M1560" s="8"/>
      <c r="N1560" s="8"/>
      <c r="O1560" s="8"/>
      <c r="P1560" s="8"/>
      <c r="Q1560" s="8"/>
      <c r="AA1560" s="86"/>
      <c r="AB1560" s="113"/>
    </row>
    <row r="1561" spans="4:28">
      <c r="D1561" s="8" t="s">
        <v>556</v>
      </c>
      <c r="E1561" s="8" t="s">
        <v>1118</v>
      </c>
      <c r="F1561" s="8">
        <f>F242</f>
        <v>0.22020000000000001</v>
      </c>
      <c r="G1561" s="284">
        <v>0.09</v>
      </c>
      <c r="H1561" s="8">
        <f>F244+(F244*G1561)</f>
        <v>7.0522999999999988E-2</v>
      </c>
      <c r="I1561" s="47">
        <f ca="1">('Parameter Inputs'!E1196*'Parameter Inputs'!E1241*H1561)</f>
        <v>124603.50819427663</v>
      </c>
      <c r="J1561" s="47">
        <f ca="1">I1561/'Parameter Inputs'!E1595</f>
        <v>0.18023482959533221</v>
      </c>
      <c r="K1561" s="47">
        <f ca="1">I1561/((('Parameter Inputs'!L987+'Parameter Inputs'!L988)*365)/1000)</f>
        <v>4.7316950975346099</v>
      </c>
      <c r="L1561" s="288" t="s">
        <v>704</v>
      </c>
      <c r="M1561" s="8"/>
      <c r="N1561" s="8"/>
      <c r="O1561" s="8"/>
      <c r="P1561" s="8" t="s">
        <v>1126</v>
      </c>
      <c r="Q1561" s="8"/>
    </row>
    <row r="1562" spans="4:28">
      <c r="D1562" s="8" t="s">
        <v>164</v>
      </c>
      <c r="E1562" s="8" t="s">
        <v>1118</v>
      </c>
      <c r="F1562" s="8">
        <f>F244</f>
        <v>6.4699999999999994E-2</v>
      </c>
      <c r="G1562" s="8" t="s">
        <v>81</v>
      </c>
      <c r="H1562" s="8">
        <f ca="1">F246</f>
        <v>1872.98</v>
      </c>
      <c r="I1562" s="47">
        <f ca="1">H1562</f>
        <v>1872.98</v>
      </c>
      <c r="J1562" s="47">
        <f ca="1">I1562/'Parameter Inputs'!E1595</f>
        <v>2.7092032642381985E-3</v>
      </c>
      <c r="K1562" s="47">
        <f ca="1">I1562/((('Parameter Inputs'!L987+'Parameter Inputs'!L988)*365)/1000)</f>
        <v>7.1124564727042303E-2</v>
      </c>
      <c r="L1562" s="288" t="s">
        <v>703</v>
      </c>
      <c r="M1562" s="8"/>
      <c r="N1562" s="8"/>
      <c r="O1562" s="8"/>
      <c r="P1562" s="8" t="s">
        <v>1127</v>
      </c>
      <c r="Q1562" s="8">
        <v>5</v>
      </c>
    </row>
    <row r="1563" spans="4:28">
      <c r="D1563" s="8" t="s">
        <v>694</v>
      </c>
      <c r="E1563" s="8" t="s">
        <v>696</v>
      </c>
      <c r="F1563" s="8">
        <f ca="1">F246</f>
        <v>1872.98</v>
      </c>
      <c r="G1563" s="8" t="s">
        <v>81</v>
      </c>
      <c r="H1563" s="8">
        <f>F248</f>
        <v>1.05</v>
      </c>
      <c r="I1563" s="47">
        <f ca="1">H1563*'Parameter Inputs'!E1590</f>
        <v>64973.599397854981</v>
      </c>
      <c r="J1563" s="47">
        <f ca="1">I1563/'Parameter Inputs'!E1595</f>
        <v>9.3982150144675203E-2</v>
      </c>
      <c r="K1563" s="47">
        <f ca="1">I1563/((('Parameter Inputs'!L987+'Parameter Inputs'!L988)*365)/1000)</f>
        <v>2.4673082338955319</v>
      </c>
      <c r="L1563" s="288" t="s">
        <v>703</v>
      </c>
      <c r="M1563" s="8"/>
      <c r="N1563" s="8"/>
      <c r="O1563" s="8"/>
      <c r="P1563" s="8" t="s">
        <v>494</v>
      </c>
      <c r="Q1563" s="8">
        <v>0.25</v>
      </c>
    </row>
    <row r="1564" spans="4:28">
      <c r="D1564" s="8" t="s">
        <v>695</v>
      </c>
      <c r="E1564" s="8" t="s">
        <v>697</v>
      </c>
      <c r="F1564" s="8">
        <f>F248</f>
        <v>1.05</v>
      </c>
      <c r="G1564" s="8" t="s">
        <v>81</v>
      </c>
      <c r="H1564" s="8">
        <f>F250*('Parameter Inputs'!F565/1000)</f>
        <v>0</v>
      </c>
      <c r="I1564" s="47">
        <f ca="1">'Parameter Inputs'!E1584*'Parameter Inputs'!H1564</f>
        <v>0</v>
      </c>
      <c r="J1564" s="47">
        <f ca="1">I1564/'Parameter Inputs'!E1595</f>
        <v>0</v>
      </c>
      <c r="K1564" s="47">
        <f ca="1">I1564/((('Parameter Inputs'!L987+'Parameter Inputs'!L988)*365)/1000)</f>
        <v>0</v>
      </c>
      <c r="L1564" s="288" t="s">
        <v>702</v>
      </c>
      <c r="M1564" s="8"/>
      <c r="N1564" s="8"/>
      <c r="O1564" s="8"/>
      <c r="P1564" s="8" t="s">
        <v>1128</v>
      </c>
      <c r="Q1564" s="8"/>
    </row>
    <row r="1565" spans="4:28">
      <c r="D1565" s="8" t="s">
        <v>172</v>
      </c>
      <c r="E1565" s="8" t="s">
        <v>689</v>
      </c>
      <c r="F1565" s="8">
        <f>F250</f>
        <v>305</v>
      </c>
      <c r="G1565" s="8" t="s">
        <v>81</v>
      </c>
      <c r="H1565" s="8">
        <f>F252*('Parameter Inputs'!G565/1000)</f>
        <v>0</v>
      </c>
      <c r="I1565" s="47">
        <f ca="1">H1565*'Parameter Inputs'!E1586</f>
        <v>0</v>
      </c>
      <c r="J1565" s="47">
        <f ca="1">I1565/'Parameter Inputs'!E1595</f>
        <v>0</v>
      </c>
      <c r="K1565" s="47">
        <f ca="1">I1565/((('Parameter Inputs'!L987+'Parameter Inputs'!L988)*365)/1000)</f>
        <v>0</v>
      </c>
      <c r="L1565" s="288" t="s">
        <v>699</v>
      </c>
      <c r="M1565" s="8"/>
      <c r="N1565" s="8"/>
      <c r="O1565" s="8"/>
      <c r="P1565" s="8" t="s">
        <v>1129</v>
      </c>
      <c r="Q1565" s="8">
        <v>1</v>
      </c>
    </row>
    <row r="1566" spans="4:28">
      <c r="D1566" s="8" t="s">
        <v>430</v>
      </c>
      <c r="E1566" s="8" t="s">
        <v>698</v>
      </c>
      <c r="F1566" s="8">
        <f>F252</f>
        <v>150</v>
      </c>
      <c r="G1566" s="8" t="s">
        <v>81</v>
      </c>
      <c r="H1566" s="8">
        <f>F254</f>
        <v>1350</v>
      </c>
      <c r="I1566" s="47">
        <f ca="1">H1566*'Parameter Inputs'!E1588</f>
        <v>0</v>
      </c>
      <c r="J1566" s="47">
        <f ca="1">I1566/'Parameter Inputs'!E1595</f>
        <v>0</v>
      </c>
      <c r="K1566" s="47">
        <f ca="1">I1566/((('Parameter Inputs'!L987+'Parameter Inputs'!L988)*365)/1000)</f>
        <v>0</v>
      </c>
      <c r="L1566" s="288" t="s">
        <v>700</v>
      </c>
      <c r="M1566" s="8"/>
      <c r="N1566" s="8"/>
      <c r="O1566" s="8"/>
      <c r="P1566" s="8" t="s">
        <v>25</v>
      </c>
      <c r="Q1566" s="8">
        <v>1</v>
      </c>
    </row>
    <row r="1567" spans="4:28">
      <c r="D1567" s="8" t="s">
        <v>435</v>
      </c>
      <c r="E1567" s="8" t="s">
        <v>698</v>
      </c>
      <c r="F1567" s="8">
        <f>F254</f>
        <v>1350</v>
      </c>
      <c r="G1567" s="8" t="s">
        <v>81</v>
      </c>
      <c r="H1567" s="8">
        <f>F256</f>
        <v>850</v>
      </c>
      <c r="I1567" s="47">
        <f ca="1">H1567*'Parameter Inputs'!E1592</f>
        <v>202003.78019977917</v>
      </c>
      <c r="J1567" s="47">
        <f ca="1">I1567/'Parameter Inputs'!E1595</f>
        <v>0.29219174828652589</v>
      </c>
      <c r="K1567" s="47">
        <f ca="1">I1567/((('Parameter Inputs'!L987+'Parameter Inputs'!L988)*365)/1000)</f>
        <v>7.6708939443701585</v>
      </c>
      <c r="L1567" s="288" t="s">
        <v>701</v>
      </c>
      <c r="M1567" s="8"/>
      <c r="N1567" s="8"/>
      <c r="O1567" s="8"/>
      <c r="P1567" s="8" t="s">
        <v>494</v>
      </c>
      <c r="Q1567" s="8">
        <v>0.25</v>
      </c>
    </row>
    <row r="1568" spans="4:28">
      <c r="D1568" s="8" t="s">
        <v>690</v>
      </c>
      <c r="E1568" s="8" t="s">
        <v>698</v>
      </c>
      <c r="F1568" s="8">
        <f>F256</f>
        <v>850</v>
      </c>
      <c r="G1568" s="8"/>
      <c r="H1568" s="8"/>
      <c r="I1568" s="47">
        <f ca="1">G1550</f>
        <v>741395.29559232178</v>
      </c>
      <c r="J1568" s="47">
        <f ca="1">I1568/'Parameter Inputs'!E1595</f>
        <v>1.0724036321314494</v>
      </c>
      <c r="K1568" s="47">
        <f ca="1">I1568/((('Parameter Inputs'!L987+'Parameter Inputs'!L988)*365)/1000)</f>
        <v>28.153753745197893</v>
      </c>
      <c r="L1568" s="8"/>
      <c r="M1568" s="8"/>
      <c r="N1568" s="8"/>
      <c r="O1568" s="8"/>
      <c r="P1568" s="8" t="s">
        <v>40</v>
      </c>
      <c r="Q1568" s="8">
        <v>0.5</v>
      </c>
    </row>
    <row r="1569" spans="4:17">
      <c r="D1569" s="8" t="s">
        <v>982</v>
      </c>
      <c r="E1569" s="8"/>
      <c r="F1569" s="8"/>
      <c r="G1569" s="8"/>
      <c r="H1569" s="8"/>
      <c r="I1569" s="47">
        <f>E1557</f>
        <v>1152281.215676104</v>
      </c>
      <c r="J1569" s="47">
        <f ca="1">I1569/'Parameter Inputs'!E1595</f>
        <v>1.666736447175122</v>
      </c>
      <c r="K1569" s="47">
        <f ca="1">I1569/((('Parameter Inputs'!L987+'Parameter Inputs'!L988)*365)/1000)</f>
        <v>43.756740546140399</v>
      </c>
      <c r="L1569" s="8"/>
      <c r="M1569" s="8"/>
      <c r="N1569" s="8"/>
      <c r="O1569" s="8"/>
      <c r="P1569" s="8" t="s">
        <v>1130</v>
      </c>
      <c r="Q1569" s="8">
        <v>1</v>
      </c>
    </row>
    <row r="1570" spans="4:17">
      <c r="D1570" s="8" t="s">
        <v>1133</v>
      </c>
      <c r="E1570" s="8" t="s">
        <v>1650</v>
      </c>
      <c r="F1570" s="8">
        <f>F258</f>
        <v>40000</v>
      </c>
      <c r="G1570" s="8"/>
      <c r="H1570" s="8"/>
      <c r="I1570" s="47">
        <f ca="1">M1540*F260</f>
        <v>177455.01987237643</v>
      </c>
      <c r="J1570" s="47">
        <f ca="1">I1570/'Parameter Inputs'!E1595</f>
        <v>0.25668278310163301</v>
      </c>
      <c r="K1570" s="47">
        <f ca="1">I1570/((('Parameter Inputs'!L987+'Parameter Inputs'!L988)*365)/1000)</f>
        <v>6.7386790286342695</v>
      </c>
      <c r="L1570" s="8"/>
      <c r="M1570" s="8">
        <v>67</v>
      </c>
      <c r="N1570" s="8">
        <v>4.4409861625973166</v>
      </c>
      <c r="O1570" s="8"/>
      <c r="P1570" s="8" t="s">
        <v>494</v>
      </c>
      <c r="Q1570" s="8">
        <v>0.25</v>
      </c>
    </row>
    <row r="1571" spans="4:17">
      <c r="D1571" s="8" t="s">
        <v>1500</v>
      </c>
      <c r="E1571" s="8" t="s">
        <v>1649</v>
      </c>
      <c r="F1571" s="8">
        <f>F260</f>
        <v>0.02</v>
      </c>
      <c r="G1571" s="8"/>
      <c r="H1571" s="8"/>
      <c r="I1571" s="47">
        <f ca="1">SUM(I1560:I1570)</f>
        <v>4128860.2095944476</v>
      </c>
      <c r="J1571" s="47">
        <f ca="1">SUM(J1560:J1570)</f>
        <v>5.9722589442580745</v>
      </c>
      <c r="K1571" s="47">
        <f ca="1">SUM(K1560:K1570)</f>
        <v>156.78938655309173</v>
      </c>
      <c r="L1571" s="8"/>
      <c r="M1571" s="8">
        <v>68</v>
      </c>
      <c r="N1571" s="8">
        <v>4.4175278971802676</v>
      </c>
      <c r="O1571" s="8"/>
      <c r="P1571" s="8" t="s">
        <v>1131</v>
      </c>
      <c r="Q1571" s="8">
        <v>0.5</v>
      </c>
    </row>
    <row r="1572" spans="4:17">
      <c r="D1572" s="8"/>
      <c r="E1572" s="8">
        <f ca="1">M1540*0.03</f>
        <v>266182.52980856464</v>
      </c>
      <c r="F1572" s="8"/>
      <c r="G1572" s="8"/>
      <c r="H1572" s="8"/>
      <c r="I1572" s="8"/>
      <c r="J1572" s="8"/>
      <c r="K1572" s="8"/>
      <c r="L1572" s="8"/>
      <c r="M1572" s="8">
        <v>69</v>
      </c>
      <c r="N1572" s="8">
        <v>4.5281230235729204</v>
      </c>
      <c r="O1572" s="8"/>
      <c r="P1572" s="8" t="s">
        <v>1131</v>
      </c>
      <c r="Q1572" s="8">
        <v>0.5</v>
      </c>
    </row>
    <row r="1573" spans="4:17">
      <c r="D1573" s="8" t="s">
        <v>1373</v>
      </c>
      <c r="E1573" s="8">
        <f ca="1">E1572/20</f>
        <v>13309.126490428233</v>
      </c>
      <c r="F1573" s="8"/>
      <c r="G1573" s="8"/>
      <c r="H1573" s="8"/>
      <c r="I1573" s="8">
        <f>E1555*40000</f>
        <v>1152281.215676104</v>
      </c>
      <c r="J1573" s="47">
        <f ca="1">J1571</f>
        <v>5.9722589442580745</v>
      </c>
      <c r="K1573" s="8"/>
      <c r="L1573" s="8"/>
      <c r="M1573" s="8">
        <v>70</v>
      </c>
      <c r="N1573" s="8">
        <v>4.599444526238103</v>
      </c>
      <c r="O1573" s="8"/>
      <c r="P1573" s="8" t="s">
        <v>1131</v>
      </c>
      <c r="Q1573" s="8">
        <v>0.5</v>
      </c>
    </row>
    <row r="1574" spans="4:17">
      <c r="D1574" s="8"/>
      <c r="E1574" s="8"/>
      <c r="F1574" s="8"/>
      <c r="G1574" s="8"/>
      <c r="H1574" s="8"/>
      <c r="I1574" s="8"/>
      <c r="J1574" s="8"/>
      <c r="K1574" s="8"/>
      <c r="L1574" s="8"/>
      <c r="M1574" s="8"/>
      <c r="N1574" s="8"/>
      <c r="O1574" s="8"/>
      <c r="P1574" s="8" t="s">
        <v>1492</v>
      </c>
      <c r="Q1574" s="8">
        <v>1</v>
      </c>
    </row>
    <row r="1576" spans="4:17" s="228" customFormat="1">
      <c r="D1576" s="229" t="s">
        <v>1703</v>
      </c>
    </row>
    <row r="1578" spans="4:17">
      <c r="D1578" s="8" t="s">
        <v>563</v>
      </c>
      <c r="E1578" s="8"/>
      <c r="F1578" s="8" t="s">
        <v>555</v>
      </c>
      <c r="G1578" s="8"/>
      <c r="K1578" s="8" t="s">
        <v>569</v>
      </c>
      <c r="L1578" s="8"/>
      <c r="O1578" s="8" t="s">
        <v>288</v>
      </c>
      <c r="P1578" s="8"/>
    </row>
    <row r="1579" spans="4:17">
      <c r="D1579" s="8" t="s">
        <v>564</v>
      </c>
      <c r="E1579" s="8"/>
      <c r="F1579" s="8" t="s">
        <v>565</v>
      </c>
      <c r="G1579" s="50">
        <f>'Parameter Inputs'!E1182</f>
        <v>29882429.550000001</v>
      </c>
      <c r="K1579" s="8"/>
      <c r="L1579" s="8"/>
      <c r="O1579" s="8" t="s">
        <v>1690</v>
      </c>
      <c r="P1579" s="8"/>
    </row>
    <row r="1580" spans="4:17">
      <c r="D1580" s="8" t="s">
        <v>975</v>
      </c>
      <c r="E1580" s="49">
        <f ca="1">IFERROR('Parameter Inputs'!F1404,0)</f>
        <v>6867512.4992822725</v>
      </c>
      <c r="F1580" s="8" t="s">
        <v>566</v>
      </c>
      <c r="G1580" s="49">
        <f ca="1">'Parameter Inputs'!E1193</f>
        <v>1092363.444673548</v>
      </c>
      <c r="K1580" s="8" t="s">
        <v>34</v>
      </c>
      <c r="L1580" s="49">
        <f ca="1">E1580+G1579</f>
        <v>36749942.049282275</v>
      </c>
      <c r="O1580" s="309" t="s">
        <v>600</v>
      </c>
      <c r="P1580" s="284">
        <f ca="1">L1600</f>
        <v>0.20700000000000002</v>
      </c>
    </row>
    <row r="1581" spans="4:17">
      <c r="D1581" s="8"/>
      <c r="E1581" s="8"/>
      <c r="K1581" s="8" t="s">
        <v>571</v>
      </c>
      <c r="L1581" s="49">
        <f ca="1">'Parameter Inputs'!E1205</f>
        <v>0</v>
      </c>
      <c r="O1581" s="309" t="s">
        <v>606</v>
      </c>
      <c r="P1581" s="284">
        <f ca="1">L1607</f>
        <v>0.88008958414289495</v>
      </c>
    </row>
    <row r="1582" spans="4:17">
      <c r="D1582" s="8" t="s">
        <v>566</v>
      </c>
      <c r="E1582" s="49">
        <f ca="1">IFERROR('Parameter Inputs'!I1404,0)</f>
        <v>13664227.39606951</v>
      </c>
      <c r="I1582" s="91"/>
      <c r="K1582" s="8" t="s">
        <v>601</v>
      </c>
      <c r="L1582" s="50">
        <f ca="1">IF('Parameter Inputs'!E1198+'Parameter Inputs'!E1199&gt;L1580,L1580,'Parameter Inputs'!E1198+'Parameter Inputs'!E1199)</f>
        <v>0</v>
      </c>
      <c r="O1582" s="309" t="s">
        <v>630</v>
      </c>
      <c r="P1582" s="284">
        <f ca="1">('Parameter Inputs'!E1207/'Parameter Inputs'!E1186)+(('Parameter Inputs'!E126*'Parameter Inputs'!E1200)/'Parameter Inputs'!E1186)</f>
        <v>1.7999999999999999E-2</v>
      </c>
    </row>
    <row r="1583" spans="4:17">
      <c r="D1583" s="8"/>
      <c r="E1583" s="8"/>
      <c r="K1583" s="8" t="s">
        <v>602</v>
      </c>
      <c r="L1583" s="49">
        <f ca="1">'Parameter Inputs'!E1200</f>
        <v>36816387.880882412</v>
      </c>
      <c r="O1583" s="309" t="s">
        <v>1141</v>
      </c>
      <c r="P1583" s="284">
        <f ca="1">L1608</f>
        <v>0.66470173348399753</v>
      </c>
    </row>
    <row r="1584" spans="4:17">
      <c r="D1584" s="8" t="s">
        <v>645</v>
      </c>
      <c r="E1584" s="8">
        <f ca="1">IFERROR(('Parameter Inputs'!F565*'Parameter Inputs'!E11+'Parameter Inputs'!F581*'Parameter Inputs'!E11)/1000,0)</f>
        <v>0</v>
      </c>
      <c r="K1584" s="8" t="s">
        <v>1140</v>
      </c>
      <c r="L1584" s="284">
        <f ca="1">((L1583*'Parameter Inputs'!E142)+('Parameter Inputs'!E1205*1)+('Parameter Inputs'!E1198*1)+('Parameter Inputs'!E1199*1))/'Parameter Inputs'!E1186</f>
        <v>0.20699999999999999</v>
      </c>
      <c r="O1584" s="309" t="s">
        <v>1142</v>
      </c>
      <c r="P1584" s="284">
        <f ca="1">1-P1583</f>
        <v>0.33529826651600247</v>
      </c>
    </row>
    <row r="1585" spans="4:16">
      <c r="D1585" s="8"/>
      <c r="E1585" s="8"/>
      <c r="K1585" s="8" t="s">
        <v>570</v>
      </c>
      <c r="L1585" s="284">
        <f ca="1">1-L1584</f>
        <v>0.79300000000000004</v>
      </c>
      <c r="O1585" s="8"/>
      <c r="P1585" s="8"/>
    </row>
    <row r="1586" spans="4:16">
      <c r="D1586" s="8" t="s">
        <v>646</v>
      </c>
      <c r="E1586" s="8">
        <f ca="1">IFERROR(('Parameter Inputs'!G565*'Parameter Inputs'!E11+'Parameter Inputs'!G581*'Parameter Inputs'!E11)/1000,0)</f>
        <v>0</v>
      </c>
      <c r="K1586" s="8"/>
      <c r="L1586" s="8"/>
      <c r="O1586" s="8" t="s">
        <v>1691</v>
      </c>
      <c r="P1586" s="49"/>
    </row>
    <row r="1587" spans="4:16">
      <c r="D1587" s="8"/>
      <c r="E1587" s="8"/>
      <c r="K1587" s="8" t="s">
        <v>1134</v>
      </c>
      <c r="L1587" s="49">
        <f ca="1">E1582+G1580</f>
        <v>14756590.840743057</v>
      </c>
      <c r="O1587" s="309" t="s">
        <v>1370</v>
      </c>
      <c r="P1587" s="49"/>
    </row>
    <row r="1588" spans="4:16">
      <c r="D1588" s="8" t="s">
        <v>647</v>
      </c>
      <c r="E1588" s="8">
        <f ca="1">('Parameter Inputs'!H565*'Parameter Inputs'!E11+'Parameter Inputs'!H581*'Parameter Inputs'!E11)/1000</f>
        <v>0</v>
      </c>
      <c r="K1588" s="8" t="s">
        <v>1139</v>
      </c>
      <c r="L1588" s="49">
        <f ca="1">IF('Parameter Inputs'!E1229&gt;L1587,L1587,'Parameter Inputs'!E1229)</f>
        <v>12967894.342601303</v>
      </c>
      <c r="O1588" s="310" t="s">
        <v>1376</v>
      </c>
      <c r="P1588" s="49">
        <f ca="1">E1592*1000</f>
        <v>237651.50611738727</v>
      </c>
    </row>
    <row r="1589" spans="4:16">
      <c r="D1589" s="8"/>
      <c r="E1589" s="8"/>
      <c r="K1589" s="8" t="s">
        <v>573</v>
      </c>
      <c r="L1589" s="49">
        <f ca="1">IF('Parameter Inputs'!E1229&gt;'Parameter Inputs'!E1197,0,'Parameter Inputs'!E1197-'Parameter Inputs'!E1229)</f>
        <v>1788696.4981417544</v>
      </c>
      <c r="O1589" s="310" t="s">
        <v>1371</v>
      </c>
      <c r="P1589" s="49">
        <f ca="1">E1584+E1586+E1588</f>
        <v>0</v>
      </c>
    </row>
    <row r="1590" spans="4:16">
      <c r="D1590" s="8" t="s">
        <v>567</v>
      </c>
      <c r="E1590" s="8">
        <f ca="1">'Parameter Inputs'!E1117*'Parameter Inputs'!E11</f>
        <v>61879.618474147595</v>
      </c>
      <c r="K1590" s="8"/>
      <c r="L1590" s="8"/>
      <c r="O1590" s="310" t="s">
        <v>164</v>
      </c>
      <c r="P1590" s="49">
        <f ca="1">'Parameter Inputs'!E1235*0.68</f>
        <v>135185.08870760427</v>
      </c>
    </row>
    <row r="1591" spans="4:16">
      <c r="D1591" s="8"/>
      <c r="E1591" s="8"/>
      <c r="K1591" s="8" t="s">
        <v>1236</v>
      </c>
      <c r="L1591" s="8"/>
      <c r="O1591" s="309" t="s">
        <v>1374</v>
      </c>
      <c r="P1591" s="8"/>
    </row>
    <row r="1592" spans="4:16">
      <c r="D1592" s="8" t="s">
        <v>648</v>
      </c>
      <c r="E1592" s="8">
        <f ca="1">(('Parameter Inputs'!K1160*'Parameter Inputs'!E11)+('Parameter Inputs'!K1157/20))/1000</f>
        <v>237.65150611738727</v>
      </c>
      <c r="K1592" s="8" t="s">
        <v>1220</v>
      </c>
      <c r="L1592" s="49">
        <f ca="1">'Parameter Inputs'!E1185</f>
        <v>6933958.3308824115</v>
      </c>
      <c r="O1592" s="310" t="s">
        <v>1375</v>
      </c>
      <c r="P1592" s="49">
        <f ca="1">'Parameter Inputs'!H1063*'Parameter Inputs'!H1066</f>
        <v>26333799.119727667</v>
      </c>
    </row>
    <row r="1593" spans="4:16">
      <c r="D1593" s="8"/>
      <c r="E1593" s="8"/>
      <c r="K1593" s="8" t="s">
        <v>1221</v>
      </c>
      <c r="L1593" s="49">
        <f ca="1">('Parameter Inputs'!E1212*'Parameter Inputs'!E1185)</f>
        <v>0</v>
      </c>
      <c r="O1593" s="310" t="s">
        <v>1376</v>
      </c>
      <c r="P1593" s="49">
        <f ca="1">'Parameter Inputs'!K1157*365</f>
        <v>24945947.941803481</v>
      </c>
    </row>
    <row r="1594" spans="4:16">
      <c r="D1594" s="8" t="s">
        <v>481</v>
      </c>
      <c r="E1594" s="49">
        <f ca="1">'Parameter Inputs'!N1174</f>
        <v>1894.0816004949836</v>
      </c>
      <c r="K1594" s="8" t="s">
        <v>1310</v>
      </c>
      <c r="L1594" s="49">
        <f>'Parameter Inputs'!E1207</f>
        <v>0</v>
      </c>
      <c r="M1594" s="91"/>
      <c r="O1594" s="310" t="s">
        <v>1377</v>
      </c>
      <c r="P1594" s="49">
        <f ca="1">'Parameter Inputs'!L1024*365</f>
        <v>2366075.1573749939</v>
      </c>
    </row>
    <row r="1595" spans="4:16">
      <c r="D1595" s="8" t="s">
        <v>482</v>
      </c>
      <c r="E1595" s="49">
        <f ca="1">'Parameter Inputs'!E1594*'Parameter Inputs'!E11</f>
        <v>691339.784180669</v>
      </c>
      <c r="K1595" s="8" t="s">
        <v>1222</v>
      </c>
      <c r="L1595" s="49">
        <f ca="1">'Parameter Inputs'!E1209</f>
        <v>6933958.3308824115</v>
      </c>
      <c r="M1595" s="91"/>
      <c r="O1595" s="310" t="s">
        <v>1200</v>
      </c>
      <c r="P1595" s="8">
        <v>0</v>
      </c>
    </row>
    <row r="1596" spans="4:16">
      <c r="D1596" s="8" t="s">
        <v>483</v>
      </c>
      <c r="E1596" s="49">
        <f ca="1">(E1594*'Parameter Inputs'!E11)/1000</f>
        <v>691.33978418066897</v>
      </c>
      <c r="K1596" s="8" t="s">
        <v>1223</v>
      </c>
      <c r="L1596" s="49" cm="1">
        <f t="array" aca="1" ref="L1596" ca="1">_xlfn.IFS('Parameter Inputs'!E13='Parameter Inputs'!AJ19,L1595*'Parameter Inputs'!E142,'Parameter Inputs'!E13='Parameter Inputs'!AJ20,L1595*'Parameter Inputs'!E171)</f>
        <v>1435329.374492659</v>
      </c>
      <c r="M1596" s="91"/>
      <c r="O1596" s="310" t="s">
        <v>1201</v>
      </c>
      <c r="P1596" s="285">
        <f ca="1">'Parameter Inputs'!K1157/('Parameter Inputs'!K1157+'Parameter Inputs'!K1158)</f>
        <v>0.99532710280373848</v>
      </c>
    </row>
    <row r="1597" spans="4:16">
      <c r="D1597" s="8" t="s">
        <v>989</v>
      </c>
      <c r="E1597" s="49">
        <f ca="1">E1596*'Parameter Inputs'!F700</f>
        <v>642.94599928802222</v>
      </c>
      <c r="K1597" s="8" t="s">
        <v>1305</v>
      </c>
      <c r="L1597" s="49">
        <f ca="1">'Parameter Inputs'!E1182*'Parameter Inputs'!E1213</f>
        <v>0</v>
      </c>
      <c r="M1597" s="91"/>
      <c r="O1597" s="310" t="s">
        <v>1202</v>
      </c>
      <c r="P1597" s="284">
        <f ca="1">('Parameter Inputs'!L904+'Parameter Inputs'!L898)/('Parameter Inputs'!L898+'Parameter Inputs'!L904)</f>
        <v>1</v>
      </c>
    </row>
    <row r="1598" spans="4:16">
      <c r="D1598" s="8" t="s">
        <v>289</v>
      </c>
      <c r="E1598" s="61" t="s">
        <v>156</v>
      </c>
      <c r="K1598" s="8" t="s">
        <v>1306</v>
      </c>
      <c r="L1598" s="8">
        <f ca="1">'Parameter Inputs'!E1182*'Parameter Inputs'!E1214</f>
        <v>0</v>
      </c>
      <c r="M1598" s="91"/>
      <c r="O1598" s="310" t="s">
        <v>1203</v>
      </c>
      <c r="P1598" s="299">
        <f ca="1">1-P1596</f>
        <v>4.6728971962615162E-3</v>
      </c>
    </row>
    <row r="1599" spans="4:16">
      <c r="D1599" s="8"/>
      <c r="E1599" s="8"/>
      <c r="K1599" s="8" t="s">
        <v>1307</v>
      </c>
      <c r="L1599" s="49">
        <f ca="1">L1598+L1597</f>
        <v>0</v>
      </c>
      <c r="O1599" s="310" t="s">
        <v>1380</v>
      </c>
      <c r="P1599" s="299">
        <f ca="1">(P1592+P1593+P1594)/(P1588+P1589+P1590+P1592+P1593+P1594)</f>
        <v>0.99309800348596922</v>
      </c>
    </row>
    <row r="1600" spans="4:16">
      <c r="D1600" s="8" t="s">
        <v>1385</v>
      </c>
      <c r="E1600" s="8"/>
      <c r="K1600" s="8" t="s">
        <v>1236</v>
      </c>
      <c r="L1600" s="284">
        <f ca="1">((L1593+L1596)-L1597)/(L1592-L1599)</f>
        <v>0.20699999999999996</v>
      </c>
      <c r="O1600" s="307" t="s">
        <v>1692</v>
      </c>
      <c r="P1600" s="8"/>
    </row>
    <row r="1601" spans="4:17">
      <c r="D1601" s="8" t="s">
        <v>1228</v>
      </c>
      <c r="E1601" s="284">
        <f ca="1">'Parameter Inputs'!E1212</f>
        <v>0</v>
      </c>
      <c r="K1601" s="8" t="s">
        <v>1237</v>
      </c>
      <c r="L1601" s="8"/>
      <c r="O1601" s="310" t="s">
        <v>1355</v>
      </c>
      <c r="P1601" s="49">
        <f ca="1">'Parameter Inputs'!L1029</f>
        <v>18801.404287306988</v>
      </c>
    </row>
    <row r="1602" spans="4:17">
      <c r="D1602" s="8" t="s">
        <v>1273</v>
      </c>
      <c r="E1602" s="284">
        <f>'Parameter Inputs'!E1215</f>
        <v>0</v>
      </c>
      <c r="K1602" s="8" t="s">
        <v>1238</v>
      </c>
      <c r="L1602" s="49">
        <f ca="1">'Parameter Inputs'!E1229+'Parameter Inputs'!E1234</f>
        <v>14734743.571849586</v>
      </c>
      <c r="O1602" s="310" t="s">
        <v>1354</v>
      </c>
      <c r="P1602" s="49">
        <f ca="1">'Parameter Inputs'!N1174</f>
        <v>1894.0816004949836</v>
      </c>
    </row>
    <row r="1603" spans="4:17">
      <c r="D1603" s="8" t="s">
        <v>1229</v>
      </c>
      <c r="E1603" s="284">
        <f ca="1">'Parameter Inputs'!E1217</f>
        <v>1</v>
      </c>
      <c r="K1603" s="8" t="s">
        <v>1314</v>
      </c>
      <c r="L1603" s="49">
        <f ca="1">'Parameter Inputs'!E1229</f>
        <v>12967894.342601303</v>
      </c>
      <c r="O1603" s="310" t="s">
        <v>1353</v>
      </c>
      <c r="P1603" s="49">
        <f ca="1">'Parameter Inputs'!E1507+'Parameter Inputs'!E1522+'Parameter Inputs'!E1517+'Parameter Inputs'!K1076+'Parameter Inputs'!K1073</f>
        <v>63536.953183393911</v>
      </c>
    </row>
    <row r="1604" spans="4:17">
      <c r="D1604" s="8" t="s">
        <v>1414</v>
      </c>
      <c r="E1604" s="167">
        <f ca="1">'Parameter Inputs'!E1240</f>
        <v>0.8800895841428954</v>
      </c>
      <c r="K1604" s="8" t="s">
        <v>1239</v>
      </c>
      <c r="L1604" s="49">
        <f ca="1">L1602-L1603</f>
        <v>1766849.2292482834</v>
      </c>
      <c r="O1604" s="310" t="s">
        <v>1204</v>
      </c>
      <c r="P1604" s="285">
        <f>'Parameter Inputs'!F1468+'Parameter Inputs'!F1469</f>
        <v>0.99839005258019764</v>
      </c>
    </row>
    <row r="1605" spans="4:17">
      <c r="D1605" s="8" t="s">
        <v>1415</v>
      </c>
      <c r="E1605" s="167">
        <f ca="1">'Parameter Inputs'!E1241</f>
        <v>0.1199104158571046</v>
      </c>
      <c r="K1605" s="8" t="s">
        <v>1240</v>
      </c>
      <c r="L1605" s="49">
        <f ca="1">'Parameter Inputs'!E1194*'Parameter Inputs'!E1237</f>
        <v>0</v>
      </c>
      <c r="O1605" s="310" t="s">
        <v>1219</v>
      </c>
      <c r="P1605" s="167">
        <f>'Parameter Inputs'!F1457</f>
        <v>0.4286411450056532</v>
      </c>
    </row>
    <row r="1606" spans="4:17">
      <c r="D1606" s="8" t="s">
        <v>1233</v>
      </c>
      <c r="E1606" s="284">
        <f ca="1">'Parameter Inputs'!E1213</f>
        <v>0</v>
      </c>
      <c r="K1606" s="8" t="s">
        <v>1311</v>
      </c>
      <c r="L1606" s="49">
        <f ca="1">IF('Parameter Inputs'!E1234-'Parameter Inputs'!E1229&lt;0,0,'Parameter Inputs'!E1234-'Parameter Inputs'!E1229)</f>
        <v>0</v>
      </c>
      <c r="O1606" s="310" t="s">
        <v>1251</v>
      </c>
      <c r="P1606" s="167">
        <f>'Parameter Inputs'!F1457</f>
        <v>0.4286411450056532</v>
      </c>
    </row>
    <row r="1607" spans="4:17">
      <c r="D1607" s="8" t="s">
        <v>1304</v>
      </c>
      <c r="E1607" s="284">
        <f ca="1">'Parameter Inputs'!E1214</f>
        <v>0</v>
      </c>
      <c r="K1607" s="8" t="s">
        <v>1237</v>
      </c>
      <c r="L1607" s="285">
        <f ca="1">(L1603-L1605)/(L1602-L1606-L1605)</f>
        <v>0.8800895841428954</v>
      </c>
      <c r="O1607" s="310" t="s">
        <v>1252</v>
      </c>
      <c r="P1607" s="167">
        <f>'Parameter Inputs'!F1455+'Parameter Inputs'!F1456</f>
        <v>0.5713588549943468</v>
      </c>
    </row>
    <row r="1608" spans="4:17">
      <c r="D1608" s="8" t="s">
        <v>1235</v>
      </c>
      <c r="E1608" s="284">
        <f ca="1">'Parameter Inputs'!E1216</f>
        <v>1</v>
      </c>
      <c r="K1608" s="8" t="s">
        <v>1241</v>
      </c>
      <c r="L1608" s="284">
        <f ca="1">((L1600*L1592)+(L1602*L1607))/(L1592+L1602)</f>
        <v>0.66470173348399775</v>
      </c>
      <c r="O1608" s="310" t="s">
        <v>1688</v>
      </c>
      <c r="P1608" s="284">
        <f ca="1">((P1604*P1601)+(P1605*P1602))/(P1601+P1602+P1603)</f>
        <v>0.23248782223205139</v>
      </c>
    </row>
    <row r="1609" spans="4:17">
      <c r="D1609" s="13" t="s">
        <v>1416</v>
      </c>
      <c r="E1609" s="289">
        <f ca="1">'Parameter Inputs'!E1237</f>
        <v>0</v>
      </c>
      <c r="L1609" s="113"/>
      <c r="O1609" s="8"/>
      <c r="P1609" s="8"/>
    </row>
    <row r="1610" spans="4:17">
      <c r="D1610" s="8" t="s">
        <v>1417</v>
      </c>
      <c r="E1610" s="167">
        <f ca="1">'Parameter Inputs'!E1238</f>
        <v>1</v>
      </c>
      <c r="L1610" s="113"/>
      <c r="O1610" s="310" t="s">
        <v>1693</v>
      </c>
      <c r="P1610" s="8"/>
    </row>
    <row r="1611" spans="4:17">
      <c r="L1611" s="113"/>
      <c r="O1611" s="310" t="s">
        <v>629</v>
      </c>
      <c r="P1611" s="8"/>
    </row>
    <row r="1612" spans="4:17" ht="30" customHeight="1">
      <c r="L1612" s="113"/>
      <c r="O1612" s="310" t="s">
        <v>903</v>
      </c>
      <c r="P1612" s="285">
        <f ca="1">('Parameter Inputs'!H1117*2)/('Parameter Inputs'!H1071+('Parameter Inputs'!E1136))</f>
        <v>0.30445937478256774</v>
      </c>
    </row>
    <row r="1613" spans="4:17">
      <c r="D1613" s="8" t="s">
        <v>974</v>
      </c>
      <c r="E1613" s="8">
        <f ca="1">(E1580*1000)/E1596</f>
        <v>9933628.3784408588</v>
      </c>
      <c r="F1613" s="8"/>
      <c r="L1613" s="113"/>
      <c r="O1613" s="8" t="s">
        <v>1694</v>
      </c>
      <c r="P1613" s="8"/>
    </row>
    <row r="1614" spans="4:17">
      <c r="D1614" s="8" t="s">
        <v>976</v>
      </c>
      <c r="E1614" s="47">
        <f ca="1">(E1582*1000)/E1596</f>
        <v>19764850.379995801</v>
      </c>
      <c r="F1614" s="8"/>
      <c r="L1614" s="113"/>
      <c r="O1614" s="310" t="s">
        <v>1378</v>
      </c>
      <c r="P1614" s="49">
        <f ca="1">'Parameter Inputs'!J1573*'Parameter Inputs'!E1595</f>
        <v>4128860.2095944486</v>
      </c>
    </row>
    <row r="1615" spans="4:17">
      <c r="D1615" s="8"/>
      <c r="E1615" s="8"/>
      <c r="F1615" s="8"/>
      <c r="L1615" s="113"/>
      <c r="O1615" s="310" t="s">
        <v>1379</v>
      </c>
      <c r="P1615" s="8">
        <f ca="1">P1614/(P1592+P1593+P1594+P1588+P1589+P1590)</f>
        <v>7.6433963750038969E-2</v>
      </c>
    </row>
    <row r="1616" spans="4:17">
      <c r="D1616" s="8" t="s">
        <v>1411</v>
      </c>
      <c r="E1616" s="8" t="s">
        <v>1412</v>
      </c>
      <c r="F1616" s="8" t="s">
        <v>1413</v>
      </c>
      <c r="L1616" s="113"/>
      <c r="O1616" s="310" t="s">
        <v>1382</v>
      </c>
      <c r="P1616" s="49">
        <f ca="1">P1615*(P1588+P1589+P1590)</f>
        <v>28497.378773541372</v>
      </c>
      <c r="Q1616" s="91"/>
    </row>
    <row r="1617" spans="4:42">
      <c r="D1617" s="8" t="s">
        <v>1151</v>
      </c>
      <c r="E1617" s="8"/>
      <c r="F1617" s="8"/>
      <c r="L1617" s="113"/>
      <c r="O1617" s="310" t="s">
        <v>1381</v>
      </c>
      <c r="P1617" s="49">
        <f ca="1">P1615*(P1592+P1593+P1594)</f>
        <v>4100362.8308209069</v>
      </c>
    </row>
    <row r="1618" spans="4:42">
      <c r="D1618" s="8" t="s">
        <v>757</v>
      </c>
      <c r="E1618" s="49">
        <f ca="1">'Parameter Inputs'!L898</f>
        <v>72147.394848568947</v>
      </c>
      <c r="F1618" s="49">
        <f ca="1">E1618*365</f>
        <v>26333799.119727667</v>
      </c>
      <c r="L1618" s="113"/>
      <c r="O1618" s="310" t="s">
        <v>1383</v>
      </c>
      <c r="P1618" s="284">
        <f ca="1">P1617/P1614</f>
        <v>0.99309800348596911</v>
      </c>
    </row>
    <row r="1619" spans="4:42">
      <c r="D1619" s="8" t="s">
        <v>758</v>
      </c>
      <c r="E1619" s="49">
        <f ca="1">'Parameter Inputs'!L899</f>
        <v>49252.62736317941</v>
      </c>
      <c r="F1619" s="49">
        <f ca="1">E1619*365</f>
        <v>17977208.987560485</v>
      </c>
      <c r="L1619" s="113"/>
      <c r="O1619" s="310" t="s">
        <v>1384</v>
      </c>
      <c r="P1619" s="306">
        <f ca="1">P1617/(P1588+P1589+P1590)</f>
        <v>10.997747774049932</v>
      </c>
    </row>
    <row r="1620" spans="4:42" ht="29">
      <c r="D1620" s="8" t="s">
        <v>759</v>
      </c>
      <c r="E1620" s="49">
        <f ca="1">'Parameter Inputs'!L900</f>
        <v>1247696.5896061466</v>
      </c>
      <c r="F1620" s="49">
        <f ca="1">E1620*365</f>
        <v>455409255.20624352</v>
      </c>
      <c r="L1620" s="113"/>
      <c r="O1620" s="311" t="s">
        <v>1496</v>
      </c>
      <c r="P1620" s="49">
        <f ca="1">'Parameter Inputs'!H1117*2</f>
        <v>409.52294533443421</v>
      </c>
    </row>
    <row r="1621" spans="4:42">
      <c r="D1621" s="8" t="s">
        <v>800</v>
      </c>
      <c r="E1621" s="49">
        <f ca="1">'Parameter Inputs'!L901</f>
        <v>1247.6965896061465</v>
      </c>
      <c r="F1621" s="49">
        <f ca="1">E1621*365</f>
        <v>455409.25520624348</v>
      </c>
      <c r="L1621" s="113"/>
      <c r="O1621" s="311" t="s">
        <v>1498</v>
      </c>
      <c r="P1621" s="49">
        <f ca="1">('Parameter Inputs'!H1071+('Parameter Inputs'!E1136))</f>
        <v>1345.082396056612</v>
      </c>
    </row>
    <row r="1622" spans="4:42" ht="43.5">
      <c r="D1622" s="8"/>
      <c r="E1622" s="49"/>
      <c r="F1622" s="49"/>
      <c r="L1622" s="113"/>
      <c r="O1622" s="311" t="s">
        <v>1497</v>
      </c>
      <c r="P1622" s="299">
        <f ca="1">P1612</f>
        <v>0.30445937478256774</v>
      </c>
    </row>
    <row r="1623" spans="4:42">
      <c r="D1623" s="8" t="s">
        <v>1003</v>
      </c>
      <c r="E1623" s="49"/>
      <c r="F1623" s="49"/>
      <c r="L1623" s="113"/>
      <c r="P1623" s="113"/>
    </row>
    <row r="1624" spans="4:42">
      <c r="D1624" s="8" t="s">
        <v>1004</v>
      </c>
      <c r="E1624" s="49">
        <f ca="1">'Parameter Inputs'!L904</f>
        <v>12081.05209735001</v>
      </c>
      <c r="F1624" s="49">
        <f t="shared" ref="F1624:F1630" ca="1" si="56">E1624*365</f>
        <v>4409584.0155327534</v>
      </c>
      <c r="L1624" s="113"/>
      <c r="P1624" s="113"/>
    </row>
    <row r="1625" spans="4:42">
      <c r="D1625" s="8" t="s">
        <v>1005</v>
      </c>
      <c r="E1625" s="49">
        <f ca="1">'Parameter Inputs'!L905</f>
        <v>10301.151289518451</v>
      </c>
      <c r="F1625" s="49">
        <f t="shared" ca="1" si="56"/>
        <v>3759920.2206742349</v>
      </c>
      <c r="L1625" s="113"/>
      <c r="P1625" s="113"/>
    </row>
    <row r="1626" spans="4:42">
      <c r="D1626" s="8" t="s">
        <v>1006</v>
      </c>
      <c r="E1626" s="49">
        <f ca="1">'Parameter Inputs'!L906</f>
        <v>25283.801978745334</v>
      </c>
      <c r="F1626" s="49">
        <f t="shared" ca="1" si="56"/>
        <v>9228587.7222420461</v>
      </c>
      <c r="L1626" s="113"/>
      <c r="P1626" s="113"/>
    </row>
    <row r="1627" spans="4:42">
      <c r="D1627" s="8" t="s">
        <v>1007</v>
      </c>
      <c r="E1627" s="49">
        <f ca="1">'Parameter Inputs'!L907</f>
        <v>25.283801978745334</v>
      </c>
      <c r="F1627" s="49">
        <f t="shared" ca="1" si="56"/>
        <v>9228.5877222420477</v>
      </c>
      <c r="L1627" s="113"/>
      <c r="P1627" s="113"/>
    </row>
    <row r="1628" spans="4:42">
      <c r="D1628" s="8" t="s">
        <v>1173</v>
      </c>
      <c r="E1628" s="49">
        <f ca="1">'Parameter Inputs'!L908</f>
        <v>318.85463567017075</v>
      </c>
      <c r="F1628" s="49">
        <f t="shared" ca="1" si="56"/>
        <v>116381.94201961232</v>
      </c>
      <c r="L1628" s="113"/>
      <c r="P1628" s="113"/>
    </row>
    <row r="1629" spans="4:42">
      <c r="D1629" s="8" t="s">
        <v>1178</v>
      </c>
      <c r="E1629" s="49">
        <f ca="1">'Parameter Inputs'!L909</f>
        <v>116381.94201961232</v>
      </c>
      <c r="F1629" s="49">
        <f t="shared" ca="1" si="56"/>
        <v>42479408.837158501</v>
      </c>
      <c r="L1629" s="113"/>
      <c r="P1629" s="113"/>
    </row>
    <row r="1630" spans="4:42">
      <c r="D1630" s="8" t="s">
        <v>61</v>
      </c>
      <c r="E1630" s="49">
        <f ca="1">'Parameter Inputs'!L1023</f>
        <v>6260.5246962048404</v>
      </c>
      <c r="F1630" s="49">
        <f t="shared" ca="1" si="56"/>
        <v>2285091.5141147668</v>
      </c>
      <c r="L1630" s="113"/>
      <c r="P1630" s="113"/>
    </row>
    <row r="1632" spans="4:42">
      <c r="E1632" s="8" t="s">
        <v>1707</v>
      </c>
      <c r="F1632" s="8" t="s">
        <v>995</v>
      </c>
      <c r="G1632" s="8" t="s">
        <v>1298</v>
      </c>
      <c r="H1632" s="111" t="s">
        <v>1299</v>
      </c>
      <c r="I1632" s="111" t="s">
        <v>1300</v>
      </c>
      <c r="J1632" s="8" t="s">
        <v>1194</v>
      </c>
      <c r="K1632" s="21" t="s">
        <v>1434</v>
      </c>
      <c r="L1632" s="21" t="s">
        <v>1433</v>
      </c>
      <c r="M1632" s="8" t="s">
        <v>1301</v>
      </c>
      <c r="N1632" s="111" t="s">
        <v>1302</v>
      </c>
      <c r="O1632" s="21" t="s">
        <v>1432</v>
      </c>
      <c r="P1632" s="21" t="s">
        <v>1431</v>
      </c>
      <c r="Q1632" s="3" t="s">
        <v>1297</v>
      </c>
      <c r="R1632" s="21" t="s">
        <v>1430</v>
      </c>
      <c r="S1632" s="21" t="s">
        <v>1429</v>
      </c>
      <c r="T1632" s="21" t="s">
        <v>1428</v>
      </c>
      <c r="U1632" s="21" t="s">
        <v>1427</v>
      </c>
      <c r="V1632" s="8" t="s">
        <v>998</v>
      </c>
      <c r="Y1632" s="8" t="s">
        <v>1709</v>
      </c>
      <c r="Z1632" s="8" t="s">
        <v>1013</v>
      </c>
      <c r="AA1632" s="8" t="s">
        <v>1402</v>
      </c>
      <c r="AB1632" s="111" t="s">
        <v>1403</v>
      </c>
      <c r="AC1632" s="111" t="s">
        <v>1404</v>
      </c>
      <c r="AD1632" s="8" t="s">
        <v>1405</v>
      </c>
      <c r="AE1632" s="21" t="s">
        <v>1708</v>
      </c>
      <c r="AF1632" s="21" t="s">
        <v>1433</v>
      </c>
      <c r="AG1632" s="8" t="s">
        <v>1408</v>
      </c>
      <c r="AH1632" s="111" t="s">
        <v>1409</v>
      </c>
      <c r="AI1632" s="21" t="s">
        <v>1432</v>
      </c>
      <c r="AJ1632" s="21" t="s">
        <v>1431</v>
      </c>
      <c r="AK1632" s="8" t="s">
        <v>1407</v>
      </c>
      <c r="AL1632" s="21" t="s">
        <v>1430</v>
      </c>
      <c r="AM1632" s="21" t="s">
        <v>1429</v>
      </c>
      <c r="AN1632" s="21" t="s">
        <v>1428</v>
      </c>
      <c r="AO1632" s="21" t="s">
        <v>1427</v>
      </c>
      <c r="AP1632" s="8" t="s">
        <v>1406</v>
      </c>
    </row>
    <row r="1633" spans="4:42">
      <c r="D1633" s="8" t="s">
        <v>172</v>
      </c>
      <c r="E1633" s="17">
        <f ca="1">$E1584*'Parameter Inputs'!E735</f>
        <v>0</v>
      </c>
      <c r="F1633" s="50">
        <f ca="1">$E$1584*'Parameter Inputs'!F735</f>
        <v>0</v>
      </c>
      <c r="G1633" s="50">
        <f ca="1">$E$1584*'Parameter Inputs'!G735</f>
        <v>0</v>
      </c>
      <c r="H1633" s="50">
        <f ca="1">$E$1584*'Parameter Inputs'!H735</f>
        <v>0</v>
      </c>
      <c r="I1633" s="50">
        <f ca="1">$E$1584*'Parameter Inputs'!I735</f>
        <v>0</v>
      </c>
      <c r="J1633" s="50">
        <f ca="1">$E$1584*'Parameter Inputs'!J735</f>
        <v>0</v>
      </c>
      <c r="K1633" s="50">
        <f ca="1">$E$1584*'Parameter Inputs'!K735</f>
        <v>0</v>
      </c>
      <c r="L1633" s="50">
        <f ca="1">$E$1584*'Parameter Inputs'!L735</f>
        <v>0</v>
      </c>
      <c r="M1633" s="50">
        <f ca="1">$E$1584*'Parameter Inputs'!M735</f>
        <v>0</v>
      </c>
      <c r="N1633" s="50">
        <f ca="1">$E$1584*'Parameter Inputs'!N735</f>
        <v>0</v>
      </c>
      <c r="O1633" s="50">
        <f ca="1">$E$1584*'Parameter Inputs'!O735</f>
        <v>0</v>
      </c>
      <c r="P1633" s="50">
        <f ca="1">$E$1584*'Parameter Inputs'!P735</f>
        <v>0</v>
      </c>
      <c r="Q1633" s="50">
        <f ca="1">$E$1584*'Parameter Inputs'!Q735</f>
        <v>0</v>
      </c>
      <c r="R1633" s="50">
        <f ca="1">$E$1584*'Parameter Inputs'!R735</f>
        <v>0</v>
      </c>
      <c r="S1633" s="50">
        <f ca="1">$E$1584*'Parameter Inputs'!S735</f>
        <v>0</v>
      </c>
      <c r="T1633" s="50">
        <f ca="1">$E$1584*'Parameter Inputs'!T735</f>
        <v>0</v>
      </c>
      <c r="U1633" s="50">
        <f ca="1">$E$1584*'Parameter Inputs'!U735</f>
        <v>0</v>
      </c>
      <c r="V1633" s="50">
        <f ca="1">$E$1584*'Parameter Inputs'!V735</f>
        <v>0</v>
      </c>
      <c r="Y1633" s="50">
        <f ca="1">E1633/((('Parameter Inputs'!$L987+'Parameter Inputs'!$L988)*365)/1000)</f>
        <v>0</v>
      </c>
      <c r="Z1633" s="50">
        <f ca="1">F1633/((('Parameter Inputs'!$L987+'Parameter Inputs'!$L988)*365)/1000)</f>
        <v>0</v>
      </c>
      <c r="AA1633" s="50">
        <f ca="1">G1633/((('Parameter Inputs'!$L987+'Parameter Inputs'!$L988)*365)/1000)</f>
        <v>0</v>
      </c>
      <c r="AB1633" s="50">
        <f ca="1">H1633/((('Parameter Inputs'!$L987+'Parameter Inputs'!$L988)*365)/1000)</f>
        <v>0</v>
      </c>
      <c r="AC1633" s="50">
        <f ca="1">I1633/((('Parameter Inputs'!$L987+'Parameter Inputs'!$L988)*365)/1000)</f>
        <v>0</v>
      </c>
      <c r="AD1633" s="50">
        <f ca="1">J1633/((('Parameter Inputs'!$L987+'Parameter Inputs'!$L988)*365)/1000)</f>
        <v>0</v>
      </c>
      <c r="AE1633" s="50">
        <f ca="1">K1633/((('Parameter Inputs'!$L987+'Parameter Inputs'!$L988)*365)/1000)</f>
        <v>0</v>
      </c>
      <c r="AF1633" s="50">
        <f ca="1">L1633/((('Parameter Inputs'!$L987+'Parameter Inputs'!$L988)*365)/1000)</f>
        <v>0</v>
      </c>
      <c r="AG1633" s="50">
        <f ca="1">M1633/((('Parameter Inputs'!$L987+'Parameter Inputs'!$L988)*365)/1000)</f>
        <v>0</v>
      </c>
      <c r="AH1633" s="50">
        <f ca="1">N1633/((('Parameter Inputs'!$L987+'Parameter Inputs'!$L988)*365)/1000)</f>
        <v>0</v>
      </c>
      <c r="AI1633" s="50">
        <f ca="1">O1633/((('Parameter Inputs'!$L987+'Parameter Inputs'!$L988)*365)/1000)</f>
        <v>0</v>
      </c>
      <c r="AJ1633" s="50">
        <f ca="1">P1633/((('Parameter Inputs'!$L987+'Parameter Inputs'!$L988)*365)/1000)</f>
        <v>0</v>
      </c>
      <c r="AK1633" s="50">
        <f ca="1">Q1633/((('Parameter Inputs'!$L987+'Parameter Inputs'!$L988)*365)/1000)</f>
        <v>0</v>
      </c>
      <c r="AL1633" s="50">
        <f ca="1">R1633/((('Parameter Inputs'!$L987+'Parameter Inputs'!$L988)*365)/1000)</f>
        <v>0</v>
      </c>
      <c r="AM1633" s="50">
        <f ca="1">S1633/((('Parameter Inputs'!$L987+'Parameter Inputs'!$L988)*365)/1000)</f>
        <v>0</v>
      </c>
      <c r="AN1633" s="50">
        <f ca="1">T1633/((('Parameter Inputs'!$L987+'Parameter Inputs'!$L988)*365)/1000)</f>
        <v>0</v>
      </c>
      <c r="AO1633" s="50">
        <f ca="1">U1633/((('Parameter Inputs'!$L987+'Parameter Inputs'!$L988)*365)/1000)</f>
        <v>0</v>
      </c>
      <c r="AP1633" s="50">
        <f ca="1">V1633/((('Parameter Inputs'!$L987+'Parameter Inputs'!$L988)*365)/1000)</f>
        <v>0</v>
      </c>
    </row>
    <row r="1634" spans="4:42">
      <c r="D1634" s="8" t="s">
        <v>646</v>
      </c>
      <c r="E1634" s="17">
        <f ca="1">$E1586*'Parameter Inputs'!E737</f>
        <v>0</v>
      </c>
      <c r="F1634" s="50">
        <f ca="1">$E$1586*'Parameter Inputs'!F737</f>
        <v>0</v>
      </c>
      <c r="G1634" s="50">
        <f ca="1">$E$1586*'Parameter Inputs'!G737</f>
        <v>0</v>
      </c>
      <c r="H1634" s="50">
        <f ca="1">$E$1586*'Parameter Inputs'!H737</f>
        <v>0</v>
      </c>
      <c r="I1634" s="50">
        <f ca="1">$E$1586*'Parameter Inputs'!I737</f>
        <v>0</v>
      </c>
      <c r="J1634" s="50">
        <f ca="1">$E$1586*'Parameter Inputs'!J737</f>
        <v>0</v>
      </c>
      <c r="K1634" s="50">
        <f ca="1">$E$1586*'Parameter Inputs'!K737</f>
        <v>0</v>
      </c>
      <c r="L1634" s="50">
        <f ca="1">$E$1586*'Parameter Inputs'!L737</f>
        <v>0</v>
      </c>
      <c r="M1634" s="50">
        <f ca="1">$E$1586*'Parameter Inputs'!M737</f>
        <v>0</v>
      </c>
      <c r="N1634" s="50">
        <f ca="1">$E$1586*'Parameter Inputs'!N737</f>
        <v>0</v>
      </c>
      <c r="O1634" s="50">
        <f ca="1">$E$1586*'Parameter Inputs'!O737</f>
        <v>0</v>
      </c>
      <c r="P1634" s="50">
        <f ca="1">$E$1586*'Parameter Inputs'!P737</f>
        <v>0</v>
      </c>
      <c r="Q1634" s="50">
        <f ca="1">$E$1586*'Parameter Inputs'!Q737</f>
        <v>0</v>
      </c>
      <c r="R1634" s="50">
        <f ca="1">$E$1586*'Parameter Inputs'!R737</f>
        <v>0</v>
      </c>
      <c r="S1634" s="50">
        <f ca="1">$E$1586*'Parameter Inputs'!S737</f>
        <v>0</v>
      </c>
      <c r="T1634" s="50">
        <f ca="1">$E$1586*'Parameter Inputs'!T737</f>
        <v>0</v>
      </c>
      <c r="U1634" s="50">
        <f ca="1">$E$1586*'Parameter Inputs'!U737</f>
        <v>0</v>
      </c>
      <c r="V1634" s="50">
        <f ca="1">$E$1586*'Parameter Inputs'!V737</f>
        <v>0</v>
      </c>
      <c r="Y1634" s="50">
        <f ca="1">E1634/((('Parameter Inputs'!$L987+'Parameter Inputs'!$L988)*365)/1000)</f>
        <v>0</v>
      </c>
      <c r="Z1634" s="50">
        <f ca="1">F1634/((('Parameter Inputs'!$L987+'Parameter Inputs'!$L988)*365)/1000)</f>
        <v>0</v>
      </c>
      <c r="AA1634" s="50">
        <f ca="1">G1634/((('Parameter Inputs'!$L987+'Parameter Inputs'!$L988)*365)/1000)</f>
        <v>0</v>
      </c>
      <c r="AB1634" s="50">
        <f ca="1">H1634/((('Parameter Inputs'!$L987+'Parameter Inputs'!$L988)*365)/1000)</f>
        <v>0</v>
      </c>
      <c r="AC1634" s="50">
        <f ca="1">I1634/((('Parameter Inputs'!$L987+'Parameter Inputs'!$L988)*365)/1000)</f>
        <v>0</v>
      </c>
      <c r="AD1634" s="50">
        <f ca="1">J1634/((('Parameter Inputs'!$L987+'Parameter Inputs'!$L988)*365)/1000)</f>
        <v>0</v>
      </c>
      <c r="AE1634" s="50">
        <f ca="1">K1634/((('Parameter Inputs'!$L987+'Parameter Inputs'!$L988)*365)/1000)</f>
        <v>0</v>
      </c>
      <c r="AF1634" s="50">
        <f ca="1">L1634/((('Parameter Inputs'!$L987+'Parameter Inputs'!$L988)*365)/1000)</f>
        <v>0</v>
      </c>
      <c r="AG1634" s="50">
        <f ca="1">M1634/((('Parameter Inputs'!$L987+'Parameter Inputs'!$L988)*365)/1000)</f>
        <v>0</v>
      </c>
      <c r="AH1634" s="50">
        <f ca="1">N1634/((('Parameter Inputs'!$L987+'Parameter Inputs'!$L988)*365)/1000)</f>
        <v>0</v>
      </c>
      <c r="AI1634" s="50">
        <f ca="1">O1634/((('Parameter Inputs'!$L987+'Parameter Inputs'!$L988)*365)/1000)</f>
        <v>0</v>
      </c>
      <c r="AJ1634" s="50">
        <f ca="1">P1634/((('Parameter Inputs'!$L987+'Parameter Inputs'!$L988)*365)/1000)</f>
        <v>0</v>
      </c>
      <c r="AK1634" s="50">
        <f ca="1">Q1634/((('Parameter Inputs'!$L987+'Parameter Inputs'!$L988)*365)/1000)</f>
        <v>0</v>
      </c>
      <c r="AL1634" s="50">
        <f ca="1">R1634/((('Parameter Inputs'!$L987+'Parameter Inputs'!$L988)*365)/1000)</f>
        <v>0</v>
      </c>
      <c r="AM1634" s="50">
        <f ca="1">S1634/((('Parameter Inputs'!$L987+'Parameter Inputs'!$L988)*365)/1000)</f>
        <v>0</v>
      </c>
      <c r="AN1634" s="50">
        <f ca="1">T1634/((('Parameter Inputs'!$L987+'Parameter Inputs'!$L988)*365)/1000)</f>
        <v>0</v>
      </c>
      <c r="AO1634" s="50">
        <f ca="1">U1634/((('Parameter Inputs'!$L987+'Parameter Inputs'!$L988)*365)/1000)</f>
        <v>0</v>
      </c>
      <c r="AP1634" s="50">
        <f ca="1">V1634/((('Parameter Inputs'!$L987+'Parameter Inputs'!$L988)*365)/1000)</f>
        <v>0</v>
      </c>
    </row>
    <row r="1635" spans="4:42">
      <c r="D1635" s="8" t="s">
        <v>647</v>
      </c>
      <c r="E1635" s="17"/>
      <c r="F1635" s="50"/>
      <c r="G1635" s="50"/>
      <c r="H1635" s="50"/>
      <c r="I1635" s="50"/>
      <c r="J1635" s="50"/>
      <c r="K1635" s="8"/>
      <c r="L1635" s="8"/>
      <c r="M1635" s="50"/>
      <c r="N1635" s="50"/>
      <c r="O1635" s="8"/>
      <c r="P1635" s="8"/>
      <c r="Q1635" s="50"/>
      <c r="R1635" s="8"/>
      <c r="S1635" s="8"/>
      <c r="T1635" s="8"/>
      <c r="U1635" s="8"/>
      <c r="V1635" s="50"/>
      <c r="Y1635" s="50">
        <f ca="1">E1635/((('Parameter Inputs'!$L987+'Parameter Inputs'!$L988)*365)/1000)</f>
        <v>0</v>
      </c>
      <c r="Z1635" s="50">
        <f ca="1">F1635/((('Parameter Inputs'!$L987+'Parameter Inputs'!$L988)*365)/1000)</f>
        <v>0</v>
      </c>
      <c r="AA1635" s="50">
        <f ca="1">G1635/((('Parameter Inputs'!$L987+'Parameter Inputs'!$L988)*365)/1000)</f>
        <v>0</v>
      </c>
      <c r="AB1635" s="50">
        <f ca="1">H1635/((('Parameter Inputs'!$L987+'Parameter Inputs'!$L988)*365)/1000)</f>
        <v>0</v>
      </c>
      <c r="AC1635" s="50">
        <f ca="1">I1635/((('Parameter Inputs'!$L987+'Parameter Inputs'!$L988)*365)/1000)</f>
        <v>0</v>
      </c>
      <c r="AD1635" s="50">
        <f ca="1">J1635/((('Parameter Inputs'!$L987+'Parameter Inputs'!$L988)*365)/1000)</f>
        <v>0</v>
      </c>
      <c r="AE1635" s="50">
        <f ca="1">K1635/((('Parameter Inputs'!$L987+'Parameter Inputs'!$L988)*365)/1000)</f>
        <v>0</v>
      </c>
      <c r="AF1635" s="50">
        <f ca="1">L1635/((('Parameter Inputs'!$L987+'Parameter Inputs'!$L988)*365)/1000)</f>
        <v>0</v>
      </c>
      <c r="AG1635" s="50">
        <f ca="1">M1635/((('Parameter Inputs'!$L987+'Parameter Inputs'!$L988)*365)/1000)</f>
        <v>0</v>
      </c>
      <c r="AH1635" s="50">
        <f ca="1">N1635/((('Parameter Inputs'!$L987+'Parameter Inputs'!$L988)*365)/1000)</f>
        <v>0</v>
      </c>
      <c r="AI1635" s="50">
        <f ca="1">O1635/((('Parameter Inputs'!$L987+'Parameter Inputs'!$L988)*365)/1000)</f>
        <v>0</v>
      </c>
      <c r="AJ1635" s="50">
        <f ca="1">P1635/((('Parameter Inputs'!$L987+'Parameter Inputs'!$L988)*365)/1000)</f>
        <v>0</v>
      </c>
      <c r="AK1635" s="50">
        <f ca="1">Q1635/((('Parameter Inputs'!$L987+'Parameter Inputs'!$L988)*365)/1000)</f>
        <v>0</v>
      </c>
      <c r="AL1635" s="50">
        <f ca="1">R1635/((('Parameter Inputs'!$L987+'Parameter Inputs'!$L988)*365)/1000)</f>
        <v>0</v>
      </c>
      <c r="AM1635" s="50">
        <f ca="1">S1635/((('Parameter Inputs'!$L987+'Parameter Inputs'!$L988)*365)/1000)</f>
        <v>0</v>
      </c>
      <c r="AN1635" s="50">
        <f ca="1">T1635/((('Parameter Inputs'!$L987+'Parameter Inputs'!$L988)*365)/1000)</f>
        <v>0</v>
      </c>
      <c r="AO1635" s="50">
        <f ca="1">U1635/((('Parameter Inputs'!$L987+'Parameter Inputs'!$L988)*365)/1000)</f>
        <v>0</v>
      </c>
      <c r="AP1635" s="50">
        <f ca="1">V1635/((('Parameter Inputs'!$L987+'Parameter Inputs'!$L988)*365)/1000)</f>
        <v>0</v>
      </c>
    </row>
    <row r="1636" spans="4:42">
      <c r="D1636" s="8" t="s">
        <v>1386</v>
      </c>
      <c r="E1636" s="17" cm="1">
        <f t="array" aca="1" ref="E1636" ca="1">_xlfn.IFS('Parameter Inputs'!$E13='Parameter Inputs'!$AJ19,('Parameter Inputs'!$E1185*'Parameter Inputs'!$E1215*'Parameter Inputs'!E718)+('Parameter Inputs'!$E1185*'Parameter Inputs'!$E1217*'Parameter Inputs'!E710),'Parameter Inputs'!$E13='Parameter Inputs'!$AJ20,('Parameter Inputs'!$E1185*'Parameter Inputs'!$E1215*'Parameter Inputs'!E718)+('Parameter Inputs'!$E1185*'Parameter Inputs'!$E1217*'Parameter Inputs'!E751))</f>
        <v>3788.9228507440762</v>
      </c>
      <c r="F1636" s="8" cm="1">
        <f t="array" aca="1" ref="F1636" ca="1">_xlfn.IFS('Parameter Inputs'!$E13='Parameter Inputs'!$AJ19,('Parameter Inputs'!$E1185*'Parameter Inputs'!$E1215*'Parameter Inputs'!F718)+('Parameter Inputs'!$E1185*'Parameter Inputs'!$E1217*'Parameter Inputs'!F710),'Parameter Inputs'!$E13='Parameter Inputs'!$AJ20,('Parameter Inputs'!$E1185*'Parameter Inputs'!$E1215*'Parameter Inputs'!F718)+('Parameter Inputs'!$E1185*'Parameter Inputs'!$E1217*'Parameter Inputs'!F751))</f>
        <v>2455245.305382153</v>
      </c>
      <c r="G1636" s="8" cm="1">
        <f t="array" aca="1" ref="G1636" ca="1">_xlfn.IFS('Parameter Inputs'!$E13='Parameter Inputs'!$AJ19,('Parameter Inputs'!$E1185*'Parameter Inputs'!$E1215*'Parameter Inputs'!G718)+('Parameter Inputs'!$E1185*'Parameter Inputs'!$E1217*'Parameter Inputs'!G710),'Parameter Inputs'!$E13='Parameter Inputs'!$AJ20,('Parameter Inputs'!$E1185*'Parameter Inputs'!$E1215*'Parameter Inputs'!G718)+('Parameter Inputs'!$E1185*'Parameter Inputs'!$E1217*'Parameter Inputs'!G751))</f>
        <v>27649.852240226704</v>
      </c>
      <c r="H1636" s="8" cm="1">
        <f t="array" aca="1" ref="H1636" ca="1">_xlfn.IFS('Parameter Inputs'!$E13='Parameter Inputs'!$AJ19,('Parameter Inputs'!$E1185*'Parameter Inputs'!$E1215*'Parameter Inputs'!H718)+('Parameter Inputs'!$E1185*'Parameter Inputs'!$E1217*'Parameter Inputs'!H710),'Parameter Inputs'!$E13='Parameter Inputs'!$AJ20,('Parameter Inputs'!$E1185*'Parameter Inputs'!$E1215*'Parameter Inputs'!H718)+('Parameter Inputs'!$E1185*'Parameter Inputs'!$E1217*'Parameter Inputs'!H751))</f>
        <v>36008.045612272363</v>
      </c>
      <c r="I1636" s="8" cm="1">
        <f t="array" aca="1" ref="I1636" ca="1">_xlfn.IFS('Parameter Inputs'!$E13='Parameter Inputs'!$AJ19,('Parameter Inputs'!$E1185*'Parameter Inputs'!$E1215*'Parameter Inputs'!I718)+('Parameter Inputs'!$E1185*'Parameter Inputs'!$E1217*'Parameter Inputs'!I710),'Parameter Inputs'!$E13='Parameter Inputs'!$AJ20,('Parameter Inputs'!$E1185*'Parameter Inputs'!$E1215*'Parameter Inputs'!I718)+('Parameter Inputs'!$E1185*'Parameter Inputs'!$E1217*'Parameter Inputs'!I751))</f>
        <v>1441847.2953236888</v>
      </c>
      <c r="J1636" s="8" cm="1">
        <f t="array" aca="1" ref="J1636" ca="1">_xlfn.IFS('Parameter Inputs'!$E13='Parameter Inputs'!$AJ19,('Parameter Inputs'!$E1185*'Parameter Inputs'!$E1215*'Parameter Inputs'!J718)+('Parameter Inputs'!$E1185*'Parameter Inputs'!$E1217*'Parameter Inputs'!J710),'Parameter Inputs'!$E13='Parameter Inputs'!$AJ20,('Parameter Inputs'!$E1185*'Parameter Inputs'!$E1215*'Parameter Inputs'!J718)+('Parameter Inputs'!$E1185*'Parameter Inputs'!$E1217*'Parameter Inputs'!J751))</f>
        <v>846983.01011728647</v>
      </c>
      <c r="K1636" s="8" cm="1">
        <f t="array" aca="1" ref="K1636" ca="1">_xlfn.IFS('Parameter Inputs'!$E13='Parameter Inputs'!$AJ19,('Parameter Inputs'!$E1185*'Parameter Inputs'!$E1215*'Parameter Inputs'!K718)+('Parameter Inputs'!$E1185*'Parameter Inputs'!$E1217*'Parameter Inputs'!K710),'Parameter Inputs'!$E13='Parameter Inputs'!$AJ20,('Parameter Inputs'!$E1185*'Parameter Inputs'!$E1215*'Parameter Inputs'!K718)+('Parameter Inputs'!$E1185*'Parameter Inputs'!$E1217*'Parameter Inputs'!K751))</f>
        <v>119.17394183287601</v>
      </c>
      <c r="L1636" s="8" cm="1">
        <f t="array" aca="1" ref="L1636" ca="1">_xlfn.IFS('Parameter Inputs'!$E13='Parameter Inputs'!$AJ19,('Parameter Inputs'!$E1185*'Parameter Inputs'!$E1215*'Parameter Inputs'!L718)+('Parameter Inputs'!$E1185*'Parameter Inputs'!$E1217*'Parameter Inputs'!L710),'Parameter Inputs'!$E13='Parameter Inputs'!$AJ20,('Parameter Inputs'!$E1185*'Parameter Inputs'!$E1215*'Parameter Inputs'!L718)+('Parameter Inputs'!$E1185*'Parameter Inputs'!$E1217*'Parameter Inputs'!L751))</f>
        <v>16.417533140030283</v>
      </c>
      <c r="M1636" s="8" cm="1">
        <f t="array" aca="1" ref="M1636" ca="1">_xlfn.IFS('Parameter Inputs'!$E13='Parameter Inputs'!$AJ19,('Parameter Inputs'!$E1185*'Parameter Inputs'!$E1215*'Parameter Inputs'!M718)+('Parameter Inputs'!$E1185*'Parameter Inputs'!$E1217*'Parameter Inputs'!M710),'Parameter Inputs'!$E13='Parameter Inputs'!$AJ20,('Parameter Inputs'!$E1185*'Parameter Inputs'!$E1215*'Parameter Inputs'!M718)+('Parameter Inputs'!$E1185*'Parameter Inputs'!$E1217*'Parameter Inputs'!M751))</f>
        <v>59245.820166558588</v>
      </c>
      <c r="N1636" s="8" cm="1">
        <f t="array" aca="1" ref="N1636" ca="1">_xlfn.IFS('Parameter Inputs'!$E13='Parameter Inputs'!$AJ19,('Parameter Inputs'!$E1185*'Parameter Inputs'!$E1215*'Parameter Inputs'!N718)+('Parameter Inputs'!$E1185*'Parameter Inputs'!$E1217*'Parameter Inputs'!N710),'Parameter Inputs'!$E13='Parameter Inputs'!$AJ20,('Parameter Inputs'!$E1185*'Parameter Inputs'!$E1215*'Parameter Inputs'!N718)+('Parameter Inputs'!$E1185*'Parameter Inputs'!$E1217*'Parameter Inputs'!N751))</f>
        <v>438059.75151182717</v>
      </c>
      <c r="O1636" s="8" cm="1">
        <f t="array" aca="1" ref="O1636" ca="1">_xlfn.IFS('Parameter Inputs'!$E13='Parameter Inputs'!$AJ19,('Parameter Inputs'!$E1185*'Parameter Inputs'!$E1215*'Parameter Inputs'!O718)+('Parameter Inputs'!$E1185*'Parameter Inputs'!$E1217*'Parameter Inputs'!O710),'Parameter Inputs'!$E13='Parameter Inputs'!$AJ20,('Parameter Inputs'!$E1185*'Parameter Inputs'!$E1215*'Parameter Inputs'!O718)+('Parameter Inputs'!$E1185*'Parameter Inputs'!$E1217*'Parameter Inputs'!O751))</f>
        <v>112350.9268352877</v>
      </c>
      <c r="P1636" s="8" cm="1">
        <f t="array" aca="1" ref="P1636" ca="1">_xlfn.IFS('Parameter Inputs'!$E13='Parameter Inputs'!$AJ19,('Parameter Inputs'!$E1185*'Parameter Inputs'!$E1215*'Parameter Inputs'!P718)+('Parameter Inputs'!$E1185*'Parameter Inputs'!$E1217*'Parameter Inputs'!P710),'Parameter Inputs'!$E13='Parameter Inputs'!$AJ20,('Parameter Inputs'!$E1185*'Parameter Inputs'!$E1215*'Parameter Inputs'!P718)+('Parameter Inputs'!$E1185*'Parameter Inputs'!$E1217*'Parameter Inputs'!P751))</f>
        <v>52904.71527296662</v>
      </c>
      <c r="Q1636" s="8" cm="1">
        <f t="array" aca="1" ref="Q1636" ca="1">_xlfn.IFS('Parameter Inputs'!$E13='Parameter Inputs'!$AJ19,('Parameter Inputs'!$E1185*'Parameter Inputs'!$E1215*'Parameter Inputs'!Q718)+('Parameter Inputs'!$E1185*'Parameter Inputs'!$E1217*'Parameter Inputs'!Q710),'Parameter Inputs'!$E13='Parameter Inputs'!$AJ20,('Parameter Inputs'!$E1185*'Parameter Inputs'!$E1215*'Parameter Inputs'!Q718)+('Parameter Inputs'!$E1185*'Parameter Inputs'!$E1217*'Parameter Inputs'!Q751))</f>
        <v>13440.091432749377</v>
      </c>
      <c r="R1636" s="8" cm="1">
        <f t="array" aca="1" ref="R1636" ca="1">_xlfn.IFS('Parameter Inputs'!$E13='Parameter Inputs'!$AJ19,('Parameter Inputs'!$E1185*'Parameter Inputs'!$E1215*'Parameter Inputs'!R718)+('Parameter Inputs'!$E1185*'Parameter Inputs'!$E1217*'Parameter Inputs'!R710),'Parameter Inputs'!$E13='Parameter Inputs'!$AJ20,('Parameter Inputs'!$E1185*'Parameter Inputs'!$E1215*'Parameter Inputs'!R718)+('Parameter Inputs'!$E1185*'Parameter Inputs'!$E1217*'Parameter Inputs'!R751))</f>
        <v>1.1681639600037599</v>
      </c>
      <c r="S1636" s="8" cm="1">
        <f t="array" aca="1" ref="S1636" ca="1">_xlfn.IFS('Parameter Inputs'!$E13='Parameter Inputs'!$AJ19,('Parameter Inputs'!$E1185*'Parameter Inputs'!$E1215*'Parameter Inputs'!S718)+('Parameter Inputs'!$E1185*'Parameter Inputs'!$E1217*'Parameter Inputs'!S710),'Parameter Inputs'!$E13='Parameter Inputs'!$AJ20,('Parameter Inputs'!$E1185*'Parameter Inputs'!$E1215*'Parameter Inputs'!S718)+('Parameter Inputs'!$E1185*'Parameter Inputs'!$E1217*'Parameter Inputs'!S751))</f>
        <v>1321.2657599496436</v>
      </c>
      <c r="T1636" s="8" cm="1">
        <f t="array" aca="1" ref="T1636" ca="1">_xlfn.IFS('Parameter Inputs'!$E13='Parameter Inputs'!$AJ19,('Parameter Inputs'!$E1185*'Parameter Inputs'!$E1215*'Parameter Inputs'!T718)+('Parameter Inputs'!$E1185*'Parameter Inputs'!$E1217*'Parameter Inputs'!T710),'Parameter Inputs'!$E13='Parameter Inputs'!$AJ20,('Parameter Inputs'!$E1185*'Parameter Inputs'!$E1215*'Parameter Inputs'!T718)+('Parameter Inputs'!$E1185*'Parameter Inputs'!$E1217*'Parameter Inputs'!T751))</f>
        <v>3004.2761260214224</v>
      </c>
      <c r="U1636" s="8" cm="1">
        <f t="array" aca="1" ref="U1636" ca="1">_xlfn.IFS('Parameter Inputs'!$E13='Parameter Inputs'!$AJ19,('Parameter Inputs'!$E1185*'Parameter Inputs'!$E1215*'Parameter Inputs'!U718)+('Parameter Inputs'!$E1185*'Parameter Inputs'!$E1217*'Parameter Inputs'!U710),'Parameter Inputs'!$E13='Parameter Inputs'!$AJ20,('Parameter Inputs'!$E1185*'Parameter Inputs'!$E1215*'Parameter Inputs'!U718)+('Parameter Inputs'!$E1185*'Parameter Inputs'!$E1217*'Parameter Inputs'!U751))</f>
        <v>3096.220413488923</v>
      </c>
      <c r="V1636" s="8" cm="1">
        <f t="array" aca="1" ref="V1636" ca="1">_xlfn.IFS('Parameter Inputs'!$E13='Parameter Inputs'!$AJ19,('Parameter Inputs'!$E1185*'Parameter Inputs'!$E1215*'Parameter Inputs'!V718)+('Parameter Inputs'!$E1185*'Parameter Inputs'!$E1217*'Parameter Inputs'!V710),'Parameter Inputs'!$E13='Parameter Inputs'!$AJ20,('Parameter Inputs'!$E1185*'Parameter Inputs'!$E1215*'Parameter Inputs'!V718)+('Parameter Inputs'!$E1185*'Parameter Inputs'!$E1217*'Parameter Inputs'!V751))</f>
        <v>5043.6226107172488</v>
      </c>
      <c r="Y1636" s="50">
        <f ca="1">E1636/((('Parameter Inputs'!$L987+'Parameter Inputs'!$L988)*365)/1000)</f>
        <v>0.14388060125763044</v>
      </c>
      <c r="Z1636" s="50">
        <f ca="1">F1636/((('Parameter Inputs'!$L987+'Parameter Inputs'!$L988)*365)/1000)</f>
        <v>93.235514337269848</v>
      </c>
      <c r="AA1636" s="50">
        <f ca="1">G1636/((('Parameter Inputs'!$L987+'Parameter Inputs'!$L988)*365)/1000)</f>
        <v>1.0499758168016529</v>
      </c>
      <c r="AB1636" s="50">
        <f ca="1">H1636/((('Parameter Inputs'!$L987+'Parameter Inputs'!$L988)*365)/1000)</f>
        <v>1.3673699510108794</v>
      </c>
      <c r="AC1636" s="50">
        <f ca="1">I1636/((('Parameter Inputs'!$L987+'Parameter Inputs'!$L988)*365)/1000)</f>
        <v>54.7527262879265</v>
      </c>
      <c r="AD1636" s="50">
        <f ca="1">J1636/((('Parameter Inputs'!$L987+'Parameter Inputs'!$L988)*365)/1000)</f>
        <v>32.163342868472732</v>
      </c>
      <c r="AE1636" s="50">
        <f ca="1">K1636/((('Parameter Inputs'!$L987+'Parameter Inputs'!$L988)*365)/1000)</f>
        <v>4.52551268015097E-3</v>
      </c>
      <c r="AF1636" s="50">
        <f ca="1">L1636/((('Parameter Inputs'!$L987+'Parameter Inputs'!$L988)*365)/1000)</f>
        <v>6.2343959811447314E-4</v>
      </c>
      <c r="AG1636" s="50">
        <f ca="1">M1636/((('Parameter Inputs'!$L987+'Parameter Inputs'!$L988)*365)/1000)</f>
        <v>2.2498014774546999</v>
      </c>
      <c r="AH1636" s="50">
        <f ca="1">N1636/((('Parameter Inputs'!$L987+'Parameter Inputs'!$L988)*365)/1000)</f>
        <v>16.634886197778414</v>
      </c>
      <c r="AI1636" s="50">
        <f ca="1">O1636/((('Parameter Inputs'!$L987+'Parameter Inputs'!$L988)*365)/1000)</f>
        <v>4.2664154277352742</v>
      </c>
      <c r="AJ1636" s="50">
        <f ca="1">P1636/((('Parameter Inputs'!$L987+'Parameter Inputs'!$L988)*365)/1000)</f>
        <v>2.0090042850419425</v>
      </c>
      <c r="AK1636" s="50">
        <f ca="1">Q1636/((('Parameter Inputs'!$L987+'Parameter Inputs'!$L988)*365)/1000)</f>
        <v>0.51037419142006313</v>
      </c>
      <c r="AL1636" s="50">
        <f ca="1">R1636/((('Parameter Inputs'!$L987+'Parameter Inputs'!$L988)*365)/1000)</f>
        <v>4.4359872067553031E-5</v>
      </c>
      <c r="AM1636" s="50">
        <f ca="1">S1636/((('Parameter Inputs'!$L987+'Parameter Inputs'!$L988)*365)/1000)</f>
        <v>5.0173761633953998E-2</v>
      </c>
      <c r="AN1636" s="50">
        <f ca="1">T1636/((('Parameter Inputs'!$L987+'Parameter Inputs'!$L988)*365)/1000)</f>
        <v>0.11408441722982549</v>
      </c>
      <c r="AO1636" s="50">
        <f ca="1">U1636/((('Parameter Inputs'!$L987+'Parameter Inputs'!$L988)*365)/1000)</f>
        <v>0.11757591069225649</v>
      </c>
      <c r="AP1636" s="50">
        <f ca="1">V1636/((('Parameter Inputs'!$L987+'Parameter Inputs'!$L988)*365)/1000)</f>
        <v>0.19152658481923621</v>
      </c>
    </row>
    <row r="1637" spans="4:42">
      <c r="D1637" s="8" t="s">
        <v>1387</v>
      </c>
      <c r="E1637" s="290" cm="1">
        <f t="array" aca="1" ref="E1637" ca="1">_xlfn.IFS('Parameter Inputs'!$F108="CHP",('Parameter Inputs'!$E1196*'Parameter Inputs'!$E1241*'Parameter Inputs'!E718),'Parameter Inputs'!$F108='Parameter Inputs'!$F1257,('Parameter Inputs'!$E1196*'Parameter Inputs'!$E1241*'Parameter Inputs'!E720))</f>
        <v>48.699665305770417</v>
      </c>
      <c r="F1637" s="232" cm="1">
        <f t="array" aca="1" ref="F1637" ca="1">_xlfn.IFS('Parameter Inputs'!$F108="CHP",('Parameter Inputs'!$E1196*'Parameter Inputs'!$E1241*'Parameter Inputs'!F718),'Parameter Inputs'!$F108='Parameter Inputs'!$F1257,('Parameter Inputs'!$E1196*'Parameter Inputs'!$E1241*'Parameter Inputs'!F720))</f>
        <v>127232.5798473981</v>
      </c>
      <c r="G1637" s="232" cm="1">
        <f t="array" aca="1" ref="G1637" ca="1">_xlfn.IFS('Parameter Inputs'!$F108="CHP",('Parameter Inputs'!$E1196*'Parameter Inputs'!$E1241*'Parameter Inputs'!G718),'Parameter Inputs'!$F108='Parameter Inputs'!$F1257,('Parameter Inputs'!$E1196*'Parameter Inputs'!$E1241*'Parameter Inputs'!G720))</f>
        <v>322.69734322990638</v>
      </c>
      <c r="H1637" s="232" cm="1">
        <f t="array" aca="1" ref="H1637" ca="1">_xlfn.IFS('Parameter Inputs'!$F108="CHP",('Parameter Inputs'!$E1196*'Parameter Inputs'!$E1241*'Parameter Inputs'!H718),'Parameter Inputs'!$F108='Parameter Inputs'!$F1257,('Parameter Inputs'!$E1196*'Parameter Inputs'!$E1241*'Parameter Inputs'!H720))</f>
        <v>449.73380281285785</v>
      </c>
      <c r="I1637" s="232" cm="1">
        <f t="array" aca="1" ref="I1637" ca="1">_xlfn.IFS('Parameter Inputs'!$F108="CHP",('Parameter Inputs'!$E1196*'Parameter Inputs'!$E1241*'Parameter Inputs'!I718),'Parameter Inputs'!$F108='Parameter Inputs'!$F1257,('Parameter Inputs'!$E1196*'Parameter Inputs'!$E1241*'Parameter Inputs'!I720))</f>
        <v>22792.355057302848</v>
      </c>
      <c r="J1637" s="232" cm="1">
        <f t="array" aca="1" ref="J1637" ca="1">_xlfn.IFS('Parameter Inputs'!$F108="CHP",('Parameter Inputs'!$E1196*'Parameter Inputs'!$E1241*'Parameter Inputs'!J718),'Parameter Inputs'!$F108='Parameter Inputs'!$F1257,('Parameter Inputs'!$E1196*'Parameter Inputs'!$E1241*'Parameter Inputs'!J720))</f>
        <v>43460.957341049252</v>
      </c>
      <c r="K1637" s="232" cm="1">
        <f t="array" aca="1" ref="K1637" ca="1">_xlfn.IFS('Parameter Inputs'!$F108="CHP",('Parameter Inputs'!$E1196*'Parameter Inputs'!$E1241*'Parameter Inputs'!K718),'Parameter Inputs'!$F108='Parameter Inputs'!$F1257,('Parameter Inputs'!$E1196*'Parameter Inputs'!$E1241*'Parameter Inputs'!K720))</f>
        <v>2.2285269328508592</v>
      </c>
      <c r="L1637" s="232" cm="1">
        <f t="array" aca="1" ref="L1637" ca="1">_xlfn.IFS('Parameter Inputs'!$F108="CHP",('Parameter Inputs'!$E1196*'Parameter Inputs'!$E1241*'Parameter Inputs'!L718),'Parameter Inputs'!$F108='Parameter Inputs'!$F1257,('Parameter Inputs'!$E1196*'Parameter Inputs'!$E1241*'Parameter Inputs'!L720))</f>
        <v>0.26598148297103646</v>
      </c>
      <c r="M1637" s="232" cm="1">
        <f t="array" aca="1" ref="M1637" ca="1">_xlfn.IFS('Parameter Inputs'!$F108="CHP",('Parameter Inputs'!$E1196*'Parameter Inputs'!$E1241*'Parameter Inputs'!M718),'Parameter Inputs'!$F108='Parameter Inputs'!$F1257,('Parameter Inputs'!$E1196*'Parameter Inputs'!$E1241*'Parameter Inputs'!M720))</f>
        <v>1830.6324864241458</v>
      </c>
      <c r="N1637" s="232" cm="1">
        <f t="array" aca="1" ref="N1637" ca="1">_xlfn.IFS('Parameter Inputs'!$F108="CHP",('Parameter Inputs'!$E1196*'Parameter Inputs'!$E1241*'Parameter Inputs'!N718),'Parameter Inputs'!$F108='Parameter Inputs'!$F1257,('Parameter Inputs'!$E1196*'Parameter Inputs'!$E1241*'Parameter Inputs'!N720))</f>
        <v>5436.5950783969656</v>
      </c>
      <c r="O1637" s="232" cm="1">
        <f t="array" aca="1" ref="O1637" ca="1">_xlfn.IFS('Parameter Inputs'!$F108="CHP",('Parameter Inputs'!$E1196*'Parameter Inputs'!$E1241*'Parameter Inputs'!O718),'Parameter Inputs'!$F108='Parameter Inputs'!$F1257,('Parameter Inputs'!$E1196*'Parameter Inputs'!$E1241*'Parameter Inputs'!O720))</f>
        <v>696.17393330840844</v>
      </c>
      <c r="P1637" s="232" cm="1">
        <f t="array" aca="1" ref="P1637" ca="1">_xlfn.IFS('Parameter Inputs'!$F108="CHP",('Parameter Inputs'!$E1196*'Parameter Inputs'!$E1241*'Parameter Inputs'!P718),'Parameter Inputs'!$F108='Parameter Inputs'!$F1257,('Parameter Inputs'!$E1196*'Parameter Inputs'!$E1241*'Parameter Inputs'!P720))</f>
        <v>130.66910159828598</v>
      </c>
      <c r="Q1637" s="232" cm="1">
        <f t="array" aca="1" ref="Q1637" ca="1">_xlfn.IFS('Parameter Inputs'!$F108="CHP",('Parameter Inputs'!$E1196*'Parameter Inputs'!$E1241*'Parameter Inputs'!Q718),'Parameter Inputs'!$F108='Parameter Inputs'!$F1257,('Parameter Inputs'!$E1196*'Parameter Inputs'!$E1241*'Parameter Inputs'!Q720))</f>
        <v>719.12530479634358</v>
      </c>
      <c r="R1637" s="232" cm="1">
        <f t="array" aca="1" ref="R1637" ca="1">_xlfn.IFS('Parameter Inputs'!$F108="CHP",('Parameter Inputs'!$E1196*'Parameter Inputs'!$E1241*'Parameter Inputs'!R718),'Parameter Inputs'!$F108='Parameter Inputs'!$F1257,('Parameter Inputs'!$E1196*'Parameter Inputs'!$E1241*'Parameter Inputs'!R720))</f>
        <v>1.8553683756336217E-2</v>
      </c>
      <c r="S1637" s="232" cm="1">
        <f t="array" aca="1" ref="S1637" ca="1">_xlfn.IFS('Parameter Inputs'!$F108="CHP",('Parameter Inputs'!$E1196*'Parameter Inputs'!$E1241*'Parameter Inputs'!S718),'Parameter Inputs'!$F108='Parameter Inputs'!$F1257,('Parameter Inputs'!$E1196*'Parameter Inputs'!$E1241*'Parameter Inputs'!S720))</f>
        <v>19.10494071586168</v>
      </c>
      <c r="T1637" s="232" cm="1">
        <f t="array" aca="1" ref="T1637" ca="1">_xlfn.IFS('Parameter Inputs'!$F108="CHP",('Parameter Inputs'!$E1196*'Parameter Inputs'!$E1241*'Parameter Inputs'!T718),'Parameter Inputs'!$F108='Parameter Inputs'!$F1257,('Parameter Inputs'!$E1196*'Parameter Inputs'!$E1241*'Parameter Inputs'!T720))</f>
        <v>92.756050837076344</v>
      </c>
      <c r="U1637" s="232" cm="1">
        <f t="array" aca="1" ref="U1637" ca="1">_xlfn.IFS('Parameter Inputs'!$F108="CHP",('Parameter Inputs'!$E1196*'Parameter Inputs'!$E1241*'Parameter Inputs'!U718),'Parameter Inputs'!$F108='Parameter Inputs'!$F1257,('Parameter Inputs'!$E1196*'Parameter Inputs'!$E1241*'Parameter Inputs'!U720))</f>
        <v>106.91381371104283</v>
      </c>
      <c r="V1637" s="232" cm="1">
        <f t="array" aca="1" ref="V1637" ca="1">_xlfn.IFS('Parameter Inputs'!$F108="CHP",('Parameter Inputs'!$E1196*'Parameter Inputs'!$E1241*'Parameter Inputs'!V718),'Parameter Inputs'!$F108='Parameter Inputs'!$F1257,('Parameter Inputs'!$E1196*'Parameter Inputs'!$E1241*'Parameter Inputs'!V720))</f>
        <v>72.227029642440556</v>
      </c>
      <c r="Y1637" s="50">
        <f ca="1">E1637/((('Parameter Inputs'!$L987+'Parameter Inputs'!$L988)*365)/1000)</f>
        <v>1.8493216677303358E-3</v>
      </c>
      <c r="Z1637" s="50">
        <f ca="1">F1637/((('Parameter Inputs'!$L987+'Parameter Inputs'!$L988)*365)/1000)</f>
        <v>4.8315314956619098</v>
      </c>
      <c r="AA1637" s="50">
        <f ca="1">G1637/((('Parameter Inputs'!$L987+'Parameter Inputs'!$L988)*365)/1000)</f>
        <v>1.2254112737882978E-2</v>
      </c>
      <c r="AB1637" s="50">
        <f ca="1">H1637/((('Parameter Inputs'!$L987+'Parameter Inputs'!$L988)*365)/1000)</f>
        <v>1.7078196760297485E-2</v>
      </c>
      <c r="AC1637" s="50">
        <f ca="1">I1637/((('Parameter Inputs'!$L987+'Parameter Inputs'!$L988)*365)/1000)</f>
        <v>0.86551716118424449</v>
      </c>
      <c r="AD1637" s="50">
        <f ca="1">J1637/((('Parameter Inputs'!$L987+'Parameter Inputs'!$L988)*365)/1000)</f>
        <v>1.6503869093651196</v>
      </c>
      <c r="AE1637" s="50">
        <f ca="1">K1637/((('Parameter Inputs'!$L987+'Parameter Inputs'!$L988)*365)/1000)</f>
        <v>8.4626108170673467E-5</v>
      </c>
      <c r="AF1637" s="50">
        <f ca="1">L1637/((('Parameter Inputs'!$L987+'Parameter Inputs'!$L988)*365)/1000)</f>
        <v>1.0100383987959391E-5</v>
      </c>
      <c r="AG1637" s="50">
        <f ca="1">M1637/((('Parameter Inputs'!$L987+'Parameter Inputs'!$L988)*365)/1000)</f>
        <v>6.951645974441828E-2</v>
      </c>
      <c r="AH1637" s="50">
        <f ca="1">N1637/((('Parameter Inputs'!$L987+'Parameter Inputs'!$L988)*365)/1000)</f>
        <v>0.20644932596619536</v>
      </c>
      <c r="AI1637" s="50">
        <f ca="1">O1637/((('Parameter Inputs'!$L987+'Parameter Inputs'!$L988)*365)/1000)</f>
        <v>2.6436517197660159E-2</v>
      </c>
      <c r="AJ1637" s="50">
        <f ca="1">P1637/((('Parameter Inputs'!$L987+'Parameter Inputs'!$L988)*365)/1000)</f>
        <v>4.9620300133753469E-3</v>
      </c>
      <c r="AK1637" s="50">
        <f ca="1">Q1637/((('Parameter Inputs'!$L987+'Parameter Inputs'!$L988)*365)/1000)</f>
        <v>2.7308072850666616E-2</v>
      </c>
      <c r="AL1637" s="50">
        <f ca="1">R1637/((('Parameter Inputs'!$L987+'Parameter Inputs'!$L988)*365)/1000)</f>
        <v>7.0455780694540708E-7</v>
      </c>
      <c r="AM1637" s="50">
        <f ca="1">S1637/((('Parameter Inputs'!$L987+'Parameter Inputs'!$L988)*365)/1000)</f>
        <v>7.2549124526242136E-4</v>
      </c>
      <c r="AN1637" s="50">
        <f ca="1">T1637/((('Parameter Inputs'!$L987+'Parameter Inputs'!$L988)*365)/1000)</f>
        <v>3.5223193742519739E-3</v>
      </c>
      <c r="AO1637" s="50">
        <f ca="1">U1637/((('Parameter Inputs'!$L987+'Parameter Inputs'!$L988)*365)/1000)</f>
        <v>4.0599464294899081E-3</v>
      </c>
      <c r="AP1637" s="50">
        <f ca="1">V1637/((('Parameter Inputs'!$L987+'Parameter Inputs'!$L988)*365)/1000)</f>
        <v>2.7427500800039327E-3</v>
      </c>
    </row>
    <row r="1638" spans="4:42">
      <c r="D1638" s="8" t="s">
        <v>982</v>
      </c>
      <c r="E1638" s="291">
        <f ca="1">IF('Parameter Inputs'!$L898&lt;1,0,E859)</f>
        <v>202.1302948145821</v>
      </c>
      <c r="F1638" s="49">
        <f ca="1">IF('Parameter Inputs'!$L898&lt;1,0,F859)</f>
        <v>73850.222505156446</v>
      </c>
      <c r="G1638" s="49">
        <f ca="1">IF('Parameter Inputs'!$L898&lt;1,0,G859)</f>
        <v>4036.2149760203383</v>
      </c>
      <c r="H1638" s="49">
        <f ca="1">IF('Parameter Inputs'!$L898&lt;1,0,H859)</f>
        <v>5707.8460284116791</v>
      </c>
      <c r="I1638" s="49">
        <f ca="1">IF('Parameter Inputs'!$L898&lt;1,0,I859)</f>
        <v>834199.05306263291</v>
      </c>
      <c r="J1638" s="49">
        <f ca="1">IF('Parameter Inputs'!$L898&lt;1,0,J859)</f>
        <v>14536.97173569872</v>
      </c>
      <c r="K1638" s="49">
        <f ca="1">IF('Parameter Inputs'!$L898&lt;1,0,K859)</f>
        <v>21.095565486615026</v>
      </c>
      <c r="L1638" s="49">
        <f ca="1">IF('Parameter Inputs'!$L898&lt;1,0,L859)</f>
        <v>2.893289494444832</v>
      </c>
      <c r="M1638" s="49">
        <f ca="1">IF('Parameter Inputs'!$L898&lt;1,0,M859)</f>
        <v>51492.95327995134</v>
      </c>
      <c r="N1638" s="49">
        <f ca="1">IF('Parameter Inputs'!$L898&lt;1,0,N859)</f>
        <v>65959.571889805928</v>
      </c>
      <c r="O1638" s="49">
        <f ca="1">IF('Parameter Inputs'!$L898&lt;1,0,O859)</f>
        <v>3732.6136770480712</v>
      </c>
      <c r="P1638" s="49">
        <f ca="1">IF('Parameter Inputs'!$L898&lt;1,0,P859)</f>
        <v>1880.7921653230762</v>
      </c>
      <c r="Q1638" s="49">
        <f ca="1">IF('Parameter Inputs'!$L898&lt;1,0,Q859)</f>
        <v>7813.8460159581418</v>
      </c>
      <c r="R1638" s="49">
        <f ca="1">IF('Parameter Inputs'!$L898&lt;1,0,R859)</f>
        <v>1.6249255209092955E-2</v>
      </c>
      <c r="S1638" s="49">
        <f ca="1">IF('Parameter Inputs'!$L898&lt;1,0,S859)</f>
        <v>136.15842761492939</v>
      </c>
      <c r="T1638" s="49">
        <f ca="1">IF('Parameter Inputs'!$L898&lt;1,0,T859)</f>
        <v>179.23820675217911</v>
      </c>
      <c r="U1638" s="49">
        <f ca="1">IF('Parameter Inputs'!$L898&lt;1,0,U859)</f>
        <v>187.30060530455688</v>
      </c>
      <c r="V1638" s="49">
        <f ca="1">IF('Parameter Inputs'!$L898&lt;1,0,V859)</f>
        <v>443.95772852054426</v>
      </c>
      <c r="Y1638" s="50">
        <f ca="1">E1638/((('Parameter Inputs'!$L987+'Parameter Inputs'!$L988)*365)/1000)</f>
        <v>7.6756982118527089E-3</v>
      </c>
      <c r="Z1638" s="50">
        <f ca="1">F1638/((('Parameter Inputs'!$L987+'Parameter Inputs'!$L988)*365)/1000)</f>
        <v>2.8043892250181397</v>
      </c>
      <c r="AA1638" s="50">
        <f ca="1">G1638/((('Parameter Inputs'!$L987+'Parameter Inputs'!$L988)*365)/1000)</f>
        <v>0.15327127535489757</v>
      </c>
      <c r="AB1638" s="50">
        <f ca="1">H1638/((('Parameter Inputs'!$L987+'Parameter Inputs'!$L988)*365)/1000)</f>
        <v>0.21674981275814892</v>
      </c>
      <c r="AC1638" s="50">
        <f ca="1">I1638/((('Parameter Inputs'!$L987+'Parameter Inputs'!$L988)*365)/1000)</f>
        <v>31.677884731705959</v>
      </c>
      <c r="AD1638" s="50">
        <f ca="1">J1638/((('Parameter Inputs'!$L987+'Parameter Inputs'!$L988)*365)/1000)</f>
        <v>0.55202713704945494</v>
      </c>
      <c r="AE1638" s="50">
        <f ca="1">K1638/((('Parameter Inputs'!$L987+'Parameter Inputs'!$L988)*365)/1000)</f>
        <v>8.0108325390890981E-4</v>
      </c>
      <c r="AF1638" s="50">
        <f ca="1">L1638/((('Parameter Inputs'!$L987+'Parameter Inputs'!$L988)*365)/1000)</f>
        <v>1.0986980956641979E-4</v>
      </c>
      <c r="AG1638" s="50">
        <f ca="1">M1638/((('Parameter Inputs'!$L987+'Parameter Inputs'!$L988)*365)/1000)</f>
        <v>1.9553940183805829</v>
      </c>
      <c r="AH1638" s="50">
        <f ca="1">N1638/((('Parameter Inputs'!$L987+'Parameter Inputs'!$L988)*365)/1000)</f>
        <v>2.5047495649950888</v>
      </c>
      <c r="AI1638" s="50">
        <f ca="1">O1638/((('Parameter Inputs'!$L987+'Parameter Inputs'!$L988)*365)/1000)</f>
        <v>0.14174231602806697</v>
      </c>
      <c r="AJ1638" s="50">
        <f ca="1">P1638/((('Parameter Inputs'!$L987+'Parameter Inputs'!$L988)*365)/1000)</f>
        <v>7.142122398564596E-2</v>
      </c>
      <c r="AK1638" s="50">
        <f ca="1">Q1638/((('Parameter Inputs'!$L987+'Parameter Inputs'!$L988)*365)/1000)</f>
        <v>0.29672308125508889</v>
      </c>
      <c r="AL1638" s="50">
        <f ca="1">R1638/((('Parameter Inputs'!$L987+'Parameter Inputs'!$L988)*365)/1000)</f>
        <v>6.1704940996986676E-7</v>
      </c>
      <c r="AM1638" s="50">
        <f ca="1">S1638/((('Parameter Inputs'!$L987+'Parameter Inputs'!$L988)*365)/1000)</f>
        <v>5.1704817446157191E-3</v>
      </c>
      <c r="AN1638" s="50">
        <f ca="1">T1638/((('Parameter Inputs'!$L987+'Parameter Inputs'!$L988)*365)/1000)</f>
        <v>6.8063937883503043E-3</v>
      </c>
      <c r="AO1638" s="50">
        <f ca="1">U1638/((('Parameter Inputs'!$L987+'Parameter Inputs'!$L988)*365)/1000)</f>
        <v>7.1125554065703629E-3</v>
      </c>
      <c r="AP1638" s="50">
        <f ca="1">V1638/((('Parameter Inputs'!$L987+'Parameter Inputs'!$L988)*365)/1000)</f>
        <v>1.6858856046636977E-2</v>
      </c>
    </row>
    <row r="1639" spans="4:42">
      <c r="D1639" s="8" t="s">
        <v>690</v>
      </c>
      <c r="E1639" s="17">
        <f ca="1">(((('Parameter Inputs'!$K1157+'Parameter Inputs'!$K1158)/20)+'Parameter Inputs'!$K1160*'Parameter Inputs'!$E11))*'Parameter Inputs'!E739</f>
        <v>1380.1592270462281</v>
      </c>
      <c r="F1639" s="8">
        <f ca="1">(((('Parameter Inputs'!$K1157+'Parameter Inputs'!$K1158)/20)+'Parameter Inputs'!$K1160*'Parameter Inputs'!$E11))*'Parameter Inputs'!F739</f>
        <v>539338.97021508252</v>
      </c>
      <c r="G1639" s="8">
        <f ca="1">(((('Parameter Inputs'!$K1157+'Parameter Inputs'!$K1158)/20)+'Parameter Inputs'!$K1160*'Parameter Inputs'!$E11))*'Parameter Inputs'!G739</f>
        <v>27633.605987268162</v>
      </c>
      <c r="H1639" s="8">
        <f ca="1">(((('Parameter Inputs'!$K1157+'Parameter Inputs'!$K1158)/20)+'Parameter Inputs'!$K1160*'Parameter Inputs'!$E11))*'Parameter Inputs'!H739</f>
        <v>36028.023837705179</v>
      </c>
      <c r="I1639" s="8">
        <f ca="1">(((('Parameter Inputs'!$K1157+'Parameter Inputs'!$K1158)/20)+'Parameter Inputs'!$K1160*'Parameter Inputs'!$E11))*'Parameter Inputs'!I739</f>
        <v>2747199.205356779</v>
      </c>
      <c r="J1639" s="8">
        <f ca="1">(((('Parameter Inputs'!$K1157+'Parameter Inputs'!$K1158)/20)+'Parameter Inputs'!$K1160*'Parameter Inputs'!$E11))*'Parameter Inputs'!J739</f>
        <v>262860.30981266528</v>
      </c>
      <c r="K1639" s="8">
        <f ca="1">(((('Parameter Inputs'!$K1157+'Parameter Inputs'!$K1158)/20)+'Parameter Inputs'!$K1160*'Parameter Inputs'!$E11))*'Parameter Inputs'!K739</f>
        <v>142.05389437163657</v>
      </c>
      <c r="L1639" s="8">
        <f ca="1">(((('Parameter Inputs'!$K1157+'Parameter Inputs'!$K1158)/20)+'Parameter Inputs'!$K1160*'Parameter Inputs'!$E11))*'Parameter Inputs'!L739</f>
        <v>14.193030724586567</v>
      </c>
      <c r="M1639" s="8">
        <f ca="1">(((('Parameter Inputs'!$K1157+'Parameter Inputs'!$K1158)/20)+'Parameter Inputs'!$K1160*'Parameter Inputs'!$E11))*'Parameter Inputs'!M739</f>
        <v>31072.655429392275</v>
      </c>
      <c r="N1639" s="8">
        <f ca="1">(((('Parameter Inputs'!$K1157+'Parameter Inputs'!$K1158)/20)+'Parameter Inputs'!$K1160*'Parameter Inputs'!$E11))*'Parameter Inputs'!N739</f>
        <v>507990.62042820134</v>
      </c>
      <c r="O1639" s="8">
        <f ca="1">(((('Parameter Inputs'!$K1157+'Parameter Inputs'!$K1158)/20)+'Parameter Inputs'!$K1160*'Parameter Inputs'!$E11))*'Parameter Inputs'!O739</f>
        <v>39526.490167219134</v>
      </c>
      <c r="P1639" s="8">
        <f ca="1">(((('Parameter Inputs'!$K1157+'Parameter Inputs'!$K1158)/20)+'Parameter Inputs'!$K1160*'Parameter Inputs'!$E11))*'Parameter Inputs'!P739</f>
        <v>8135.8355565164165</v>
      </c>
      <c r="Q1639" s="8">
        <f ca="1">(((('Parameter Inputs'!$K1157+'Parameter Inputs'!$K1158)/20)+'Parameter Inputs'!$K1160*'Parameter Inputs'!$E11))*'Parameter Inputs'!Q739</f>
        <v>6387.7907295072373</v>
      </c>
      <c r="R1639" s="8">
        <f ca="1">(((('Parameter Inputs'!$K1157+'Parameter Inputs'!$K1158)/20)+'Parameter Inputs'!$K1160*'Parameter Inputs'!$E11))*'Parameter Inputs'!R739</f>
        <v>0.10032422602000204</v>
      </c>
      <c r="S1639" s="8">
        <f ca="1">(((('Parameter Inputs'!$K1157+'Parameter Inputs'!$K1158)/20)+'Parameter Inputs'!$K1160*'Parameter Inputs'!$E11))*'Parameter Inputs'!S739</f>
        <v>605.81458382683877</v>
      </c>
      <c r="T1639" s="8">
        <f ca="1">(((('Parameter Inputs'!$K1157+'Parameter Inputs'!$K1158)/20)+'Parameter Inputs'!$K1160*'Parameter Inputs'!$E11))*'Parameter Inputs'!T739</f>
        <v>1143.4898811950056</v>
      </c>
      <c r="U1639" s="8">
        <f ca="1">(((('Parameter Inputs'!$K1157+'Parameter Inputs'!$K1158)/20)+'Parameter Inputs'!$K1160*'Parameter Inputs'!$E11))*'Parameter Inputs'!U739</f>
        <v>1275.4666714653249</v>
      </c>
      <c r="V1639" s="8">
        <f ca="1">(((('Parameter Inputs'!$K1157+'Parameter Inputs'!$K1158)/20)+'Parameter Inputs'!$K1160*'Parameter Inputs'!$E11))*'Parameter Inputs'!V739</f>
        <v>4519.4861224210154</v>
      </c>
      <c r="Y1639" s="50">
        <f ca="1">E1639/((('Parameter Inputs'!$L987+'Parameter Inputs'!$L988)*365)/1000)</f>
        <v>5.2410182851751815E-2</v>
      </c>
      <c r="Z1639" s="50">
        <f ca="1">F1639/((('Parameter Inputs'!$L987+'Parameter Inputs'!$L988)*365)/1000)</f>
        <v>20.48086444963586</v>
      </c>
      <c r="AA1639" s="50">
        <f ca="1">G1639/((('Parameter Inputs'!$L987+'Parameter Inputs'!$L988)*365)/1000)</f>
        <v>1.049358881399181</v>
      </c>
      <c r="AB1639" s="50">
        <f ca="1">H1639/((('Parameter Inputs'!$L987+'Parameter Inputs'!$L988)*365)/1000)</f>
        <v>1.3681286043803378</v>
      </c>
      <c r="AC1639" s="50">
        <f ca="1">I1639/((('Parameter Inputs'!$L987+'Parameter Inputs'!$L988)*365)/1000)</f>
        <v>104.32217519646628</v>
      </c>
      <c r="AD1639" s="50">
        <f ca="1">J1639/((('Parameter Inputs'!$L987+'Parameter Inputs'!$L988)*365)/1000)</f>
        <v>9.9818605214371239</v>
      </c>
      <c r="AE1639" s="50">
        <f ca="1">K1639/((('Parameter Inputs'!$L987+'Parameter Inputs'!$L988)*365)/1000)</f>
        <v>5.3943562691346914E-3</v>
      </c>
      <c r="AF1639" s="50">
        <f ca="1">L1639/((('Parameter Inputs'!$L987+'Parameter Inputs'!$L988)*365)/1000)</f>
        <v>5.3896631701553534E-4</v>
      </c>
      <c r="AG1639" s="50">
        <f ca="1">M1639/((('Parameter Inputs'!$L987+'Parameter Inputs'!$L988)*365)/1000)</f>
        <v>1.1799533856895925</v>
      </c>
      <c r="AH1639" s="50">
        <f ca="1">N1639/((('Parameter Inputs'!$L987+'Parameter Inputs'!$L988)*365)/1000)</f>
        <v>19.290441843146205</v>
      </c>
      <c r="AI1639" s="50">
        <f ca="1">O1639/((('Parameter Inputs'!$L987+'Parameter Inputs'!$L988)*365)/1000)</f>
        <v>1.5009794062569692</v>
      </c>
      <c r="AJ1639" s="50">
        <f ca="1">P1639/((('Parameter Inputs'!$L987+'Parameter Inputs'!$L988)*365)/1000)</f>
        <v>0.30895031588592725</v>
      </c>
      <c r="AK1639" s="50">
        <f ca="1">Q1639/((('Parameter Inputs'!$L987+'Parameter Inputs'!$L988)*365)/1000)</f>
        <v>0.24257004089933595</v>
      </c>
      <c r="AL1639" s="50">
        <f ca="1">R1639/((('Parameter Inputs'!$L987+'Parameter Inputs'!$L988)*365)/1000)</f>
        <v>3.8097133483806857E-6</v>
      </c>
      <c r="AM1639" s="50">
        <f ca="1">S1639/((('Parameter Inputs'!$L987+'Parameter Inputs'!$L988)*365)/1000)</f>
        <v>2.3005210189098756E-2</v>
      </c>
      <c r="AN1639" s="50">
        <f ca="1">T1639/((('Parameter Inputs'!$L987+'Parameter Inputs'!$L988)*365)/1000)</f>
        <v>4.3422898306320457E-2</v>
      </c>
      <c r="AO1639" s="50">
        <f ca="1">U1639/((('Parameter Inputs'!$L987+'Parameter Inputs'!$L988)*365)/1000)</f>
        <v>4.843458650483224E-2</v>
      </c>
      <c r="AP1639" s="50">
        <f ca="1">V1639/((('Parameter Inputs'!$L987+'Parameter Inputs'!$L988)*365)/1000)</f>
        <v>0.17162301959823539</v>
      </c>
    </row>
    <row r="1640" spans="4:42">
      <c r="D1640" s="8" t="s">
        <v>997</v>
      </c>
      <c r="E1640" s="17">
        <f ca="1">'Parameter Inputs'!$E1117*1000*'Parameter Inputs'!$E11*'Parameter Inputs'!E747</f>
        <v>70.301434548479094</v>
      </c>
      <c r="F1640" s="8">
        <f ca="1">'Parameter Inputs'!$E1117*1000*'Parameter Inputs'!$E11*'Parameter Inputs'!F747</f>
        <v>19460.52121393468</v>
      </c>
      <c r="G1640" s="8">
        <f ca="1">'Parameter Inputs'!$E1117*1000*'Parameter Inputs'!$E11*'Parameter Inputs'!G747</f>
        <v>1011.4223639599426</v>
      </c>
      <c r="H1640" s="8">
        <f ca="1">'Parameter Inputs'!$E1117*1000*'Parameter Inputs'!$E11*'Parameter Inputs'!H747</f>
        <v>1391.3013417727348</v>
      </c>
      <c r="I1640" s="8">
        <f ca="1">'Parameter Inputs'!$E1117*1000*'Parameter Inputs'!$E11*'Parameter Inputs'!I747</f>
        <v>71489.523223182725</v>
      </c>
      <c r="J1640" s="8">
        <f ca="1">'Parameter Inputs'!$E1117*1000*'Parameter Inputs'!$E11*'Parameter Inputs'!J747</f>
        <v>5123.4467708039992</v>
      </c>
      <c r="K1640" s="8">
        <f ca="1">'Parameter Inputs'!$E1117*1000*'Parameter Inputs'!$E11*'Parameter Inputs'!K747</f>
        <v>12.602403098444901</v>
      </c>
      <c r="L1640" s="8">
        <f ca="1">'Parameter Inputs'!$E1117*1000*'Parameter Inputs'!$E11*'Parameter Inputs'!L747</f>
        <v>1.3132092632583605</v>
      </c>
      <c r="M1640" s="8">
        <f ca="1">'Parameter Inputs'!$E1117*1000*'Parameter Inputs'!$E11*'Parameter Inputs'!M747</f>
        <v>16087.463210908893</v>
      </c>
      <c r="N1640" s="8">
        <f ca="1">'Parameter Inputs'!$E1117*1000*'Parameter Inputs'!$E11*'Parameter Inputs'!N747</f>
        <v>23332.328941862095</v>
      </c>
      <c r="O1640" s="8">
        <f ca="1">'Parameter Inputs'!$E1117*1000*'Parameter Inputs'!$E11*'Parameter Inputs'!O747</f>
        <v>6695.3747189027708</v>
      </c>
      <c r="P1640" s="8">
        <f ca="1">'Parameter Inputs'!$E1117*1000*'Parameter Inputs'!$E11*'Parameter Inputs'!P747</f>
        <v>512.07240675911362</v>
      </c>
      <c r="Q1640" s="8">
        <f ca="1">'Parameter Inputs'!$E1117*1000*'Parameter Inputs'!$E11*'Parameter Inputs'!Q747</f>
        <v>2150.3786215951031</v>
      </c>
      <c r="R1640" s="8">
        <f ca="1">'Parameter Inputs'!$E1117*1000*'Parameter Inputs'!$E11*'Parameter Inputs'!R747</f>
        <v>7.4762955040465137E-3</v>
      </c>
      <c r="S1640" s="8">
        <f ca="1">'Parameter Inputs'!$E1117*1000*'Parameter Inputs'!$E11*'Parameter Inputs'!S747</f>
        <v>31.942877852539734</v>
      </c>
      <c r="T1640" s="8">
        <f ca="1">'Parameter Inputs'!$E1117*1000*'Parameter Inputs'!$E11*'Parameter Inputs'!T747</f>
        <v>46.36763571504828</v>
      </c>
      <c r="U1640" s="8">
        <f ca="1">'Parameter Inputs'!$E1117*1000*'Parameter Inputs'!$E11*'Parameter Inputs'!U747</f>
        <v>48.511145698992756</v>
      </c>
      <c r="V1640" s="8">
        <f ca="1">'Parameter Inputs'!$E1117*1000*'Parameter Inputs'!$E11*'Parameter Inputs'!V747</f>
        <v>213.64557074384203</v>
      </c>
      <c r="Y1640" s="50">
        <f ca="1">E1640/((('Parameter Inputs'!$L987+'Parameter Inputs'!$L988)*365)/1000)</f>
        <v>2.6696275090749657E-3</v>
      </c>
      <c r="Z1640" s="50">
        <f ca="1">F1640/((('Parameter Inputs'!$L987+'Parameter Inputs'!$L988)*365)/1000)</f>
        <v>0.73899406331219608</v>
      </c>
      <c r="AA1640" s="50">
        <f ca="1">G1640/((('Parameter Inputs'!$L987+'Parameter Inputs'!$L988)*365)/1000)</f>
        <v>3.8407764840973781E-2</v>
      </c>
      <c r="AB1640" s="50">
        <f ca="1">H1640/((('Parameter Inputs'!$L987+'Parameter Inputs'!$L988)*365)/1000)</f>
        <v>5.2833293648482993E-2</v>
      </c>
      <c r="AC1640" s="50">
        <f ca="1">I1640/((('Parameter Inputs'!$L987+'Parameter Inputs'!$L988)*365)/1000)</f>
        <v>2.7147440024947693</v>
      </c>
      <c r="AD1640" s="50">
        <f ca="1">J1640/((('Parameter Inputs'!$L987+'Parameter Inputs'!$L988)*365)/1000)</f>
        <v>0.19455782842080796</v>
      </c>
      <c r="AE1640" s="50">
        <f ca="1">K1640/((('Parameter Inputs'!$L987+'Parameter Inputs'!$L988)*365)/1000)</f>
        <v>4.7856380468110858E-4</v>
      </c>
      <c r="AF1640" s="50">
        <f ca="1">L1640/((('Parameter Inputs'!$L987+'Parameter Inputs'!$L988)*365)/1000)</f>
        <v>4.9867824133077126E-5</v>
      </c>
      <c r="AG1640" s="50">
        <f ca="1">M1640/((('Parameter Inputs'!$L987+'Parameter Inputs'!$L988)*365)/1000)</f>
        <v>0.61090551871253362</v>
      </c>
      <c r="AH1640" s="50">
        <f ca="1">N1640/((('Parameter Inputs'!$L987+'Parameter Inputs'!$L988)*365)/1000)</f>
        <v>0.88602213587871359</v>
      </c>
      <c r="AI1640" s="50">
        <f ca="1">O1640/((('Parameter Inputs'!$L987+'Parameter Inputs'!$L988)*365)/1000)</f>
        <v>0.25425023895952054</v>
      </c>
      <c r="AJ1640" s="50">
        <f ca="1">P1640/((('Parameter Inputs'!$L987+'Parameter Inputs'!$L988)*365)/1000)</f>
        <v>1.9445443645672088E-2</v>
      </c>
      <c r="AK1640" s="50">
        <f ca="1">Q1640/((('Parameter Inputs'!$L987+'Parameter Inputs'!$L988)*365)/1000)</f>
        <v>8.1658503272479643E-2</v>
      </c>
      <c r="AL1640" s="50">
        <f ca="1">R1640/((('Parameter Inputs'!$L987+'Parameter Inputs'!$L988)*365)/1000)</f>
        <v>2.8390493411357923E-7</v>
      </c>
      <c r="AM1640" s="50">
        <f ca="1">S1640/((('Parameter Inputs'!$L987+'Parameter Inputs'!$L988)*365)/1000)</f>
        <v>1.212999222304012E-3</v>
      </c>
      <c r="AN1640" s="50">
        <f ca="1">T1640/((('Parameter Inputs'!$L987+'Parameter Inputs'!$L988)*365)/1000)</f>
        <v>1.7607651484024761E-3</v>
      </c>
      <c r="AO1640" s="50">
        <f ca="1">U1640/((('Parameter Inputs'!$L987+'Parameter Inputs'!$L988)*365)/1000)</f>
        <v>1.8421628219473726E-3</v>
      </c>
      <c r="AP1640" s="50">
        <f ca="1">V1640/((('Parameter Inputs'!$L987+'Parameter Inputs'!$L988)*365)/1000)</f>
        <v>8.1129794365216324E-3</v>
      </c>
    </row>
    <row r="1641" spans="4:42">
      <c r="D1641" s="8" t="s">
        <v>1318</v>
      </c>
      <c r="E1641" s="17">
        <f ca="1">'Parameter Inputs'!$E$1201*'Parameter Inputs'!E716</f>
        <v>2985.2435540395318</v>
      </c>
      <c r="F1641" s="8">
        <f ca="1">'Parameter Inputs'!$E$1201*'Parameter Inputs'!F716</f>
        <v>588799.53044195205</v>
      </c>
      <c r="G1641" s="8">
        <f ca="1">'Parameter Inputs'!$E$1201*'Parameter Inputs'!G716</f>
        <v>9090.0940431485415</v>
      </c>
      <c r="H1641" s="8">
        <f ca="1">'Parameter Inputs'!$E$1201*'Parameter Inputs'!H716</f>
        <v>12065.511703677381</v>
      </c>
      <c r="I1641" s="8">
        <f ca="1">'Parameter Inputs'!$E$1201*'Parameter Inputs'!I716</f>
        <v>740986.6252819954</v>
      </c>
      <c r="J1641" s="8">
        <f ca="1">'Parameter Inputs'!$E$1201*'Parameter Inputs'!J716</f>
        <v>54030.988851243659</v>
      </c>
      <c r="K1641" s="8">
        <f ca="1">'Parameter Inputs'!$E$1201*'Parameter Inputs'!K716</f>
        <v>94.922701496327406</v>
      </c>
      <c r="L1641" s="8">
        <f ca="1">'Parameter Inputs'!$E$1201*'Parameter Inputs'!L716</f>
        <v>7.224088312722424</v>
      </c>
      <c r="M1641" s="8">
        <f ca="1">'Parameter Inputs'!$E$1201*'Parameter Inputs'!M716</f>
        <v>16233.061607119891</v>
      </c>
      <c r="N1641" s="8">
        <f ca="1">'Parameter Inputs'!$E$1201*'Parameter Inputs'!N716</f>
        <v>236324.16438974917</v>
      </c>
      <c r="O1641" s="8">
        <f ca="1">'Parameter Inputs'!$E$1201*'Parameter Inputs'!O716</f>
        <v>7623.5223093896857</v>
      </c>
      <c r="P1641" s="8">
        <f ca="1">'Parameter Inputs'!$E$1201*'Parameter Inputs'!P716</f>
        <v>19037.782931544356</v>
      </c>
      <c r="Q1641" s="8">
        <f ca="1">'Parameter Inputs'!$E$1201*'Parameter Inputs'!Q716</f>
        <v>3169.4219300771815</v>
      </c>
      <c r="R1641" s="8">
        <f ca="1">'Parameter Inputs'!$E$1201*'Parameter Inputs'!R716</f>
        <v>1.651138575353907</v>
      </c>
      <c r="S1641" s="8">
        <f ca="1">'Parameter Inputs'!$E$1201*'Parameter Inputs'!S716</f>
        <v>759.47301563118401</v>
      </c>
      <c r="T1641" s="8">
        <f ca="1">'Parameter Inputs'!$E$1201*'Parameter Inputs'!T716</f>
        <v>700.12918900962347</v>
      </c>
      <c r="U1641" s="8">
        <f ca="1">'Parameter Inputs'!$E$1201*'Parameter Inputs'!U716</f>
        <v>722.86584957506545</v>
      </c>
      <c r="V1641" s="8">
        <f ca="1">'Parameter Inputs'!$E$1201*'Parameter Inputs'!V716</f>
        <v>573.30660997625375</v>
      </c>
      <c r="Y1641" s="50">
        <f ca="1">E1641/((('Parameter Inputs'!$L987+'Parameter Inputs'!$L988)*365)/1000)</f>
        <v>0.11336167411572493</v>
      </c>
      <c r="Z1641" s="50">
        <f ca="1">F1641/((('Parameter Inputs'!$L987+'Parameter Inputs'!$L988)*365)/1000)</f>
        <v>22.359080350121587</v>
      </c>
      <c r="AA1641" s="50">
        <f ca="1">G1641/((('Parameter Inputs'!$L987+'Parameter Inputs'!$L988)*365)/1000)</f>
        <v>0.34518733897148934</v>
      </c>
      <c r="AB1641" s="50">
        <f ca="1">H1641/((('Parameter Inputs'!$L987+'Parameter Inputs'!$L988)*365)/1000)</f>
        <v>0.4581758844905382</v>
      </c>
      <c r="AC1641" s="50">
        <f ca="1">I1641/((('Parameter Inputs'!$L987+'Parameter Inputs'!$L988)*365)/1000)</f>
        <v>28.138234893988145</v>
      </c>
      <c r="AD1641" s="50">
        <f ca="1">J1641/((('Parameter Inputs'!$L987+'Parameter Inputs'!$L988)*365)/1000)</f>
        <v>2.0517734112571304</v>
      </c>
      <c r="AE1641" s="50">
        <f ca="1">K1641/((('Parameter Inputs'!$L987+'Parameter Inputs'!$L988)*365)/1000)</f>
        <v>3.604595792075331E-3</v>
      </c>
      <c r="AF1641" s="50">
        <f ca="1">L1641/((('Parameter Inputs'!$L987+'Parameter Inputs'!$L988)*365)/1000)</f>
        <v>2.7432761523993624E-4</v>
      </c>
      <c r="AG1641" s="50">
        <f ca="1">M1641/((('Parameter Inputs'!$L987+'Parameter Inputs'!$L988)*365)/1000)</f>
        <v>0.61643447393654172</v>
      </c>
      <c r="AH1641" s="50">
        <f ca="1">N1641/((('Parameter Inputs'!$L987+'Parameter Inputs'!$L988)*365)/1000)</f>
        <v>8.974176620520721</v>
      </c>
      <c r="AI1641" s="50">
        <f ca="1">O1641/((('Parameter Inputs'!$L987+'Parameter Inputs'!$L988)*365)/1000)</f>
        <v>0.28949572656527978</v>
      </c>
      <c r="AJ1641" s="50">
        <f ca="1">P1641/((('Parameter Inputs'!$L987+'Parameter Inputs'!$L988)*365)/1000)</f>
        <v>0.72294099476449702</v>
      </c>
      <c r="AK1641" s="50">
        <f ca="1">Q1641/((('Parameter Inputs'!$L987+'Parameter Inputs'!$L988)*365)/1000)</f>
        <v>0.12035566595109495</v>
      </c>
      <c r="AL1641" s="50">
        <f ca="1">R1641/((('Parameter Inputs'!$L987+'Parameter Inputs'!$L988)*365)/1000)</f>
        <v>6.2700355837262209E-5</v>
      </c>
      <c r="AM1641" s="50">
        <f ca="1">S1641/((('Parameter Inputs'!$L987+'Parameter Inputs'!$L988)*365)/1000)</f>
        <v>2.8840237300292663E-2</v>
      </c>
      <c r="AN1641" s="50">
        <f ca="1">T1641/((('Parameter Inputs'!$L987+'Parameter Inputs'!$L988)*365)/1000)</f>
        <v>2.6586714124553705E-2</v>
      </c>
      <c r="AO1641" s="50">
        <f ca="1">U1641/((('Parameter Inputs'!$L987+'Parameter Inputs'!$L988)*365)/1000)</f>
        <v>2.7450116342443681E-2</v>
      </c>
      <c r="AP1641" s="50">
        <f ca="1">V1641/((('Parameter Inputs'!$L987+'Parameter Inputs'!$L988)*365)/1000)</f>
        <v>2.1770752004664894E-2</v>
      </c>
    </row>
    <row r="1642" spans="4:42">
      <c r="D1642" s="8" t="s">
        <v>1388</v>
      </c>
      <c r="E1642" s="17" cm="1">
        <f t="array" aca="1" ref="E1642" ca="1">_xlfn.IFS('Parameter Inputs'!$E13='Parameter Inputs'!$AJ19,-('Parameter Inputs'!$E1248*'Parameter Inputs'!E710),'Parameter Inputs'!$E13='Parameter Inputs'!$AJ20,-('Parameter Inputs'!$E1248*'Parameter Inputs'!E751))</f>
        <v>0</v>
      </c>
      <c r="F1642" s="8" cm="1">
        <f t="array" aca="1" ref="F1642" ca="1">_xlfn.IFS('Parameter Inputs'!$E13='Parameter Inputs'!$AJ19,-('Parameter Inputs'!$E1248*'Parameter Inputs'!F710),'Parameter Inputs'!$E13='Parameter Inputs'!$AJ20,-('Parameter Inputs'!$E1248*'Parameter Inputs'!F751))</f>
        <v>0</v>
      </c>
      <c r="G1642" s="8" cm="1">
        <f t="array" aca="1" ref="G1642" ca="1">_xlfn.IFS('Parameter Inputs'!$E13='Parameter Inputs'!$AJ19,-('Parameter Inputs'!$E1248*'Parameter Inputs'!G710),'Parameter Inputs'!$E13='Parameter Inputs'!$AJ20,-('Parameter Inputs'!$E1248*'Parameter Inputs'!G751))</f>
        <v>0</v>
      </c>
      <c r="H1642" s="8" cm="1">
        <f t="array" aca="1" ref="H1642" ca="1">_xlfn.IFS('Parameter Inputs'!$E13='Parameter Inputs'!$AJ19,-('Parameter Inputs'!$E1248*'Parameter Inputs'!H710),'Parameter Inputs'!$E13='Parameter Inputs'!$AJ20,-('Parameter Inputs'!$E1248*'Parameter Inputs'!H751))</f>
        <v>0</v>
      </c>
      <c r="I1642" s="8" cm="1">
        <f t="array" aca="1" ref="I1642" ca="1">_xlfn.IFS('Parameter Inputs'!$E13='Parameter Inputs'!$AJ19,-('Parameter Inputs'!$E1248*'Parameter Inputs'!I710),'Parameter Inputs'!$E13='Parameter Inputs'!$AJ20,-('Parameter Inputs'!$E1248*'Parameter Inputs'!I751))</f>
        <v>0</v>
      </c>
      <c r="J1642" s="8" cm="1">
        <f t="array" aca="1" ref="J1642" ca="1">_xlfn.IFS('Parameter Inputs'!$E13='Parameter Inputs'!$AJ19,-('Parameter Inputs'!$E1248*'Parameter Inputs'!J710),'Parameter Inputs'!$E13='Parameter Inputs'!$AJ20,-('Parameter Inputs'!$E1248*'Parameter Inputs'!J751))</f>
        <v>0</v>
      </c>
      <c r="K1642" s="8" cm="1">
        <f t="array" aca="1" ref="K1642" ca="1">_xlfn.IFS('Parameter Inputs'!$E13='Parameter Inputs'!$AJ19,-('Parameter Inputs'!$E1248*'Parameter Inputs'!K710),'Parameter Inputs'!$E13='Parameter Inputs'!$AJ20,-('Parameter Inputs'!$E1248*'Parameter Inputs'!K751))</f>
        <v>0</v>
      </c>
      <c r="L1642" s="8" cm="1">
        <f t="array" aca="1" ref="L1642" ca="1">_xlfn.IFS('Parameter Inputs'!$E13='Parameter Inputs'!$AJ19,-('Parameter Inputs'!$E1248*'Parameter Inputs'!L710),'Parameter Inputs'!$E13='Parameter Inputs'!$AJ20,-('Parameter Inputs'!$E1248*'Parameter Inputs'!L751))</f>
        <v>0</v>
      </c>
      <c r="M1642" s="8" cm="1">
        <f t="array" aca="1" ref="M1642" ca="1">_xlfn.IFS('Parameter Inputs'!$E13='Parameter Inputs'!$AJ19,-('Parameter Inputs'!$E1248*'Parameter Inputs'!M710),'Parameter Inputs'!$E13='Parameter Inputs'!$AJ20,-('Parameter Inputs'!$E1248*'Parameter Inputs'!M751))</f>
        <v>0</v>
      </c>
      <c r="N1642" s="8" cm="1">
        <f t="array" aca="1" ref="N1642" ca="1">_xlfn.IFS('Parameter Inputs'!$E13='Parameter Inputs'!$AJ19,-('Parameter Inputs'!$E1248*'Parameter Inputs'!N710),'Parameter Inputs'!$E13='Parameter Inputs'!$AJ20,-('Parameter Inputs'!$E1248*'Parameter Inputs'!N751))</f>
        <v>0</v>
      </c>
      <c r="O1642" s="8" cm="1">
        <f t="array" aca="1" ref="O1642" ca="1">_xlfn.IFS('Parameter Inputs'!$E13='Parameter Inputs'!$AJ19,-('Parameter Inputs'!$E1248*'Parameter Inputs'!O710),'Parameter Inputs'!$E13='Parameter Inputs'!$AJ20,-('Parameter Inputs'!$E1248*'Parameter Inputs'!O751))</f>
        <v>0</v>
      </c>
      <c r="P1642" s="8" cm="1">
        <f t="array" aca="1" ref="P1642" ca="1">_xlfn.IFS('Parameter Inputs'!$E13='Parameter Inputs'!$AJ19,-('Parameter Inputs'!$E1248*'Parameter Inputs'!P710),'Parameter Inputs'!$E13='Parameter Inputs'!$AJ20,-('Parameter Inputs'!$E1248*'Parameter Inputs'!P751))</f>
        <v>0</v>
      </c>
      <c r="Q1642" s="8" cm="1">
        <f t="array" aca="1" ref="Q1642" ca="1">_xlfn.IFS('Parameter Inputs'!$E13='Parameter Inputs'!$AJ19,-('Parameter Inputs'!$E1248*'Parameter Inputs'!Q710),'Parameter Inputs'!$E13='Parameter Inputs'!$AJ20,-('Parameter Inputs'!$E1248*'Parameter Inputs'!Q751))</f>
        <v>0</v>
      </c>
      <c r="R1642" s="8" cm="1">
        <f t="array" aca="1" ref="R1642" ca="1">_xlfn.IFS('Parameter Inputs'!$E13='Parameter Inputs'!$AJ19,-('Parameter Inputs'!$E1248*'Parameter Inputs'!R710),'Parameter Inputs'!$E13='Parameter Inputs'!$AJ20,-('Parameter Inputs'!$E1248*'Parameter Inputs'!R751))</f>
        <v>0</v>
      </c>
      <c r="S1642" s="8" cm="1">
        <f t="array" aca="1" ref="S1642" ca="1">_xlfn.IFS('Parameter Inputs'!$E13='Parameter Inputs'!$AJ19,-('Parameter Inputs'!$E1248*'Parameter Inputs'!S710),'Parameter Inputs'!$E13='Parameter Inputs'!$AJ20,-('Parameter Inputs'!$E1248*'Parameter Inputs'!S751))</f>
        <v>0</v>
      </c>
      <c r="T1642" s="8" cm="1">
        <f t="array" aca="1" ref="T1642" ca="1">_xlfn.IFS('Parameter Inputs'!$E13='Parameter Inputs'!$AJ19,-('Parameter Inputs'!$E1248*'Parameter Inputs'!T710),'Parameter Inputs'!$E13='Parameter Inputs'!$AJ20,-('Parameter Inputs'!$E1248*'Parameter Inputs'!T751))</f>
        <v>0</v>
      </c>
      <c r="U1642" s="8" cm="1">
        <f t="array" aca="1" ref="U1642" ca="1">_xlfn.IFS('Parameter Inputs'!$E13='Parameter Inputs'!$AJ19,-('Parameter Inputs'!$E1248*'Parameter Inputs'!U710),'Parameter Inputs'!$E13='Parameter Inputs'!$AJ20,-('Parameter Inputs'!$E1248*'Parameter Inputs'!U751))</f>
        <v>0</v>
      </c>
      <c r="V1642" s="8" cm="1">
        <f t="array" aca="1" ref="V1642" ca="1">_xlfn.IFS('Parameter Inputs'!$E13='Parameter Inputs'!$AJ19,-('Parameter Inputs'!$E1248*'Parameter Inputs'!V710),'Parameter Inputs'!$E13='Parameter Inputs'!$AJ20,-('Parameter Inputs'!$E1248*'Parameter Inputs'!V751))</f>
        <v>0</v>
      </c>
      <c r="Y1642" s="50">
        <f ca="1">E1642/((('Parameter Inputs'!$L987+'Parameter Inputs'!$L988)*365)/1000)</f>
        <v>0</v>
      </c>
      <c r="Z1642" s="50">
        <f ca="1">F1642/((('Parameter Inputs'!$L987+'Parameter Inputs'!$L988)*365)/1000)</f>
        <v>0</v>
      </c>
      <c r="AA1642" s="50">
        <f ca="1">G1642/((('Parameter Inputs'!$L987+'Parameter Inputs'!$L988)*365)/1000)</f>
        <v>0</v>
      </c>
      <c r="AB1642" s="50">
        <f ca="1">H1642/((('Parameter Inputs'!$L987+'Parameter Inputs'!$L988)*365)/1000)</f>
        <v>0</v>
      </c>
      <c r="AC1642" s="50">
        <f ca="1">I1642/((('Parameter Inputs'!$L987+'Parameter Inputs'!$L988)*365)/1000)</f>
        <v>0</v>
      </c>
      <c r="AD1642" s="50">
        <f ca="1">J1642/((('Parameter Inputs'!$L987+'Parameter Inputs'!$L988)*365)/1000)</f>
        <v>0</v>
      </c>
      <c r="AE1642" s="50">
        <f ca="1">K1642/((('Parameter Inputs'!$L987+'Parameter Inputs'!$L988)*365)/1000)</f>
        <v>0</v>
      </c>
      <c r="AF1642" s="50">
        <f ca="1">L1642/((('Parameter Inputs'!$L987+'Parameter Inputs'!$L988)*365)/1000)</f>
        <v>0</v>
      </c>
      <c r="AG1642" s="50">
        <f ca="1">M1642/((('Parameter Inputs'!$L987+'Parameter Inputs'!$L988)*365)/1000)</f>
        <v>0</v>
      </c>
      <c r="AH1642" s="50">
        <f ca="1">N1642/((('Parameter Inputs'!$L987+'Parameter Inputs'!$L988)*365)/1000)</f>
        <v>0</v>
      </c>
      <c r="AI1642" s="50">
        <f ca="1">O1642/((('Parameter Inputs'!$L987+'Parameter Inputs'!$L988)*365)/1000)</f>
        <v>0</v>
      </c>
      <c r="AJ1642" s="50">
        <f ca="1">P1642/((('Parameter Inputs'!$L987+'Parameter Inputs'!$L988)*365)/1000)</f>
        <v>0</v>
      </c>
      <c r="AK1642" s="50">
        <f ca="1">Q1642/((('Parameter Inputs'!$L987+'Parameter Inputs'!$L988)*365)/1000)</f>
        <v>0</v>
      </c>
      <c r="AL1642" s="50">
        <f ca="1">R1642/((('Parameter Inputs'!$L987+'Parameter Inputs'!$L988)*365)/1000)</f>
        <v>0</v>
      </c>
      <c r="AM1642" s="50">
        <f ca="1">S1642/((('Parameter Inputs'!$L987+'Parameter Inputs'!$L988)*365)/1000)</f>
        <v>0</v>
      </c>
      <c r="AN1642" s="50">
        <f ca="1">T1642/((('Parameter Inputs'!$L987+'Parameter Inputs'!$L988)*365)/1000)</f>
        <v>0</v>
      </c>
      <c r="AO1642" s="50">
        <f ca="1">U1642/((('Parameter Inputs'!$L987+'Parameter Inputs'!$L988)*365)/1000)</f>
        <v>0</v>
      </c>
      <c r="AP1642" s="50">
        <f ca="1">V1642/((('Parameter Inputs'!$L987+'Parameter Inputs'!$L988)*365)/1000)</f>
        <v>0</v>
      </c>
    </row>
    <row r="1643" spans="4:42">
      <c r="D1643" s="8" t="s">
        <v>1319</v>
      </c>
      <c r="E1643" s="17">
        <f ca="1">-('Parameter Inputs'!$E1249*'Parameter Inputs'!E720)</f>
        <v>0</v>
      </c>
      <c r="F1643" s="8">
        <f ca="1">-('Parameter Inputs'!$E1249*'Parameter Inputs'!F720)</f>
        <v>0</v>
      </c>
      <c r="G1643" s="8">
        <f ca="1">-('Parameter Inputs'!$E1249*'Parameter Inputs'!G720)</f>
        <v>0</v>
      </c>
      <c r="H1643" s="8">
        <f ca="1">-('Parameter Inputs'!$E1249*'Parameter Inputs'!H720)</f>
        <v>0</v>
      </c>
      <c r="I1643" s="8">
        <f ca="1">-('Parameter Inputs'!$E1249*'Parameter Inputs'!I720)</f>
        <v>0</v>
      </c>
      <c r="J1643" s="8">
        <f ca="1">-('Parameter Inputs'!$E1249*'Parameter Inputs'!J720)</f>
        <v>0</v>
      </c>
      <c r="K1643" s="8">
        <f ca="1">-('Parameter Inputs'!$E1249*'Parameter Inputs'!K720)</f>
        <v>0</v>
      </c>
      <c r="L1643" s="8">
        <f ca="1">-('Parameter Inputs'!$E1249*'Parameter Inputs'!L720)</f>
        <v>0</v>
      </c>
      <c r="M1643" s="8">
        <f ca="1">-('Parameter Inputs'!$E1249*'Parameter Inputs'!M720)</f>
        <v>0</v>
      </c>
      <c r="N1643" s="8">
        <f ca="1">-('Parameter Inputs'!$E1249*'Parameter Inputs'!N720)</f>
        <v>0</v>
      </c>
      <c r="O1643" s="8">
        <f ca="1">-('Parameter Inputs'!$E1249*'Parameter Inputs'!O720)</f>
        <v>0</v>
      </c>
      <c r="P1643" s="8">
        <f ca="1">-('Parameter Inputs'!$E1249*'Parameter Inputs'!P720)</f>
        <v>0</v>
      </c>
      <c r="Q1643" s="8">
        <f ca="1">-('Parameter Inputs'!$E1249*'Parameter Inputs'!Q720)</f>
        <v>0</v>
      </c>
      <c r="R1643" s="8">
        <f ca="1">-('Parameter Inputs'!$E1249*'Parameter Inputs'!R720)</f>
        <v>0</v>
      </c>
      <c r="S1643" s="8">
        <f ca="1">-('Parameter Inputs'!$E1249*'Parameter Inputs'!S720)</f>
        <v>0</v>
      </c>
      <c r="T1643" s="8">
        <f ca="1">-('Parameter Inputs'!$E1249*'Parameter Inputs'!T720)</f>
        <v>0</v>
      </c>
      <c r="U1643" s="8">
        <f ca="1">-('Parameter Inputs'!$E1249*'Parameter Inputs'!U720)</f>
        <v>0</v>
      </c>
      <c r="V1643" s="8">
        <f ca="1">-('Parameter Inputs'!$E1249*'Parameter Inputs'!V720)</f>
        <v>0</v>
      </c>
      <c r="Y1643" s="50">
        <f ca="1">E1643/((('Parameter Inputs'!$L987+'Parameter Inputs'!$L988)*365)/1000)</f>
        <v>0</v>
      </c>
      <c r="Z1643" s="50">
        <f ca="1">F1643/((('Parameter Inputs'!$L987+'Parameter Inputs'!$L988)*365)/1000)</f>
        <v>0</v>
      </c>
      <c r="AA1643" s="50">
        <f ca="1">G1643/((('Parameter Inputs'!$L987+'Parameter Inputs'!$L988)*365)/1000)</f>
        <v>0</v>
      </c>
      <c r="AB1643" s="50">
        <f ca="1">H1643/((('Parameter Inputs'!$L987+'Parameter Inputs'!$L988)*365)/1000)</f>
        <v>0</v>
      </c>
      <c r="AC1643" s="50">
        <f ca="1">I1643/((('Parameter Inputs'!$L987+'Parameter Inputs'!$L988)*365)/1000)</f>
        <v>0</v>
      </c>
      <c r="AD1643" s="50">
        <f ca="1">J1643/((('Parameter Inputs'!$L987+'Parameter Inputs'!$L988)*365)/1000)</f>
        <v>0</v>
      </c>
      <c r="AE1643" s="50">
        <f ca="1">K1643/((('Parameter Inputs'!$L987+'Parameter Inputs'!$L988)*365)/1000)</f>
        <v>0</v>
      </c>
      <c r="AF1643" s="50">
        <f ca="1">L1643/((('Parameter Inputs'!$L987+'Parameter Inputs'!$L988)*365)/1000)</f>
        <v>0</v>
      </c>
      <c r="AG1643" s="50">
        <f ca="1">M1643/((('Parameter Inputs'!$L987+'Parameter Inputs'!$L988)*365)/1000)</f>
        <v>0</v>
      </c>
      <c r="AH1643" s="50">
        <f ca="1">N1643/((('Parameter Inputs'!$L987+'Parameter Inputs'!$L988)*365)/1000)</f>
        <v>0</v>
      </c>
      <c r="AI1643" s="50">
        <f ca="1">O1643/((('Parameter Inputs'!$L987+'Parameter Inputs'!$L988)*365)/1000)</f>
        <v>0</v>
      </c>
      <c r="AJ1643" s="50">
        <f ca="1">P1643/((('Parameter Inputs'!$L987+'Parameter Inputs'!$L988)*365)/1000)</f>
        <v>0</v>
      </c>
      <c r="AK1643" s="50">
        <f ca="1">Q1643/((('Parameter Inputs'!$L987+'Parameter Inputs'!$L988)*365)/1000)</f>
        <v>0</v>
      </c>
      <c r="AL1643" s="50">
        <f ca="1">R1643/((('Parameter Inputs'!$L987+'Parameter Inputs'!$L988)*365)/1000)</f>
        <v>0</v>
      </c>
      <c r="AM1643" s="50">
        <f ca="1">S1643/((('Parameter Inputs'!$L987+'Parameter Inputs'!$L988)*365)/1000)</f>
        <v>0</v>
      </c>
      <c r="AN1643" s="50">
        <f ca="1">T1643/((('Parameter Inputs'!$L987+'Parameter Inputs'!$L988)*365)/1000)</f>
        <v>0</v>
      </c>
      <c r="AO1643" s="50">
        <f ca="1">U1643/((('Parameter Inputs'!$L987+'Parameter Inputs'!$L988)*365)/1000)</f>
        <v>0</v>
      </c>
      <c r="AP1643" s="50">
        <f ca="1">V1643/((('Parameter Inputs'!$L987+'Parameter Inputs'!$L988)*365)/1000)</f>
        <v>0</v>
      </c>
    </row>
    <row r="1644" spans="4:42">
      <c r="D1644" s="8" t="s">
        <v>1199</v>
      </c>
      <c r="E1644" s="17">
        <f ca="1">-'Parameter Inputs'!$L909*'Parameter Inputs'!E749</f>
        <v>-4002.7241318805268</v>
      </c>
      <c r="F1644" s="8">
        <f ca="1">-'Parameter Inputs'!$L909*'Parameter Inputs'!F749</f>
        <v>-1316861.6739519134</v>
      </c>
      <c r="G1644" s="8">
        <f ca="1">-'Parameter Inputs'!$L909*'Parameter Inputs'!G749</f>
        <v>-93200.986808145943</v>
      </c>
      <c r="H1644" s="8">
        <f ca="1">-'Parameter Inputs'!$L909*'Parameter Inputs'!H749</f>
        <v>-121933.36065394784</v>
      </c>
      <c r="I1644" s="8">
        <f ca="1">-'Parameter Inputs'!$L909*'Parameter Inputs'!I749</f>
        <v>-9412040.4150100872</v>
      </c>
      <c r="J1644" s="8">
        <f ca="1">-'Parameter Inputs'!$L909*'Parameter Inputs'!J749</f>
        <v>-376728.34631748509</v>
      </c>
      <c r="K1644" s="8">
        <f ca="1">-'Parameter Inputs'!$L909*'Parameter Inputs'!K749</f>
        <v>-415.39042745640029</v>
      </c>
      <c r="L1644" s="8">
        <f ca="1">-'Parameter Inputs'!$L909*'Parameter Inputs'!L749</f>
        <v>-75.942708626057637</v>
      </c>
      <c r="M1644" s="8">
        <f ca="1">-'Parameter Inputs'!$L909*'Parameter Inputs'!M749</f>
        <v>-86266.95070261744</v>
      </c>
      <c r="N1644" s="8">
        <f ca="1">-'Parameter Inputs'!$L909*'Parameter Inputs'!N749</f>
        <v>-1528676.8084276079</v>
      </c>
      <c r="O1644" s="8">
        <f ca="1">-'Parameter Inputs'!$L909*'Parameter Inputs'!O749</f>
        <v>-137156.11867011312</v>
      </c>
      <c r="P1644" s="8">
        <f ca="1">-'Parameter Inputs'!$L909*'Parameter Inputs'!P749</f>
        <v>-108604.13683444164</v>
      </c>
      <c r="Q1644" s="8">
        <f ca="1">-'Parameter Inputs'!$L909*'Parameter Inputs'!Q749</f>
        <v>-72270.85835533886</v>
      </c>
      <c r="R1644" s="8">
        <f ca="1">-'Parameter Inputs'!$L909*'Parameter Inputs'!R749</f>
        <v>-0.28574094404655215</v>
      </c>
      <c r="S1644" s="8">
        <f ca="1">-'Parameter Inputs'!$L909*'Parameter Inputs'!S749</f>
        <v>-1300.3354381851286</v>
      </c>
      <c r="T1644" s="8">
        <f ca="1">-'Parameter Inputs'!$L909*'Parameter Inputs'!T749</f>
        <v>-2176.6914615928094</v>
      </c>
      <c r="U1644" s="8">
        <f ca="1">-'Parameter Inputs'!$L909*'Parameter Inputs'!U749</f>
        <v>-2329.1518056385012</v>
      </c>
      <c r="V1644" s="8">
        <f ca="1">-'Parameter Inputs'!$L909*'Parameter Inputs'!V749</f>
        <v>-15179.696697618034</v>
      </c>
      <c r="Y1644" s="8">
        <f ca="1">E1644/((('Parameter Inputs'!$L987+'Parameter Inputs'!$L988)*365)/1000)</f>
        <v>-0.15199949364244719</v>
      </c>
      <c r="Z1644" s="8">
        <f ca="1">F1644/((('Parameter Inputs'!$L987+'Parameter Inputs'!$L988)*365)/1000)</f>
        <v>-50.006520820059016</v>
      </c>
      <c r="AA1644" s="8">
        <f ca="1">G1644/((('Parameter Inputs'!$L987+'Parameter Inputs'!$L988)*365)/1000)</f>
        <v>-3.5392153780927673</v>
      </c>
      <c r="AB1644" s="8">
        <f ca="1">H1644/((('Parameter Inputs'!$L987+'Parameter Inputs'!$L988)*365)/1000)</f>
        <v>-4.6302988831794814</v>
      </c>
      <c r="AC1644" s="8">
        <f ca="1">I1644/((('Parameter Inputs'!$L987+'Parameter Inputs'!$L988)*365)/1000)</f>
        <v>-357.41293431372623</v>
      </c>
      <c r="AD1644" s="8">
        <f ca="1">J1644/((('Parameter Inputs'!$L987+'Parameter Inputs'!$L988)*365)/1000)</f>
        <v>-14.305886689750865</v>
      </c>
      <c r="AE1644" s="8">
        <f ca="1">K1644/((('Parameter Inputs'!$L987+'Parameter Inputs'!$L988)*365)/1000)</f>
        <v>-1.5774041017318129E-2</v>
      </c>
      <c r="AF1644" s="8">
        <f ca="1">L1644/((('Parameter Inputs'!$L987+'Parameter Inputs'!$L988)*365)/1000)</f>
        <v>-2.8838493177828647E-3</v>
      </c>
      <c r="AG1644" s="8">
        <f ca="1">M1644/((('Parameter Inputs'!$L987+'Parameter Inputs'!$L988)*365)/1000)</f>
        <v>-3.2759022088078256</v>
      </c>
      <c r="AH1644" s="8">
        <f ca="1">N1644/((('Parameter Inputs'!$L987+'Parameter Inputs'!$L988)*365)/1000)</f>
        <v>-58.04999124803139</v>
      </c>
      <c r="AI1644" s="8">
        <f ca="1">O1644/((('Parameter Inputs'!$L987+'Parameter Inputs'!$L988)*365)/1000)</f>
        <v>-5.2083680765744189</v>
      </c>
      <c r="AJ1644" s="8">
        <f ca="1">P1644/((('Parameter Inputs'!$L987+'Parameter Inputs'!$L988)*365)/1000)</f>
        <v>-4.1241347798192205</v>
      </c>
      <c r="AK1644" s="8">
        <f ca="1">Q1644/((('Parameter Inputs'!$L987+'Parameter Inputs'!$L988)*365)/1000)</f>
        <v>-2.7444144320671895</v>
      </c>
      <c r="AL1644" s="8">
        <f ca="1">R1644/((('Parameter Inputs'!$L987+'Parameter Inputs'!$L988)*365)/1000)</f>
        <v>-1.0850729997119654E-5</v>
      </c>
      <c r="AM1644" s="8">
        <f ca="1">S1644/((('Parameter Inputs'!$L987+'Parameter Inputs'!$L988)*365)/1000)</f>
        <v>-4.9378953347107332E-2</v>
      </c>
      <c r="AN1644" s="8">
        <f ca="1">T1644/((('Parameter Inputs'!$L987+'Parameter Inputs'!$L988)*365)/1000)</f>
        <v>-8.2657707370531491E-2</v>
      </c>
      <c r="AO1644" s="8">
        <f ca="1">U1644/((('Parameter Inputs'!$L987+'Parameter Inputs'!$L988)*365)/1000)</f>
        <v>-8.8447238282973129E-2</v>
      </c>
      <c r="AP1644" s="8">
        <f ca="1">V1644/((('Parameter Inputs'!$L987+'Parameter Inputs'!$L988)*365)/1000)</f>
        <v>-0.57643398237386623</v>
      </c>
    </row>
    <row r="1645" spans="4:42">
      <c r="D1645" s="8" t="s">
        <v>642</v>
      </c>
      <c r="E1645" s="17">
        <f ca="1">-($E1597*1000*'Parameter Inputs'!E727)</f>
        <v>-5354.8400496702216</v>
      </c>
      <c r="F1645" s="8">
        <f ca="1">-($E1597*1000*'Parameter Inputs'!F727)</f>
        <v>-1989082.0379973543</v>
      </c>
      <c r="G1645" s="8">
        <f ca="1">-($E1597*1000*'Parameter Inputs'!G727)</f>
        <v>-74581.73591741058</v>
      </c>
      <c r="H1645" s="8">
        <f ca="1">-($E1597*1000*'Parameter Inputs'!H727)</f>
        <v>-98994.395510376766</v>
      </c>
      <c r="I1645" s="8">
        <f ca="1">-($E1597*1000*'Parameter Inputs'!I727)</f>
        <v>-8317792.3927891422</v>
      </c>
      <c r="J1645" s="8">
        <f ca="1">-($E1597*1000*'Parameter Inputs'!J727)</f>
        <v>-1006853.4348850427</v>
      </c>
      <c r="K1645" s="8">
        <f ca="1">-($E1597*1000*'Parameter Inputs'!K727)</f>
        <v>-403.26216021344038</v>
      </c>
      <c r="L1645" s="8">
        <f ca="1">-($E1597*1000*'Parameter Inputs'!L727)</f>
        <v>-63.467128427718535</v>
      </c>
      <c r="M1645" s="8">
        <f ca="1">-($E1597*1000*'Parameter Inputs'!M727)</f>
        <v>-101495.45544760718</v>
      </c>
      <c r="N1645" s="8">
        <f ca="1">-($E1597*1000*'Parameter Inputs'!N727)</f>
        <v>-1486298.2665541209</v>
      </c>
      <c r="O1645" s="8">
        <f ca="1">-($E1597*1000*'Parameter Inputs'!O727)</f>
        <v>-92159.879537945089</v>
      </c>
      <c r="P1645" s="8">
        <f ca="1">-($E1597*1000*'Parameter Inputs'!P727)</f>
        <v>-26068.888487132146</v>
      </c>
      <c r="Q1645" s="8">
        <f ca="1">-($E1597*1000*'Parameter Inputs'!Q727)</f>
        <v>-18823.530021155424</v>
      </c>
      <c r="R1645" s="8">
        <f ca="1">-($E1597*1000*'Parameter Inputs'!R727)</f>
        <v>-12.73290256989999</v>
      </c>
      <c r="S1645" s="8">
        <f ca="1">-($E1597*1000*'Parameter Inputs'!S727)</f>
        <v>-2215.0132621471653</v>
      </c>
      <c r="T1645" s="8">
        <f ca="1">-($E1597*1000*'Parameter Inputs'!T727)</f>
        <v>-3953.6678334218345</v>
      </c>
      <c r="U1645" s="8">
        <f ca="1">-($E1597*1000*'Parameter Inputs'!U727)</f>
        <v>-4217.2756931299236</v>
      </c>
      <c r="V1645" s="8">
        <f ca="1">-($E1597*1000*'Parameter Inputs'!V727)</f>
        <v>-22715.282154845823</v>
      </c>
      <c r="Y1645" s="50">
        <f ca="1">E1645/((('Parameter Inputs'!$L987+'Parameter Inputs'!$L988)*365)/1000)</f>
        <v>-0.20334475953599507</v>
      </c>
      <c r="Z1645" s="50">
        <f ca="1">F1645/((('Parameter Inputs'!$L987+'Parameter Inputs'!$L988)*365)/1000)</f>
        <v>-75.533424894521048</v>
      </c>
      <c r="AA1645" s="50">
        <f ca="1">G1645/((('Parameter Inputs'!$L987+'Parameter Inputs'!$L988)*365)/1000)</f>
        <v>-2.8321677240082885</v>
      </c>
      <c r="AB1645" s="50">
        <f ca="1">H1645/((('Parameter Inputs'!$L987+'Parameter Inputs'!$L988)*365)/1000)</f>
        <v>-3.759214348841001</v>
      </c>
      <c r="AC1645" s="50">
        <f ca="1">I1645/((('Parameter Inputs'!$L987+'Parameter Inputs'!$L988)*365)/1000)</f>
        <v>-315.85994694392434</v>
      </c>
      <c r="AD1645" s="50">
        <f ca="1">J1645/((('Parameter Inputs'!$L987+'Parameter Inputs'!$L988)*365)/1000)</f>
        <v>-38.234264274111894</v>
      </c>
      <c r="AE1645" s="50">
        <f ca="1">K1645/((('Parameter Inputs'!$L987+'Parameter Inputs'!$L988)*365)/1000)</f>
        <v>-1.5313482053234814E-2</v>
      </c>
      <c r="AF1645" s="50">
        <f ca="1">L1645/((('Parameter Inputs'!$L987+'Parameter Inputs'!$L988)*365)/1000)</f>
        <v>-2.4101014874140531E-3</v>
      </c>
      <c r="AG1645" s="50">
        <f ca="1">M1645/((('Parameter Inputs'!$L987+'Parameter Inputs'!$L988)*365)/1000)</f>
        <v>-3.8541896285512789</v>
      </c>
      <c r="AH1645" s="50">
        <f ca="1">N1645/((('Parameter Inputs'!$L987+'Parameter Inputs'!$L988)*365)/1000)</f>
        <v>-56.440707996465171</v>
      </c>
      <c r="AI1645" s="50">
        <f ca="1">O1645/((('Parameter Inputs'!$L987+'Parameter Inputs'!$L988)*365)/1000)</f>
        <v>-3.4996803582702412</v>
      </c>
      <c r="AJ1645" s="50">
        <f ca="1">P1645/((('Parameter Inputs'!$L987+'Parameter Inputs'!$L988)*365)/1000)</f>
        <v>-0.98994028049689697</v>
      </c>
      <c r="AK1645" s="50">
        <f ca="1">Q1645/((('Parameter Inputs'!$L987+'Parameter Inputs'!$L988)*365)/1000)</f>
        <v>-0.71480495220509177</v>
      </c>
      <c r="AL1645" s="50">
        <f ca="1">R1645/((('Parameter Inputs'!$L987+'Parameter Inputs'!$L988)*365)/1000)</f>
        <v>-4.8351939315741495E-4</v>
      </c>
      <c r="AM1645" s="50">
        <f ca="1">S1645/((('Parameter Inputs'!$L987+'Parameter Inputs'!$L988)*365)/1000)</f>
        <v>-8.4112939879146156E-2</v>
      </c>
      <c r="AN1645" s="50">
        <f ca="1">T1645/((('Parameter Inputs'!$L987+'Parameter Inputs'!$L988)*365)/1000)</f>
        <v>-0.15013662918313936</v>
      </c>
      <c r="AO1645" s="50">
        <f ca="1">U1645/((('Parameter Inputs'!$L987+'Parameter Inputs'!$L988)*365)/1000)</f>
        <v>-0.16014687717316867</v>
      </c>
      <c r="AP1645" s="50">
        <f ca="1">V1645/((('Parameter Inputs'!$L987+'Parameter Inputs'!$L988)*365)/1000)</f>
        <v>-0.86259039387252434</v>
      </c>
    </row>
    <row r="1646" spans="4:42">
      <c r="D1646" s="8" t="s">
        <v>986</v>
      </c>
      <c r="E1646" s="292">
        <f t="shared" ref="E1646:V1646" ca="1" si="57">SUM(E1633:E1645)</f>
        <v>-882.10715505207918</v>
      </c>
      <c r="F1646" s="50">
        <f t="shared" ca="1" si="57"/>
        <v>497983.41765640909</v>
      </c>
      <c r="G1646" s="50">
        <f t="shared" ca="1" si="57"/>
        <v>-98038.835771702928</v>
      </c>
      <c r="H1646" s="50">
        <f t="shared" ca="1" si="57"/>
        <v>-129277.29383767241</v>
      </c>
      <c r="I1646" s="50">
        <f t="shared" ca="1" si="57"/>
        <v>-11871318.750493648</v>
      </c>
      <c r="J1646" s="50">
        <f t="shared" ca="1" si="57"/>
        <v>-156586.09657378041</v>
      </c>
      <c r="K1646" s="50">
        <f t="shared" ca="1" si="57"/>
        <v>-426.57555445108989</v>
      </c>
      <c r="L1646" s="50">
        <f t="shared" ca="1" si="57"/>
        <v>-97.102704635762677</v>
      </c>
      <c r="M1646" s="50">
        <f t="shared" ca="1" si="57"/>
        <v>-11799.819969869481</v>
      </c>
      <c r="N1646" s="50">
        <f t="shared" ca="1" si="57"/>
        <v>-1737872.0427418861</v>
      </c>
      <c r="O1646" s="50">
        <f t="shared" ca="1" si="57"/>
        <v>-58690.896566902433</v>
      </c>
      <c r="P1646" s="50">
        <f t="shared" ca="1" si="57"/>
        <v>-52071.157886865927</v>
      </c>
      <c r="Q1646" s="50">
        <f t="shared" ca="1" si="57"/>
        <v>-57413.734341810894</v>
      </c>
      <c r="R1646" s="50">
        <f t="shared" ca="1" si="57"/>
        <v>-10.056737518099396</v>
      </c>
      <c r="S1646" s="50">
        <f t="shared" ca="1" si="57"/>
        <v>-641.58909474129678</v>
      </c>
      <c r="T1646" s="50">
        <f t="shared" ca="1" si="57"/>
        <v>-964.10220548428879</v>
      </c>
      <c r="U1646" s="50">
        <f t="shared" ca="1" si="57"/>
        <v>-1109.1489995245192</v>
      </c>
      <c r="V1646" s="50">
        <f t="shared" ca="1" si="57"/>
        <v>-27028.733180442512</v>
      </c>
      <c r="Y1646" s="50">
        <f t="shared" ref="Y1646:AP1646" ca="1" si="58">SUM(Y1633:Y1645)</f>
        <v>-3.3497147564677088E-2</v>
      </c>
      <c r="Z1646" s="50">
        <f t="shared" ca="1" si="58"/>
        <v>18.910428206439477</v>
      </c>
      <c r="AA1646" s="50">
        <f t="shared" ca="1" si="58"/>
        <v>-3.7229279119949781</v>
      </c>
      <c r="AB1646" s="50">
        <f t="shared" ca="1" si="58"/>
        <v>-4.9091774889717978</v>
      </c>
      <c r="AC1646" s="50">
        <f t="shared" ca="1" si="58"/>
        <v>-450.80159898388467</v>
      </c>
      <c r="AD1646" s="50">
        <f t="shared" ca="1" si="58"/>
        <v>-5.9462022878603946</v>
      </c>
      <c r="AE1646" s="50">
        <f t="shared" ca="1" si="58"/>
        <v>-1.6198785162431256E-2</v>
      </c>
      <c r="AF1646" s="50">
        <f t="shared" ca="1" si="58"/>
        <v>-3.6873792571395165E-3</v>
      </c>
      <c r="AG1646" s="50">
        <f t="shared" ca="1" si="58"/>
        <v>-0.44808650344073575</v>
      </c>
      <c r="AH1646" s="50">
        <f t="shared" ca="1" si="58"/>
        <v>-65.99397355621123</v>
      </c>
      <c r="AI1646" s="50">
        <f t="shared" ca="1" si="58"/>
        <v>-2.2287288021018896</v>
      </c>
      <c r="AJ1646" s="50">
        <f t="shared" ca="1" si="58"/>
        <v>-1.9773507669790575</v>
      </c>
      <c r="AK1646" s="50">
        <f t="shared" ca="1" si="58"/>
        <v>-2.1802298286235522</v>
      </c>
      <c r="AL1646" s="50">
        <f t="shared" ca="1" si="58"/>
        <v>-3.8189466975030982E-4</v>
      </c>
      <c r="AM1646" s="50">
        <f t="shared" ca="1" si="58"/>
        <v>-2.436371189072592E-2</v>
      </c>
      <c r="AN1646" s="50">
        <f t="shared" ca="1" si="58"/>
        <v>-3.6610828581966431E-2</v>
      </c>
      <c r="AO1646" s="50">
        <f t="shared" ca="1" si="58"/>
        <v>-4.2118837258601743E-2</v>
      </c>
      <c r="AP1646" s="50">
        <f t="shared" ca="1" si="58"/>
        <v>-1.0263894342610915</v>
      </c>
    </row>
    <row r="1647" spans="4:42">
      <c r="D1647" s="8" t="s">
        <v>1437</v>
      </c>
      <c r="E1647" s="43">
        <f t="shared" ref="E1647:V1647" ca="1" si="59">SUM(E1633:E1641)</f>
        <v>8475.4570264986687</v>
      </c>
      <c r="F1647" s="233">
        <f t="shared" ca="1" si="59"/>
        <v>3803927.129605677</v>
      </c>
      <c r="G1647" s="233">
        <f t="shared" ca="1" si="59"/>
        <v>69743.886953853595</v>
      </c>
      <c r="H1647" s="233">
        <f t="shared" ca="1" si="59"/>
        <v>91650.462326652196</v>
      </c>
      <c r="I1647" s="233">
        <f t="shared" ca="1" si="59"/>
        <v>5858514.0573055819</v>
      </c>
      <c r="J1647" s="233">
        <f t="shared" ca="1" si="59"/>
        <v>1226995.6846287474</v>
      </c>
      <c r="K1647" s="233">
        <f t="shared" ca="1" si="59"/>
        <v>392.07703321875078</v>
      </c>
      <c r="L1647" s="233">
        <f t="shared" ca="1" si="59"/>
        <v>42.307132418013502</v>
      </c>
      <c r="M1647" s="233">
        <f t="shared" ca="1" si="59"/>
        <v>175962.58618035514</v>
      </c>
      <c r="N1647" s="233">
        <f t="shared" ca="1" si="59"/>
        <v>1277103.0322398427</v>
      </c>
      <c r="O1647" s="233">
        <f t="shared" ca="1" si="59"/>
        <v>170625.10164115578</v>
      </c>
      <c r="P1647" s="233">
        <f t="shared" ca="1" si="59"/>
        <v>82601.867434707863</v>
      </c>
      <c r="Q1647" s="233">
        <f t="shared" ca="1" si="59"/>
        <v>33680.654034683386</v>
      </c>
      <c r="R1647" s="233">
        <f t="shared" ca="1" si="59"/>
        <v>2.961905995847145</v>
      </c>
      <c r="S1647" s="233">
        <f t="shared" ca="1" si="59"/>
        <v>2873.7596055909971</v>
      </c>
      <c r="T1647" s="233">
        <f t="shared" ca="1" si="59"/>
        <v>5166.2570895303552</v>
      </c>
      <c r="U1647" s="233">
        <f t="shared" ca="1" si="59"/>
        <v>5437.2784992439056</v>
      </c>
      <c r="V1647" s="233">
        <f t="shared" ca="1" si="59"/>
        <v>10866.245672021345</v>
      </c>
    </row>
    <row r="1648" spans="4:42">
      <c r="D1648" s="8" t="s">
        <v>1365</v>
      </c>
      <c r="E1648" s="17">
        <f ca="1">E1647/$E$1595</f>
        <v>1.22594666478557E-2</v>
      </c>
      <c r="F1648" s="8">
        <f t="shared" ref="F1648:V1648" ca="1" si="60">F1647/$E$1595</f>
        <v>5.5022540531409518</v>
      </c>
      <c r="G1648" s="8">
        <f t="shared" ca="1" si="60"/>
        <v>0.10088221240805564</v>
      </c>
      <c r="H1648" s="8">
        <f t="shared" ca="1" si="60"/>
        <v>0.13256934494992267</v>
      </c>
      <c r="I1648" s="8">
        <f t="shared" ca="1" si="60"/>
        <v>8.4741456970376898</v>
      </c>
      <c r="J1648" s="8">
        <f t="shared" ca="1" si="60"/>
        <v>1.7748084410951455</v>
      </c>
      <c r="K1648" s="8">
        <f t="shared" ca="1" si="60"/>
        <v>5.6712638588189311E-4</v>
      </c>
      <c r="L1648" s="8">
        <f t="shared" ca="1" si="60"/>
        <v>6.1195859671453977E-5</v>
      </c>
      <c r="M1648" s="8">
        <f t="shared" ca="1" si="60"/>
        <v>0.25452402741279323</v>
      </c>
      <c r="N1648" s="8">
        <f t="shared" ca="1" si="60"/>
        <v>1.8472870525647274</v>
      </c>
      <c r="O1648" s="8">
        <f t="shared" ca="1" si="60"/>
        <v>0.24680353358134824</v>
      </c>
      <c r="P1648" s="8">
        <f t="shared" ca="1" si="60"/>
        <v>0.11948085344546203</v>
      </c>
      <c r="Q1648" s="8">
        <f t="shared" ca="1" si="60"/>
        <v>4.8717945654754284E-2</v>
      </c>
      <c r="R1648" s="8">
        <f t="shared" ca="1" si="60"/>
        <v>4.284298493478722E-6</v>
      </c>
      <c r="S1648" s="8">
        <f t="shared" ca="1" si="60"/>
        <v>4.1567976722138023E-3</v>
      </c>
      <c r="T1648" s="8">
        <f t="shared" ca="1" si="60"/>
        <v>7.4728190214788052E-3</v>
      </c>
      <c r="U1648" s="8">
        <f t="shared" ca="1" si="60"/>
        <v>7.8648424749456804E-3</v>
      </c>
      <c r="V1648" s="8">
        <f t="shared" ca="1" si="60"/>
        <v>1.5717662892638696E-2</v>
      </c>
    </row>
    <row r="1651" spans="4:22">
      <c r="E1651" s="105"/>
      <c r="F1651" s="105"/>
      <c r="G1651" s="105"/>
      <c r="H1651" s="105"/>
      <c r="I1651" s="105"/>
      <c r="J1651" s="105"/>
      <c r="M1651" s="105"/>
      <c r="N1651" s="105"/>
      <c r="Q1651" s="105"/>
      <c r="V1651" s="105"/>
    </row>
    <row r="1654" spans="4:22" s="226" customFormat="1">
      <c r="D1654" s="227" t="s">
        <v>1704</v>
      </c>
    </row>
    <row r="1656" spans="4:22">
      <c r="D1656" s="5" t="s">
        <v>52</v>
      </c>
    </row>
    <row r="1657" spans="4:22">
      <c r="D1657" s="5" t="s">
        <v>335</v>
      </c>
      <c r="E1657" s="5">
        <v>1.42</v>
      </c>
      <c r="F1657" s="5">
        <f>0.35/E1657</f>
        <v>0.24647887323943662</v>
      </c>
    </row>
    <row r="1658" spans="4:22">
      <c r="D1658" s="5" t="s">
        <v>54</v>
      </c>
      <c r="E1658" s="5">
        <v>1.92</v>
      </c>
    </row>
    <row r="1659" spans="4:22">
      <c r="D1659" s="5" t="s">
        <v>53</v>
      </c>
      <c r="E1659" s="5">
        <v>1.67</v>
      </c>
    </row>
    <row r="1660" spans="4:22">
      <c r="D1660" s="5" t="s">
        <v>340</v>
      </c>
      <c r="E1660" s="105">
        <f ca="1">'Parameter Inputs'!N1111</f>
        <v>4912.8383561531127</v>
      </c>
    </row>
    <row r="1661" spans="4:22">
      <c r="D1661" s="5" t="s">
        <v>340</v>
      </c>
      <c r="E1661" s="5">
        <f ca="1">'Parameter Inputs'!N1111</f>
        <v>4912.8383561531127</v>
      </c>
      <c r="F1661" s="5">
        <v>1</v>
      </c>
    </row>
    <row r="1662" spans="4:22">
      <c r="D1662" s="5" t="s">
        <v>341</v>
      </c>
      <c r="E1662" s="5">
        <f ca="1">((E1661*F703)/E1658)+((E1661*F705)/E1659)</f>
        <v>2673.684796496751</v>
      </c>
      <c r="F1662" s="5">
        <f>((F1661*F703)/E1658)+((F1661*F705)/E1659)</f>
        <v>0.54422405189620759</v>
      </c>
      <c r="G1662" s="5">
        <f>F1662*0.41</f>
        <v>0.22313186127744511</v>
      </c>
    </row>
    <row r="1664" spans="4:22">
      <c r="E1664" s="5" t="s">
        <v>12</v>
      </c>
      <c r="G1664" s="5" t="s">
        <v>320</v>
      </c>
      <c r="H1664" s="5" t="s">
        <v>329</v>
      </c>
      <c r="I1664" s="5" t="s">
        <v>338</v>
      </c>
      <c r="J1664" s="5" t="s">
        <v>334</v>
      </c>
      <c r="K1664" s="5" t="s">
        <v>1506</v>
      </c>
      <c r="L1664" s="5" t="s">
        <v>322</v>
      </c>
      <c r="M1664" s="5" t="s">
        <v>1418</v>
      </c>
      <c r="N1664" s="5" t="s">
        <v>326</v>
      </c>
      <c r="O1664" s="5" t="s">
        <v>327</v>
      </c>
      <c r="P1664" s="5" t="s">
        <v>1419</v>
      </c>
      <c r="Q1664" s="5" t="s">
        <v>1420</v>
      </c>
      <c r="R1664" s="5" t="s">
        <v>330</v>
      </c>
      <c r="S1664" s="5" t="s">
        <v>331</v>
      </c>
      <c r="T1664" s="5" t="s">
        <v>332</v>
      </c>
      <c r="U1664" s="5" t="s">
        <v>333</v>
      </c>
      <c r="V1664" s="5" t="s">
        <v>328</v>
      </c>
    </row>
    <row r="1665" spans="4:21">
      <c r="D1665" s="5" t="s">
        <v>317</v>
      </c>
      <c r="E1665" s="5">
        <v>1.07</v>
      </c>
      <c r="F1665" s="60" t="s">
        <v>321</v>
      </c>
      <c r="G1665" s="5">
        <f>1/E1665</f>
        <v>0.93457943925233644</v>
      </c>
      <c r="H1665" s="5">
        <v>0.52</v>
      </c>
      <c r="I1665" s="5">
        <f ca="1">'Parameter Inputs'!E1108*'Parameter Inputs'!E1111</f>
        <v>2497.6844982773418</v>
      </c>
      <c r="J1665" s="5">
        <f ca="1">(H1665*I1665)+(F563*1.07)</f>
        <v>1298.7959391042177</v>
      </c>
      <c r="K1665" s="5">
        <f ca="1">G1665*J1665</f>
        <v>1213.8279804712315</v>
      </c>
      <c r="L1665" s="5" t="s">
        <v>323</v>
      </c>
      <c r="M1665" s="5">
        <v>0.59040000000000004</v>
      </c>
      <c r="N1665" s="5">
        <f ca="1">K1665/M1665</f>
        <v>2055.9417013401617</v>
      </c>
      <c r="O1665" s="5">
        <v>2</v>
      </c>
      <c r="P1665" s="5">
        <f ca="1">O1665*N1665</f>
        <v>4111.8834026803233</v>
      </c>
      <c r="Q1665" s="5">
        <f ca="1">SUM(P1665:P1668)</f>
        <v>7350.1856052540743</v>
      </c>
      <c r="R1665" s="5">
        <f ca="1">'Parameter Inputs'!E1116*('Parameter Inputs'!E1117+'Parameter Inputs'!E1108)</f>
        <v>1220.378377096614</v>
      </c>
      <c r="S1665" s="5">
        <f ca="1">Q1665/R1665</f>
        <v>6.022874334057609</v>
      </c>
      <c r="T1665" s="5">
        <f ca="1">'Parameter Inputs'!H1113</f>
        <v>1139.7884189321956</v>
      </c>
      <c r="U1665" s="5">
        <f ca="1">T1665*S1665</f>
        <v>6864.8024146428224</v>
      </c>
    </row>
    <row r="1666" spans="4:21">
      <c r="D1666" s="5" t="s">
        <v>318</v>
      </c>
      <c r="E1666" s="5">
        <v>1.52</v>
      </c>
      <c r="F1666" s="131" t="s">
        <v>321</v>
      </c>
      <c r="G1666" s="5">
        <f>1/E1666</f>
        <v>0.65789473684210531</v>
      </c>
      <c r="H1666" s="5">
        <v>0.48</v>
      </c>
      <c r="I1666" s="5">
        <f ca="1">'Parameter Inputs'!E1108*'Parameter Inputs'!E1111</f>
        <v>2497.6844982773418</v>
      </c>
      <c r="J1666" s="5">
        <f ca="1">H1666*I1666</f>
        <v>1198.8885591731241</v>
      </c>
      <c r="K1666" s="5">
        <f ca="1">G1666*J1666</f>
        <v>788.74247314021329</v>
      </c>
      <c r="L1666" s="5" t="s">
        <v>324</v>
      </c>
      <c r="M1666" s="86">
        <v>0.73070000000000002</v>
      </c>
      <c r="N1666" s="5">
        <f ca="1">K1666/M1666</f>
        <v>1079.4340675245837</v>
      </c>
      <c r="O1666" s="5">
        <v>3</v>
      </c>
      <c r="P1666" s="5">
        <f ca="1">O1666*N1666</f>
        <v>3238.3022025737509</v>
      </c>
    </row>
    <row r="1667" spans="4:21">
      <c r="D1667" s="5" t="s">
        <v>319</v>
      </c>
      <c r="E1667" s="5">
        <v>1.82</v>
      </c>
      <c r="F1667" s="131" t="s">
        <v>321</v>
      </c>
      <c r="G1667" s="5">
        <f>1/E1667</f>
        <v>0.54945054945054939</v>
      </c>
      <c r="H1667" s="5">
        <v>0</v>
      </c>
      <c r="I1667" s="5">
        <f ca="1">'Parameter Inputs'!E1108*'Parameter Inputs'!E1111</f>
        <v>2497.6844982773418</v>
      </c>
      <c r="J1667" s="5">
        <f ca="1">H1667*I1667</f>
        <v>0</v>
      </c>
      <c r="K1667" s="5">
        <f ca="1">G1667*J1667</f>
        <v>0</v>
      </c>
      <c r="L1667" s="5" t="s">
        <v>325</v>
      </c>
      <c r="M1667" s="86">
        <v>0.871</v>
      </c>
      <c r="N1667" s="5">
        <f ca="1">K1667/M1667</f>
        <v>0</v>
      </c>
      <c r="O1667" s="5">
        <v>4</v>
      </c>
      <c r="P1667" s="5">
        <f ca="1">O1667*N1667</f>
        <v>0</v>
      </c>
    </row>
    <row r="1668" spans="4:21">
      <c r="D1668" s="5" t="s">
        <v>343</v>
      </c>
      <c r="E1668" s="5">
        <v>2.2400000000000002</v>
      </c>
      <c r="G1668" s="5">
        <f>1/E1668</f>
        <v>0.4464285714285714</v>
      </c>
      <c r="H1668" s="5">
        <v>0</v>
      </c>
      <c r="I1668" s="5">
        <f ca="1">'Parameter Inputs'!E1108*'Parameter Inputs'!E1111</f>
        <v>2497.6844982773418</v>
      </c>
      <c r="J1668" s="5">
        <f ca="1">H1668*I1668</f>
        <v>0</v>
      </c>
      <c r="K1668" s="5">
        <f ca="1">G1668*J1668</f>
        <v>0</v>
      </c>
      <c r="M1668" s="86">
        <v>0.871</v>
      </c>
      <c r="N1668" s="5">
        <f ca="1">K1668/M1668</f>
        <v>0</v>
      </c>
      <c r="O1668" s="5">
        <v>5</v>
      </c>
      <c r="P1668" s="5">
        <f ca="1">O1668*N1668</f>
        <v>0</v>
      </c>
      <c r="Q1668" s="5">
        <f ca="1">Q1665/R1665</f>
        <v>6.022874334057609</v>
      </c>
    </row>
    <row r="1670" spans="4:21">
      <c r="I1670" s="5">
        <f ca="1">J1670/H1665</f>
        <v>2332.7452523829907</v>
      </c>
      <c r="J1670" s="5">
        <f ca="1">K1670*E1665</f>
        <v>1213.0275312391557</v>
      </c>
      <c r="K1670" s="5">
        <f ca="1">N1670*M1670</f>
        <v>1133.6705899431358</v>
      </c>
      <c r="L1670" s="5" t="s">
        <v>323</v>
      </c>
      <c r="M1670" s="5">
        <v>0.59040000000000004</v>
      </c>
      <c r="N1670" s="5">
        <f ca="1">Q1670/O1670</f>
        <v>1920.173763453821</v>
      </c>
      <c r="O1670" s="5">
        <v>2</v>
      </c>
      <c r="P1670" s="86">
        <f ca="1">P1665/Q1665</f>
        <v>0.5594257918794675</v>
      </c>
      <c r="Q1670" s="5">
        <f ca="1">P1670*U1665</f>
        <v>3840.3475269076416</v>
      </c>
    </row>
    <row r="1671" spans="4:21">
      <c r="I1671" s="5">
        <f ca="1">J1671/H1666</f>
        <v>2332.7452523829907</v>
      </c>
      <c r="J1671" s="5">
        <f ca="1">K1671*E1666</f>
        <v>1119.7177211438359</v>
      </c>
      <c r="K1671" s="5">
        <f ca="1">N1671*M1671</f>
        <v>736.65639548936565</v>
      </c>
      <c r="L1671" s="5" t="s">
        <v>324</v>
      </c>
      <c r="M1671" s="86">
        <v>0.73070000000000002</v>
      </c>
      <c r="N1671" s="5">
        <f ca="1">Q1671/O1671</f>
        <v>1008.1516292450606</v>
      </c>
      <c r="O1671" s="5">
        <v>3</v>
      </c>
      <c r="P1671" s="86">
        <f ca="1">P1666/Q1665</f>
        <v>0.44057420812053255</v>
      </c>
      <c r="Q1671" s="5">
        <f ca="1">P1671*U1665</f>
        <v>3024.4548877351813</v>
      </c>
    </row>
    <row r="1672" spans="4:21">
      <c r="J1672" s="5">
        <f ca="1">K1672*E1667</f>
        <v>0</v>
      </c>
      <c r="K1672" s="5">
        <f ca="1">N1672*M1672</f>
        <v>0</v>
      </c>
      <c r="L1672" s="5" t="s">
        <v>325</v>
      </c>
      <c r="M1672" s="86">
        <v>0.871</v>
      </c>
      <c r="N1672" s="5">
        <f ca="1">Q1672/O1672</f>
        <v>0</v>
      </c>
      <c r="O1672" s="5">
        <v>4</v>
      </c>
      <c r="P1672" s="86">
        <f ca="1">P1667/Q1665</f>
        <v>0</v>
      </c>
      <c r="Q1672" s="5">
        <f ca="1">P1672*U1665</f>
        <v>0</v>
      </c>
    </row>
    <row r="1673" spans="4:21">
      <c r="P1673" s="5">
        <f ca="1">SUM(P1670:P1672)</f>
        <v>1</v>
      </c>
    </row>
    <row r="1674" spans="4:21">
      <c r="D1674" s="5" t="s">
        <v>374</v>
      </c>
    </row>
    <row r="1675" spans="4:21">
      <c r="D1675" s="5" t="s">
        <v>376</v>
      </c>
      <c r="E1675" s="5" t="s">
        <v>375</v>
      </c>
      <c r="F1675" s="5" t="s">
        <v>378</v>
      </c>
      <c r="G1675" s="5" t="s">
        <v>380</v>
      </c>
      <c r="H1675" s="5" t="s">
        <v>381</v>
      </c>
      <c r="I1675" s="5" t="s">
        <v>389</v>
      </c>
      <c r="J1675" s="5" t="s">
        <v>382</v>
      </c>
      <c r="K1675" s="5" t="s">
        <v>383</v>
      </c>
      <c r="L1675" s="5" t="s">
        <v>384</v>
      </c>
    </row>
    <row r="1676" spans="4:21">
      <c r="D1676" s="5" t="s">
        <v>50</v>
      </c>
      <c r="E1676" s="5" t="s">
        <v>377</v>
      </c>
      <c r="F1676" s="5">
        <f>(12*4)+6+32</f>
        <v>86</v>
      </c>
      <c r="G1676" s="5">
        <f>(12*4)/F1676</f>
        <v>0.55813953488372092</v>
      </c>
      <c r="H1676" s="5">
        <f>G1676/12</f>
        <v>4.6511627906976744E-2</v>
      </c>
      <c r="I1676" s="5">
        <f>1/H1676</f>
        <v>21.5</v>
      </c>
      <c r="J1676" s="5">
        <f>F703</f>
        <v>0.7</v>
      </c>
      <c r="K1676" s="5">
        <f>H1676*J1676</f>
        <v>3.255813953488372E-2</v>
      </c>
      <c r="L1676" s="5">
        <f>K1676+K1677</f>
        <v>4.755813953488372E-2</v>
      </c>
      <c r="M1676" s="5">
        <f>1/L1676</f>
        <v>21.026894865525673</v>
      </c>
    </row>
    <row r="1677" spans="4:21">
      <c r="D1677" s="5" t="s">
        <v>51</v>
      </c>
      <c r="E1677" s="5" t="s">
        <v>379</v>
      </c>
      <c r="F1677" s="5">
        <f>(12*5)+8+32</f>
        <v>100</v>
      </c>
      <c r="G1677" s="5">
        <f>(12*5)/F1677</f>
        <v>0.6</v>
      </c>
      <c r="H1677" s="5">
        <f>G1677/12</f>
        <v>4.9999999999999996E-2</v>
      </c>
      <c r="I1677" s="5">
        <f>1/H1677</f>
        <v>20</v>
      </c>
      <c r="J1677" s="5">
        <f>F705</f>
        <v>0.30000000000000004</v>
      </c>
      <c r="K1677" s="5">
        <f>H1677*J1677</f>
        <v>1.5000000000000001E-2</v>
      </c>
    </row>
    <row r="1678" spans="4:21">
      <c r="D1678" s="5" t="s">
        <v>170</v>
      </c>
      <c r="E1678" s="5" t="s">
        <v>387</v>
      </c>
      <c r="F1678" s="5">
        <f>(12*5)+7+32+14</f>
        <v>113</v>
      </c>
      <c r="G1678" s="5">
        <f>(12*5)/F1678</f>
        <v>0.53097345132743368</v>
      </c>
      <c r="H1678" s="5">
        <f>G1678/12</f>
        <v>4.4247787610619475E-2</v>
      </c>
      <c r="I1678" s="5">
        <f>1/H1678</f>
        <v>22.599999999999998</v>
      </c>
      <c r="M1678" s="5">
        <f>L1676/H1678</f>
        <v>1.0748139534883718</v>
      </c>
    </row>
    <row r="1679" spans="4:21">
      <c r="D1679" s="5" t="s">
        <v>172</v>
      </c>
      <c r="E1679" s="5" t="s">
        <v>323</v>
      </c>
      <c r="F1679" s="5">
        <v>59</v>
      </c>
      <c r="G1679" s="5">
        <f>24/F1679</f>
        <v>0.40677966101694918</v>
      </c>
      <c r="H1679" s="5">
        <f>G1679/12</f>
        <v>3.3898305084745763E-2</v>
      </c>
      <c r="I1679" s="5">
        <f>1/H1679</f>
        <v>29.5</v>
      </c>
    </row>
    <row r="1681" spans="4:16">
      <c r="I1681" s="5">
        <f>2.03*32</f>
        <v>64.959999999999994</v>
      </c>
      <c r="J1681" s="5">
        <f>19.06*32</f>
        <v>609.91999999999996</v>
      </c>
    </row>
    <row r="1682" spans="4:16">
      <c r="D1682" s="5" t="s">
        <v>434</v>
      </c>
      <c r="E1682" s="5" t="s">
        <v>431</v>
      </c>
      <c r="F1682" s="5" t="s">
        <v>432</v>
      </c>
      <c r="G1682" s="5" t="s">
        <v>433</v>
      </c>
      <c r="I1682" s="5">
        <f>13.15*I1679</f>
        <v>387.92500000000001</v>
      </c>
      <c r="J1682" s="5">
        <f>96.74*I1679</f>
        <v>2853.83</v>
      </c>
    </row>
    <row r="1683" spans="4:16">
      <c r="E1683" s="5" t="s">
        <v>430</v>
      </c>
      <c r="F1683" s="5">
        <f>14+4+35</f>
        <v>53</v>
      </c>
      <c r="G1683" s="5">
        <f>14/F1683</f>
        <v>0.26415094339622641</v>
      </c>
      <c r="I1683" s="5">
        <f>I1681/I1682</f>
        <v>0.16745504930076688</v>
      </c>
      <c r="J1683" s="5">
        <f>J1681/J1682</f>
        <v>0.21371980811751223</v>
      </c>
      <c r="M1683" s="5" t="s">
        <v>1508</v>
      </c>
    </row>
    <row r="1684" spans="4:16">
      <c r="E1684" s="5" t="s">
        <v>435</v>
      </c>
      <c r="F1684" s="5">
        <f>39+2+31+(16*4)</f>
        <v>136</v>
      </c>
      <c r="G1684" s="5">
        <f>31/F1684</f>
        <v>0.22794117647058823</v>
      </c>
      <c r="M1684" s="5">
        <f>1/L1676</f>
        <v>21.026894865525673</v>
      </c>
      <c r="O1684" s="5" t="s">
        <v>1510</v>
      </c>
    </row>
    <row r="1685" spans="4:16">
      <c r="O1685" s="5">
        <f>24/590</f>
        <v>4.0677966101694912E-2</v>
      </c>
      <c r="P1685" s="5">
        <f>O1685/12</f>
        <v>3.3898305084745762E-3</v>
      </c>
    </row>
    <row r="1686" spans="4:16">
      <c r="M1686" s="5" t="s">
        <v>1505</v>
      </c>
    </row>
    <row r="1687" spans="4:16">
      <c r="D1687" s="5" t="s">
        <v>485</v>
      </c>
      <c r="E1687" s="5">
        <f>I1679*13.15</f>
        <v>387.92500000000001</v>
      </c>
      <c r="F1687" s="5">
        <f>E1687*E1665</f>
        <v>415.07975000000005</v>
      </c>
      <c r="G1687" s="5">
        <f>8.36*I1676*E1658</f>
        <v>345.10079999999994</v>
      </c>
      <c r="M1687" s="5">
        <f>M1684*0.41</f>
        <v>8.6210268948655262</v>
      </c>
      <c r="O1687" s="5" t="s">
        <v>1507</v>
      </c>
      <c r="P1687" s="5" t="s">
        <v>1509</v>
      </c>
    </row>
    <row r="1688" spans="4:16">
      <c r="D1688" s="5" t="s">
        <v>486</v>
      </c>
      <c r="E1688" s="5">
        <f>2.03*32</f>
        <v>64.959999999999994</v>
      </c>
      <c r="F1688" s="5">
        <f>2.03*32</f>
        <v>64.959999999999994</v>
      </c>
      <c r="G1688" s="5">
        <f>6.32*32</f>
        <v>202.24</v>
      </c>
      <c r="M1688" s="5">
        <f ca="1">M1687*Q1665</f>
        <v>63366.147785148823</v>
      </c>
      <c r="O1688" s="5">
        <f>2/590</f>
        <v>3.3898305084745762E-3</v>
      </c>
      <c r="P1688" s="5">
        <f ca="1">Q1665/((K1665+K1666)*1000)</f>
        <v>3.6703755375990469E-3</v>
      </c>
    </row>
    <row r="1689" spans="4:16">
      <c r="D1689" s="5" t="s">
        <v>487</v>
      </c>
      <c r="E1689" s="5">
        <f>E1688/E1687</f>
        <v>0.16745504930076688</v>
      </c>
      <c r="F1689" s="5">
        <f>F1688/F1687</f>
        <v>0.15650004607548304</v>
      </c>
      <c r="G1689" s="5">
        <f>G1688/G1687</f>
        <v>0.58603167538296075</v>
      </c>
      <c r="J1689" s="5">
        <v>0.41</v>
      </c>
      <c r="M1689" s="5">
        <f ca="1">M1688/(K1665+K1666)</f>
        <v>31.6424062238979</v>
      </c>
    </row>
    <row r="1691" spans="4:16">
      <c r="M1691" s="5">
        <f ca="1">M1692*M1687</f>
        <v>31.642406223897897</v>
      </c>
    </row>
    <row r="1692" spans="4:16">
      <c r="M1692" s="5">
        <f ca="1">Q1665/(K1665+K1666)</f>
        <v>3.670375537599047</v>
      </c>
    </row>
    <row r="1693" spans="4:16">
      <c r="E1693" s="5" t="s">
        <v>1160</v>
      </c>
      <c r="F1693" s="5" t="s">
        <v>173</v>
      </c>
      <c r="G1693" s="5" t="s">
        <v>174</v>
      </c>
      <c r="O1693" s="5" t="s">
        <v>1511</v>
      </c>
    </row>
    <row r="1694" spans="4:16">
      <c r="D1694" s="5" t="s">
        <v>1158</v>
      </c>
      <c r="E1694" s="5">
        <v>50</v>
      </c>
      <c r="F1694" s="5">
        <v>10</v>
      </c>
      <c r="G1694" s="5">
        <v>1</v>
      </c>
      <c r="O1694" s="5">
        <f>590/2</f>
        <v>295</v>
      </c>
    </row>
    <row r="1695" spans="4:16">
      <c r="E1695" s="5">
        <f>E1694/50</f>
        <v>1</v>
      </c>
      <c r="F1695" s="5">
        <f>F1694/50</f>
        <v>0.2</v>
      </c>
      <c r="G1695" s="5">
        <f>G1694/50</f>
        <v>0.02</v>
      </c>
      <c r="M1695" s="5">
        <f ca="1">M1687*P1688</f>
        <v>3.1642406223897898E-2</v>
      </c>
    </row>
    <row r="1696" spans="4:16">
      <c r="D1696" s="5" t="s">
        <v>1159</v>
      </c>
      <c r="E1696" s="5">
        <f>E1695*5</f>
        <v>5</v>
      </c>
      <c r="F1696" s="5">
        <f>F1695*5</f>
        <v>1</v>
      </c>
      <c r="G1696" s="5">
        <f>G1695*5</f>
        <v>0.1</v>
      </c>
      <c r="M1696" s="5">
        <f ca="1">M1695*H1665*E1665</f>
        <v>1.7605834822976792E-2</v>
      </c>
      <c r="O1696" s="5">
        <f>M1687/O1694</f>
        <v>2.9223819982595003E-2</v>
      </c>
      <c r="P1696" s="5">
        <f>1/2.56</f>
        <v>0.390625</v>
      </c>
    </row>
    <row r="1697" spans="4:13">
      <c r="D1697" s="5" t="s">
        <v>1163</v>
      </c>
      <c r="E1697" s="5">
        <f>E1696*12</f>
        <v>60</v>
      </c>
      <c r="F1697" s="5">
        <f>F1696*14</f>
        <v>14</v>
      </c>
      <c r="G1697" s="5">
        <f>G1696*31</f>
        <v>3.1</v>
      </c>
      <c r="M1697" s="5">
        <f ca="1">M1695*H1666*E1666</f>
        <v>2.3086299580955906E-2</v>
      </c>
    </row>
    <row r="1698" spans="4:13">
      <c r="D1698" s="5" t="s">
        <v>1161</v>
      </c>
      <c r="E1698" s="5">
        <f ca="1">'Parameter Inputs'!T1162/0.113</f>
        <v>25823.978545919905</v>
      </c>
      <c r="M1698" s="5">
        <f ca="1">M1696+M1697</f>
        <v>4.0692134403932698E-2</v>
      </c>
    </row>
    <row r="1699" spans="4:13">
      <c r="D1699" s="5" t="s">
        <v>1162</v>
      </c>
      <c r="E1699" s="5">
        <f ca="1">E1697*E1698</f>
        <v>1549438.7127551944</v>
      </c>
      <c r="F1699" s="5">
        <f ca="1">F1697*E1698</f>
        <v>361535.69964287867</v>
      </c>
      <c r="G1699" s="5">
        <f ca="1">G1697*E1698</f>
        <v>80054.33349235171</v>
      </c>
    </row>
    <row r="1700" spans="4:13">
      <c r="D1700" s="5" t="s">
        <v>1164</v>
      </c>
      <c r="E1700" s="5">
        <f ca="1">E1699/1000</f>
        <v>1549.4387127551945</v>
      </c>
      <c r="F1700" s="5">
        <f ca="1">F1699/1000</f>
        <v>361.53569964287868</v>
      </c>
      <c r="G1700" s="5">
        <f ca="1">G1699/1000</f>
        <v>80.054333492351716</v>
      </c>
    </row>
    <row r="1701" spans="4:13">
      <c r="F1701" s="113">
        <f ca="1">F1700/'Parameter Inputs'!T1163</f>
        <v>6.730823315465044E-2</v>
      </c>
      <c r="G1701" s="113">
        <f ca="1">G1700/'Parameter Inputs'!T1163</f>
        <v>1.4903965912815455E-2</v>
      </c>
    </row>
    <row r="1702" spans="4:13">
      <c r="D1702" s="5" t="s">
        <v>1165</v>
      </c>
    </row>
    <row r="1703" spans="4:13">
      <c r="D1703" s="5" t="s">
        <v>1167</v>
      </c>
      <c r="E1703" s="113">
        <v>0.12</v>
      </c>
    </row>
    <row r="1704" spans="4:13">
      <c r="D1704" s="5" t="s">
        <v>1168</v>
      </c>
      <c r="E1704" s="92">
        <v>0.52</v>
      </c>
    </row>
    <row r="1705" spans="4:13">
      <c r="D1705" s="5" t="s">
        <v>1169</v>
      </c>
      <c r="E1705" s="113">
        <f>(31*2)/((31*2)+(16*5))</f>
        <v>0.43661971830985913</v>
      </c>
    </row>
    <row r="1706" spans="4:13">
      <c r="D1706" s="5" t="s">
        <v>1170</v>
      </c>
      <c r="E1706" s="163">
        <f>E1705*E1704</f>
        <v>0.22704225352112675</v>
      </c>
    </row>
    <row r="1707" spans="4:13">
      <c r="D1707" s="5" t="s">
        <v>1166</v>
      </c>
      <c r="E1707" s="5">
        <f>E1703*1000</f>
        <v>120</v>
      </c>
    </row>
    <row r="1708" spans="4:13">
      <c r="D1708" s="5" t="s">
        <v>1171</v>
      </c>
      <c r="E1708" s="91">
        <f>E1706*1000</f>
        <v>227.04225352112675</v>
      </c>
    </row>
    <row r="1711" spans="4:13">
      <c r="F1711" s="5">
        <v>0</v>
      </c>
    </row>
    <row r="1712" spans="4:13">
      <c r="F1712" s="5">
        <v>0</v>
      </c>
    </row>
    <row r="1714" spans="4:6">
      <c r="F1714" s="5">
        <v>2455245.3053821535</v>
      </c>
    </row>
    <row r="1715" spans="4:6">
      <c r="F1715" s="5">
        <v>127232.57984739843</v>
      </c>
    </row>
    <row r="1716" spans="4:6">
      <c r="F1716" s="5">
        <v>73850.222505156446</v>
      </c>
    </row>
    <row r="1717" spans="4:6">
      <c r="F1717" s="5">
        <v>539338.97021508252</v>
      </c>
    </row>
    <row r="1718" spans="4:6">
      <c r="F1718" s="5">
        <v>19460.52121393468</v>
      </c>
    </row>
    <row r="1719" spans="4:6">
      <c r="D1719" s="5" t="s">
        <v>346</v>
      </c>
      <c r="F1719" s="5">
        <v>588799.53044195171</v>
      </c>
    </row>
    <row r="1720" spans="4:6">
      <c r="D1720" s="5" t="s">
        <v>345</v>
      </c>
      <c r="F1720" s="5">
        <v>0</v>
      </c>
    </row>
    <row r="1721" spans="4:6">
      <c r="F1721" s="5">
        <v>0</v>
      </c>
    </row>
    <row r="1722" spans="4:6">
      <c r="D1722" s="5" t="s">
        <v>148</v>
      </c>
      <c r="F1722" s="5">
        <v>-1316861.6739519113</v>
      </c>
    </row>
    <row r="1723" spans="4:6">
      <c r="F1723" s="5">
        <v>-1989082.0379973538</v>
      </c>
    </row>
    <row r="1724" spans="4:6">
      <c r="F1724" s="5">
        <v>497983.41765641188</v>
      </c>
    </row>
    <row r="1942" spans="4:4">
      <c r="D1942" s="170"/>
    </row>
    <row r="1943" spans="4:4">
      <c r="D1943" s="170"/>
    </row>
    <row r="1944" spans="4:4">
      <c r="D1944" s="170"/>
    </row>
    <row r="1945" spans="4:4">
      <c r="D1945" s="170"/>
    </row>
    <row r="1946" spans="4:4">
      <c r="D1946" s="199"/>
    </row>
    <row r="1947" spans="4:4">
      <c r="D1947" s="170"/>
    </row>
    <row r="1948" spans="4:4">
      <c r="D1948" s="170"/>
    </row>
    <row r="1949" spans="4:4">
      <c r="D1949" s="170"/>
    </row>
    <row r="1950" spans="4:4">
      <c r="D1950" s="170"/>
    </row>
    <row r="1951" spans="4:4">
      <c r="D1951" s="170"/>
    </row>
    <row r="1952" spans="4:4">
      <c r="D1952" s="210"/>
    </row>
    <row r="1953" spans="4:4">
      <c r="D1953" s="210"/>
    </row>
    <row r="1954" spans="4:4">
      <c r="D1954" s="170"/>
    </row>
    <row r="1955" spans="4:4">
      <c r="D1955" s="170"/>
    </row>
    <row r="1956" spans="4:4">
      <c r="D1956" s="170"/>
    </row>
    <row r="1957" spans="4:4">
      <c r="D1957" s="170"/>
    </row>
    <row r="1958" spans="4:4">
      <c r="D1958" s="199"/>
    </row>
  </sheetData>
  <mergeCells count="55">
    <mergeCell ref="J1162:N1162"/>
    <mergeCell ref="P1168:T1168"/>
    <mergeCell ref="D1513:E1513"/>
    <mergeCell ref="D1518:E1518"/>
    <mergeCell ref="J1127:N1127"/>
    <mergeCell ref="J1128:K1128"/>
    <mergeCell ref="M1128:N1128"/>
    <mergeCell ref="J1153:N1153"/>
    <mergeCell ref="P1159:T1159"/>
    <mergeCell ref="P1160:Q1160"/>
    <mergeCell ref="R1160:R1162"/>
    <mergeCell ref="S1160:T1160"/>
    <mergeCell ref="G1078:K1078"/>
    <mergeCell ref="M1078:Q1078"/>
    <mergeCell ref="V1134:AC1134"/>
    <mergeCell ref="J1145:N1145"/>
    <mergeCell ref="D1104:H1104"/>
    <mergeCell ref="J1104:N1104"/>
    <mergeCell ref="D1105:E1105"/>
    <mergeCell ref="G1105:H1105"/>
    <mergeCell ref="J1105:K1105"/>
    <mergeCell ref="L1105:L1117"/>
    <mergeCell ref="M1105:N1105"/>
    <mergeCell ref="H922:I922"/>
    <mergeCell ref="K922:L922"/>
    <mergeCell ref="G1060:K1060"/>
    <mergeCell ref="G1061:H1061"/>
    <mergeCell ref="I1061:I1076"/>
    <mergeCell ref="J1061:K1061"/>
    <mergeCell ref="M862:O862"/>
    <mergeCell ref="P862:Q862"/>
    <mergeCell ref="R862:S862"/>
    <mergeCell ref="H913:L913"/>
    <mergeCell ref="H914:I914"/>
    <mergeCell ref="C1:L1"/>
    <mergeCell ref="C4:K4"/>
    <mergeCell ref="D5:K5"/>
    <mergeCell ref="C15:K15"/>
    <mergeCell ref="D16:K16"/>
    <mergeCell ref="C66:K66"/>
    <mergeCell ref="C94:K94"/>
    <mergeCell ref="D95:H95"/>
    <mergeCell ref="G1079:H1079"/>
    <mergeCell ref="I1079:I1093"/>
    <mergeCell ref="J1079:K1079"/>
    <mergeCell ref="C174:K174"/>
    <mergeCell ref="C190:K190"/>
    <mergeCell ref="C269:W269"/>
    <mergeCell ref="C707:W707"/>
    <mergeCell ref="D764:AH764"/>
    <mergeCell ref="C767:W767"/>
    <mergeCell ref="D862:E862"/>
    <mergeCell ref="F862:G862"/>
    <mergeCell ref="H862:I862"/>
    <mergeCell ref="J862:L862"/>
  </mergeCells>
  <conditionalFormatting sqref="F18">
    <cfRule type="expression" dxfId="8" priority="9">
      <formula>E18=$BK$35</formula>
    </cfRule>
  </conditionalFormatting>
  <conditionalFormatting sqref="F20">
    <cfRule type="expression" dxfId="7" priority="8">
      <formula>E20=$BK$35</formula>
    </cfRule>
  </conditionalFormatting>
  <conditionalFormatting sqref="F22:F32">
    <cfRule type="expression" dxfId="6" priority="7">
      <formula>E22=$BK$35</formula>
    </cfRule>
  </conditionalFormatting>
  <conditionalFormatting sqref="F36:F64">
    <cfRule type="expression" dxfId="5" priority="6">
      <formula>E36=$BK$35</formula>
    </cfRule>
  </conditionalFormatting>
  <conditionalFormatting sqref="F70:F92">
    <cfRule type="expression" dxfId="4" priority="5">
      <formula>E70=$BK$35</formula>
    </cfRule>
  </conditionalFormatting>
  <conditionalFormatting sqref="F98:F114">
    <cfRule type="expression" dxfId="3" priority="4">
      <formula>E98=$BK$35</formula>
    </cfRule>
  </conditionalFormatting>
  <conditionalFormatting sqref="G195">
    <cfRule type="expression" dxfId="2" priority="3">
      <formula>E195=$BK$35</formula>
    </cfRule>
  </conditionalFormatting>
  <conditionalFormatting sqref="G197:G237">
    <cfRule type="expression" dxfId="1" priority="2">
      <formula>E197=$BK$35</formula>
    </cfRule>
  </conditionalFormatting>
  <conditionalFormatting sqref="F273:F705">
    <cfRule type="expression" dxfId="0" priority="1">
      <formula>E273=$BK$35</formula>
    </cfRule>
  </conditionalFormatting>
  <dataValidations count="29">
    <dataValidation type="decimal" allowBlank="1" showInputMessage="1" showErrorMessage="1" sqref="G9" xr:uid="{DA203F00-0FA0-4B4C-9ED5-D967D7550D41}">
      <formula1>AG17</formula1>
      <formula2>AG16</formula2>
    </dataValidation>
    <dataValidation type="list" allowBlank="1" showInputMessage="1" showErrorMessage="1" sqref="F7" xr:uid="{6E77DFE9-77DD-4260-8A04-810BB0E1463F}">
      <formula1>AH36:AJ36</formula1>
    </dataValidation>
    <dataValidation type="decimal" allowBlank="1" showInputMessage="1" showErrorMessage="1" sqref="G10" xr:uid="{C9CC1CCA-FEDE-461A-9E01-35BE9C5F3D3E}">
      <formula1>AG19</formula1>
      <formula2>AG18</formula2>
    </dataValidation>
    <dataValidation type="decimal" allowBlank="1" showInputMessage="1" showErrorMessage="1" sqref="G7:G8" xr:uid="{8477E4AF-EF66-4230-A50F-63988D470DDC}">
      <formula1>AG17</formula1>
      <formula2>AG16</formula2>
    </dataValidation>
    <dataValidation operator="greaterThan" allowBlank="1" showInputMessage="1" showErrorMessage="1" sqref="E1200" xr:uid="{7A937088-8374-4C77-B89D-04F19142B4A6}"/>
    <dataValidation type="list" allowBlank="1" showInputMessage="1" showErrorMessage="1" sqref="F9" xr:uid="{AA566410-1B54-4AC1-9919-1B7B8D1BB859}">
      <formula1>AH36:AJ36</formula1>
    </dataValidation>
    <dataValidation type="list" allowBlank="1" showInputMessage="1" showErrorMessage="1" sqref="G188:G189" xr:uid="{19FBAFFB-4D0D-466C-B5F5-1402EA786F95}">
      <formula1>BG799:BG805</formula1>
    </dataValidation>
    <dataValidation type="list" allowBlank="1" showInputMessage="1" showErrorMessage="1" sqref="G186" xr:uid="{9ACD1CB2-25C2-45A9-BC3B-E590A1409AC1}">
      <formula1>BG799:BG805</formula1>
    </dataValidation>
    <dataValidation type="list" allowBlank="1" showInputMessage="1" showErrorMessage="1" sqref="G184" xr:uid="{805667CD-AEC3-4308-A4D3-A8D580551E3B}">
      <formula1>BG799:BG805</formula1>
    </dataValidation>
    <dataValidation type="list" allowBlank="1" showInputMessage="1" showErrorMessage="1" sqref="G182" xr:uid="{5713A239-7AB8-4ECC-AA97-22D800FD29B9}">
      <formula1>BG799:BG805</formula1>
    </dataValidation>
    <dataValidation type="list" allowBlank="1" showInputMessage="1" showErrorMessage="1" sqref="I180" xr:uid="{54F6BBDC-C073-4125-8155-8AD0A470C766}">
      <formula1>BG794:BG797</formula1>
    </dataValidation>
    <dataValidation type="list" allowBlank="1" showInputMessage="1" showErrorMessage="1" sqref="G180" xr:uid="{3A567434-1CD0-4E85-8112-588C4B4EC615}">
      <formula1>BG799:BG805</formula1>
    </dataValidation>
    <dataValidation type="list" allowBlank="1" showInputMessage="1" showErrorMessage="1" sqref="E180" xr:uid="{88D01095-2149-4061-B9F2-FA157A5BCF3E}">
      <formula1>BG786:BG792</formula1>
    </dataValidation>
    <dataValidation type="list" allowBlank="1" showInputMessage="1" showErrorMessage="1" sqref="E182" xr:uid="{58B43771-4D01-4071-9C10-C372BE7D28C8}">
      <formula1>BG786:BG792</formula1>
    </dataValidation>
    <dataValidation type="list" allowBlank="1" showInputMessage="1" showErrorMessage="1" sqref="E184" xr:uid="{8E5B224B-8CCD-4849-BA12-ACD526DB44BC}">
      <formula1>BG786:BG792</formula1>
    </dataValidation>
    <dataValidation type="list" allowBlank="1" showInputMessage="1" showErrorMessage="1" sqref="E185" xr:uid="{E3BEB78C-073E-4E85-9C4A-BF5CFAF88704}">
      <formula1>BG785:BG792</formula1>
    </dataValidation>
    <dataValidation type="list" allowBlank="1" showInputMessage="1" showErrorMessage="1" sqref="E186" xr:uid="{9C751CD1-9F62-49EB-B005-CDDBEBA43AD3}">
      <formula1>BG786:BG792</formula1>
    </dataValidation>
    <dataValidation type="list" allowBlank="1" showInputMessage="1" showErrorMessage="1" sqref="I185" xr:uid="{7E7C79B2-2A58-437F-9237-EA8793DEFB8A}">
      <formula1>$BG$49:BG797</formula1>
    </dataValidation>
    <dataValidation type="list" allowBlank="1" showInputMessage="1" showErrorMessage="1" sqref="E7:E10" xr:uid="{F2F24274-7243-40D4-9902-DFD1CF18B08C}">
      <formula1>$AG$36:$AG$36</formula1>
    </dataValidation>
    <dataValidation type="list" allowBlank="1" showInputMessage="1" showErrorMessage="1" sqref="G178" xr:uid="{5E593810-3628-4509-8781-F9BE501EC6FC}">
      <formula1>$BG$799:$BG$805</formula1>
    </dataValidation>
    <dataValidation type="list" allowBlank="1" showInputMessage="1" showErrorMessage="1" sqref="I186 I188:I189 I182 I184 I178" xr:uid="{5B152E03-FD87-4BE6-8FBE-BFD1F880D060}">
      <formula1>$BG$794:$BG$797</formula1>
    </dataValidation>
    <dataValidation type="list" allowBlank="1" showInputMessage="1" showErrorMessage="1" sqref="E178 E188:E189" xr:uid="{2CF4F8A3-485B-4930-8F6E-F69078FC00A6}">
      <formula1>$BG$786:$BG$792</formula1>
    </dataValidation>
    <dataValidation type="list" allowBlank="1" showInputMessage="1" showErrorMessage="1" sqref="F98:F99" xr:uid="{C364D3FB-B687-415E-BD74-9A8FA6966F22}">
      <formula1>$AH$32:$AH$35</formula1>
    </dataValidation>
    <dataValidation type="list" allowBlank="1" showInputMessage="1" showErrorMessage="1" sqref="F100:F101" xr:uid="{AC67644A-0FB8-49E7-8054-89BDF15CF917}">
      <formula1>$AO$30:$AO$34</formula1>
    </dataValidation>
    <dataValidation type="list" allowBlank="1" showInputMessage="1" showErrorMessage="1" sqref="F108:F109" xr:uid="{B23790AC-B6C6-4E40-9F3C-8E6503374181}">
      <formula1>$AJ$32:$AJ$32</formula1>
    </dataValidation>
    <dataValidation type="list" allowBlank="1" showInputMessage="1" showErrorMessage="1" sqref="E13" xr:uid="{55C2C631-7393-473D-A58C-03AC72024682}">
      <formula1>$AJ$19:$AJ$20</formula1>
    </dataValidation>
    <dataValidation type="list" allowBlank="1" showInputMessage="1" showErrorMessage="1" sqref="F28:F29" xr:uid="{9292B546-C08F-4195-9DE5-164515F4A808}">
      <formula1>$BJ$42:$BJ$43</formula1>
    </dataValidation>
    <dataValidation type="list" allowBlank="1" showInputMessage="1" showErrorMessage="1" sqref="E64 E705 E703 E700 E698 E696 E694 E692 E690 E688 E686 E682 E679 E677 E675 E673 E671 E667 E665 E663 E661 E659 E655 E653 E651 E647 E645 E643 E641 E639 E637 E635 E633 E631 E629 E627 E625 E623 E621 E619 E617 E615 E613 E611 E607 E605 E603 E601 E599 E597 E593 E591 E589 E587 E557 E573 E571 E555 E552 E550 E548 E546 E544 E542 E540 E538 E536 E534 E532 E528 E526 E524 E522 E520 E518 E516 E514 E512 E510 E508 E506 E504 E502 E500 E498 E496 E494 E492 E490 E488 E486 E484 E482 E480 E478 E476 E472 E470 E468 E465 E463 E461 E459 E457 E455 E453 E451 E449 E447 E445 E443 E441 E439 E437 E435 E433 E431 E429 E427 E425 E423 E421 E419 E417 E415 E413 E411 E409 E407 E405 E402 E400 E398 E396 E394 E392 E389 E387 E385 E382 E380 E378 E376 E374 E372 E370 E368 E366 E364 E362 E360 E357 E355 E353 E351 E349 E347 E344 E342 E340 E335 E333 E331 E329 E327 E325 E323 E321 E319 E317 E315 E313 E311 E309 E307 E305 E303 E301 E299 E297 E295 E293 E291 E289 E287 E285 E283 E281 E279 E277 E275 E273 E195:E237 E98:E114 E36:E62 E18:E32" xr:uid="{5907ABD2-2DAD-4DF8-A273-31845FD12A82}">
      <formula1>$BK$35:$BK$36</formula1>
    </dataValidation>
    <dataValidation type="list" allowBlank="1" showInputMessage="1" showErrorMessage="1" sqref="G185 F8 F10" xr:uid="{20A31187-6382-4F8E-BC41-D3D87E3E10A6}">
      <formula1>#REF!</formula1>
    </dataValidation>
  </dataValidations>
  <hyperlinks>
    <hyperlink ref="G703" r:id="rId1" location="tblfn2" xr:uid="{AA354238-CDD7-4855-AE64-BB10417742B1}"/>
    <hyperlink ref="F1665" r:id="rId2" location=":~:text=The%20COD%20conversion%20factors%20were,propionate%2C%20and%20butyrate%2C%20respectively." xr:uid="{4F987BE8-D19C-4BF1-BBF7-74249259DDB8}"/>
    <hyperlink ref="G472" r:id="rId3" location="b0110" xr:uid="{599FCDDD-76BE-4EAC-AC2F-7C4513A23221}"/>
    <hyperlink ref="H423" r:id="rId4" xr:uid="{709C33FB-5556-4C3B-91EC-B130BB1517E7}"/>
    <hyperlink ref="G405" r:id="rId5" xr:uid="{F5C705AA-F98A-4ABB-AF9C-D8B1FC032D58}"/>
    <hyperlink ref="G478" r:id="rId6" xr:uid="{C7A9D282-2E24-49A7-B549-21A8099B4004}"/>
    <hyperlink ref="G482" r:id="rId7" xr:uid="{4E23616A-EFF6-497E-AAB1-9A903C801DFD}"/>
    <hyperlink ref="G508" r:id="rId8" xr:uid="{254ACF5B-4458-4D77-81F9-BDDD916B4BB3}"/>
    <hyperlink ref="G512" r:id="rId9" xr:uid="{A3D2EBC6-359A-4BB7-858C-95BDACD5BBAA}"/>
    <hyperlink ref="G536" r:id="rId10" xr:uid="{5675F09C-C65C-45A7-A6A5-B88084D78F2A}"/>
    <hyperlink ref="G498" r:id="rId11" location="t0010" xr:uid="{29E47FB9-E119-432A-AE55-958708F3B077}"/>
    <hyperlink ref="G504" r:id="rId12" xr:uid="{8228044C-A64C-4F80-8348-1B5EAF05DE78}"/>
    <hyperlink ref="G421" r:id="rId13" xr:uid="{E02B0B83-32E2-4EEF-8CA5-66D06E7F09E0}"/>
    <hyperlink ref="G407" r:id="rId14" xr:uid="{C7CB693D-339C-4986-AF8F-B1AE5511F697}"/>
    <hyperlink ref="G538" r:id="rId15" xr:uid="{5CE631CA-9805-417E-8933-156A79955FED}"/>
    <hyperlink ref="G441" r:id="rId16" location="fig1" xr:uid="{1B75354C-D42F-4DC9-8062-85693061A30F}"/>
    <hyperlink ref="G447" r:id="rId17" location="b0220" xr:uid="{6FB76C08-B713-4E70-82EB-FCED7F85F782}"/>
    <hyperlink ref="G423" r:id="rId18" xr:uid="{E86929E7-E0C2-480B-BA4E-CB3D02F572BC}"/>
    <hyperlink ref="G429" r:id="rId19" xr:uid="{60DDD66E-E5AB-4513-B233-C074C54AC9E0}"/>
    <hyperlink ref="G431:G433" r:id="rId20" display="https://www.sciencedirect.com/science/article/pii/S0043135408002571?casa_token=EQHAODb5ypgAAAAA:3VX4kcsKW6KaZZYe4-R7bXrR0MsKdYq_J1dBghnzSsi9CHi31yM2eFeAMIVbfn1Zs1qmowLDdQ" xr:uid="{667EEA55-4883-41CA-B840-3B55BD219BA0}"/>
    <hyperlink ref="G425:G427" r:id="rId21" display="https://www.sciencedirect.com/science/article/pii/S0043135408002571?casa_token=EQHAODb5ypgAAAAA:3VX4kcsKW6KaZZYe4-R7bXrR0MsKdYq_J1dBghnzSsi9CHi31yM2eFeAMIVbfn1Zs1qmowLDdQ" xr:uid="{6EBBE925-2023-4774-A728-BF64604D8C4C}"/>
    <hyperlink ref="L797" r:id="rId22" xr:uid="{D128E8B7-B757-424A-9FE9-18BAB6992598}"/>
    <hyperlink ref="J825" r:id="rId23" display="https://pumpexpress.co.uk/shop/cp160-centrifugal-pumps-medium-flow/" xr:uid="{E271F7B0-5458-4F4A-BFCA-C6AB2C544D11}"/>
    <hyperlink ref="J818" r:id="rId24" xr:uid="{D8E73C0E-6AF9-40AC-A86B-1E2526A54276}"/>
    <hyperlink ref="L798" r:id="rId25" xr:uid="{ABC28B0B-4835-4C13-8908-7439CAF62489}"/>
    <hyperlink ref="L799" r:id="rId26" xr:uid="{56E4F4F8-06E6-400C-9D0F-3E1E1708F1AF}"/>
    <hyperlink ref="J824" r:id="rId27" display="https://pumpexpress.co.uk/shop/cp160-centrifugal-pumps-medium-flow/" xr:uid="{C4AF998E-B8FE-4E11-9591-D7FC2433493A}"/>
    <hyperlink ref="J820" r:id="rId28" display="https://pumpexpress.co.uk/product-category/pump-types/high-flow-pumps/" xr:uid="{836A44EA-D345-4149-9E4F-4DC33798729B}"/>
    <hyperlink ref="J826" r:id="rId29" display="https://pumpexpress.co.uk/shop/cp160-centrifugal-pumps-medium-flow/" xr:uid="{A96025BB-A624-48C5-96E5-C676C09334AD}"/>
    <hyperlink ref="J816" r:id="rId30" display="https://pumpexpress.co.uk/shop/hf-centrifugal-pump-high-flow/" xr:uid="{7B223109-B7FD-4C32-B197-297B72450CBB}"/>
    <hyperlink ref="J817" r:id="rId31" display="https://pumpexpress.co.uk/shop/hf-centrifugal-pump-high-flow/" xr:uid="{0264D276-D4B5-474E-8296-05D50A6AA643}"/>
    <hyperlink ref="J821" r:id="rId32" display="https://pumpexpress.co.uk/shop/hf-centrifugal-pump-high-flow/" xr:uid="{1048222A-DDEE-43BB-BE82-3033AB927755}"/>
    <hyperlink ref="J822" r:id="rId33" display="https://pumpexpress.co.uk/shop/hf-centrifugal-pump-high-flow/" xr:uid="{3465E370-4284-437B-B210-E977B27A892C}"/>
    <hyperlink ref="J823" r:id="rId34" xr:uid="{37C6D9D9-6BF1-4E86-B1AC-C5195A3FEC70}"/>
    <hyperlink ref="L811" r:id="rId35" xr:uid="{8FABB124-161D-404E-A7B7-652C576334E7}"/>
    <hyperlink ref="R1238" r:id="rId36" xr:uid="{004A3A32-B205-4E76-B8BF-3AD575303BCA}"/>
    <hyperlink ref="P1263" r:id="rId37" xr:uid="{3A7D6EB2-4912-4421-8BDF-42E577E624D4}"/>
    <hyperlink ref="P1529" r:id="rId38" xr:uid="{728A9291-A10B-41C2-9714-3D4DE976F391}"/>
    <hyperlink ref="L1560" r:id="rId39" xr:uid="{D1E4CB74-1064-4727-9546-7C1B83572E01}"/>
    <hyperlink ref="E1598" r:id="rId40" xr:uid="{E81983F2-7C46-4801-AFD1-E7B5FABF8EAC}"/>
    <hyperlink ref="W727" r:id="rId41" xr:uid="{50EF3A68-2F77-44E3-A0A8-00342CB0CEA3}"/>
    <hyperlink ref="W716" r:id="rId42" xr:uid="{E1FF9E42-8FB4-4701-9E0F-C84F58592534}"/>
    <hyperlink ref="W710" r:id="rId43" xr:uid="{74F83BD0-5BE8-44DE-A79C-E9FB759208FF}"/>
    <hyperlink ref="W729" r:id="rId44" xr:uid="{C6646E88-E486-4D42-A665-4482EB4C3FDE}"/>
    <hyperlink ref="G651" r:id="rId45" xr:uid="{F3867043-EA8F-4BE8-8517-D20DEAC3A575}"/>
    <hyperlink ref="G311" r:id="rId46" xr:uid="{BF2D4AB7-87AE-4EED-9E0C-0905A9280164}"/>
  </hyperlinks>
  <pageMargins left="0.7" right="0.7" top="0.75" bottom="0.75" header="0.3" footer="0.3"/>
  <drawing r:id="rId47"/>
  <legacyDrawing r:id="rId4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A6B83-9F1F-46DB-A9CF-1582AB7FA5EC}">
  <sheetPr codeName="Sheet1"/>
  <dimension ref="B1:EA1958"/>
  <sheetViews>
    <sheetView tabSelected="1" zoomScale="70" zoomScaleNormal="70" workbookViewId="0">
      <selection activeCell="F9" sqref="F9"/>
    </sheetView>
  </sheetViews>
  <sheetFormatPr defaultColWidth="9.1796875" defaultRowHeight="14.5"/>
  <cols>
    <col min="1" max="1" width="9.1796875" style="5"/>
    <col min="2" max="2" width="2.6328125" style="5" customWidth="1"/>
    <col min="3" max="3" width="16" style="5" customWidth="1"/>
    <col min="4" max="4" width="60" style="5" customWidth="1"/>
    <col min="5" max="5" width="37.81640625" style="5" customWidth="1"/>
    <col min="6" max="6" width="43.453125" style="5" customWidth="1"/>
    <col min="7" max="7" width="35.26953125" style="5" customWidth="1"/>
    <col min="8" max="8" width="20.7265625" style="5" bestFit="1" customWidth="1"/>
    <col min="9" max="9" width="27.453125" style="5" customWidth="1"/>
    <col min="10" max="10" width="33.54296875" style="5" customWidth="1"/>
    <col min="11" max="11" width="16.08984375" style="5" customWidth="1"/>
    <col min="12" max="12" width="2.6328125" style="5" customWidth="1"/>
    <col min="13" max="13" width="35.7265625" style="5" customWidth="1"/>
    <col min="14" max="14" width="25.453125" style="5" bestFit="1" customWidth="1"/>
    <col min="15" max="15" width="23.453125" style="5" bestFit="1" customWidth="1"/>
    <col min="16" max="16" width="30.7265625" style="5" customWidth="1"/>
    <col min="17" max="17" width="26" style="5" customWidth="1"/>
    <col min="18" max="18" width="16.54296875" style="5" bestFit="1" customWidth="1"/>
    <col min="19" max="19" width="19.7265625" style="5" customWidth="1"/>
    <col min="20" max="20" width="19.1796875" style="5" customWidth="1"/>
    <col min="21" max="21" width="18.36328125" style="5" customWidth="1"/>
    <col min="22" max="22" width="30.54296875" style="5" customWidth="1"/>
    <col min="23" max="23" width="30.7265625" style="5" customWidth="1"/>
    <col min="24" max="24" width="2.6328125" style="5" customWidth="1"/>
    <col min="25" max="25" width="28.453125" style="5" customWidth="1"/>
    <col min="26" max="26" width="33.54296875" style="5" customWidth="1"/>
    <col min="27" max="27" width="49.54296875" style="5" customWidth="1"/>
    <col min="28" max="28" width="36.7265625" style="5" customWidth="1"/>
    <col min="29" max="29" width="32.1796875" style="5" customWidth="1"/>
    <col min="30" max="30" width="34.7265625" style="5" customWidth="1"/>
    <col min="31" max="31" width="14" style="5" bestFit="1" customWidth="1"/>
    <col min="32" max="36" width="9.26953125" style="5" bestFit="1" customWidth="1"/>
    <col min="37" max="37" width="10.26953125" style="5" bestFit="1" customWidth="1"/>
    <col min="38" max="38" width="9.26953125" style="5" bestFit="1" customWidth="1"/>
    <col min="39" max="39" width="10.26953125" style="5" bestFit="1" customWidth="1"/>
    <col min="40" max="40" width="70.26953125" style="5" bestFit="1" customWidth="1"/>
    <col min="41" max="41" width="53.1796875" style="5" bestFit="1" customWidth="1"/>
    <col min="42" max="42" width="14" style="5" customWidth="1"/>
    <col min="43" max="43" width="14.81640625" style="5" customWidth="1"/>
    <col min="44" max="44" width="9.26953125" style="5" bestFit="1" customWidth="1"/>
    <col min="45" max="45" width="12.26953125" style="5" customWidth="1"/>
    <col min="46" max="46" width="12.7265625" style="5" customWidth="1"/>
    <col min="47" max="47" width="14.1796875" style="5" customWidth="1"/>
    <col min="48" max="48" width="14.81640625" style="5" customWidth="1"/>
    <col min="49" max="49" width="13.26953125" style="5" customWidth="1"/>
    <col min="50" max="50" width="14" style="5" customWidth="1"/>
    <col min="51" max="53" width="9.1796875" style="5"/>
    <col min="54" max="54" width="15.81640625" style="5" customWidth="1"/>
    <col min="55" max="55" width="14" style="5" customWidth="1"/>
    <col min="56" max="58" width="9.1796875" style="5"/>
    <col min="59" max="59" width="53.54296875" style="5" customWidth="1"/>
    <col min="60" max="65" width="9.1796875" style="5"/>
    <col min="66" max="66" width="70.7265625" style="5" bestFit="1" customWidth="1"/>
    <col min="67" max="67" width="9.1796875" style="5"/>
    <col min="68" max="68" width="109.54296875" style="5" bestFit="1" customWidth="1"/>
    <col min="69" max="69" width="27.7265625" style="5" bestFit="1" customWidth="1"/>
    <col min="70" max="70" width="53" style="5" bestFit="1" customWidth="1"/>
    <col min="71" max="16384" width="9.1796875" style="5"/>
  </cols>
  <sheetData>
    <row r="1" spans="2:63" ht="52" customHeight="1">
      <c r="C1" s="321" t="s">
        <v>1761</v>
      </c>
      <c r="D1" s="321"/>
      <c r="E1" s="321"/>
      <c r="F1" s="321"/>
      <c r="G1" s="321"/>
      <c r="H1" s="321"/>
      <c r="I1" s="321"/>
      <c r="J1" s="321"/>
      <c r="K1" s="321"/>
      <c r="L1" s="321"/>
    </row>
    <row r="3" spans="2:63" ht="14.5" customHeight="1">
      <c r="B3" s="2"/>
      <c r="C3" s="2"/>
      <c r="D3" s="2"/>
      <c r="E3" s="2"/>
      <c r="F3" s="2"/>
      <c r="G3" s="2"/>
      <c r="H3" s="2"/>
      <c r="I3" s="2"/>
      <c r="J3" s="2"/>
      <c r="K3" s="2"/>
      <c r="L3" s="2"/>
    </row>
    <row r="4" spans="2:63" ht="21">
      <c r="B4" s="2"/>
      <c r="C4" s="314" t="s">
        <v>1655</v>
      </c>
      <c r="D4" s="314"/>
      <c r="E4" s="314"/>
      <c r="F4" s="314"/>
      <c r="G4" s="314"/>
      <c r="H4" s="314"/>
      <c r="I4" s="314"/>
      <c r="J4" s="314"/>
      <c r="K4" s="314"/>
      <c r="L4" s="2"/>
    </row>
    <row r="5" spans="2:63" ht="21" customHeight="1">
      <c r="B5" s="2"/>
      <c r="D5" s="322" t="s">
        <v>1654</v>
      </c>
      <c r="E5" s="322"/>
      <c r="F5" s="322"/>
      <c r="G5" s="322"/>
      <c r="H5" s="322"/>
      <c r="I5" s="322"/>
      <c r="J5" s="322"/>
      <c r="K5" s="322"/>
      <c r="L5" s="2"/>
    </row>
    <row r="6" spans="2:63" ht="16" thickBot="1">
      <c r="B6" s="2"/>
      <c r="D6" s="175" t="s">
        <v>1545</v>
      </c>
      <c r="E6" s="175" t="s">
        <v>1546</v>
      </c>
      <c r="F6" s="175" t="s">
        <v>5</v>
      </c>
      <c r="G6" s="175" t="s">
        <v>574</v>
      </c>
      <c r="L6" s="2"/>
      <c r="AG6" s="5" t="s">
        <v>101</v>
      </c>
      <c r="AI6" s="5" t="s">
        <v>82</v>
      </c>
      <c r="BK6" s="5" t="str">
        <f>F7</f>
        <v>Combined</v>
      </c>
    </row>
    <row r="7" spans="2:63" ht="15" thickBot="1">
      <c r="B7" s="2"/>
      <c r="D7" s="5" t="s">
        <v>587</v>
      </c>
      <c r="E7" s="176" t="s">
        <v>403</v>
      </c>
      <c r="F7" s="181" t="s">
        <v>580</v>
      </c>
      <c r="G7" s="177">
        <v>1</v>
      </c>
      <c r="L7" s="2"/>
    </row>
    <row r="8" spans="2:63" ht="15" thickBot="1">
      <c r="B8" s="2"/>
      <c r="G8" s="85"/>
      <c r="L8" s="2"/>
    </row>
    <row r="9" spans="2:63" ht="15" thickBot="1">
      <c r="B9" s="2"/>
      <c r="D9" s="5" t="s">
        <v>61</v>
      </c>
      <c r="E9" s="176" t="s">
        <v>403</v>
      </c>
      <c r="F9" s="181" t="s">
        <v>580</v>
      </c>
      <c r="G9" s="177">
        <f>IF(E9="Yes",(_xlfn.IFS(F9=F7,((1-G7)+1E-100),F9&lt;&gt;F7,100%)),(1E-100))</f>
        <v>1E-100</v>
      </c>
      <c r="L9" s="2"/>
      <c r="AI9" s="5" t="s">
        <v>83</v>
      </c>
      <c r="AJ9" s="5" t="s">
        <v>84</v>
      </c>
      <c r="AN9" s="5" t="s">
        <v>1513</v>
      </c>
      <c r="AO9" s="5" t="s">
        <v>77</v>
      </c>
      <c r="AP9" s="5" t="s">
        <v>1514</v>
      </c>
      <c r="AQ9" s="5" t="s">
        <v>631</v>
      </c>
      <c r="AR9" s="5" t="s">
        <v>347</v>
      </c>
      <c r="BK9" s="5" t="str">
        <f>F9</f>
        <v>Combined</v>
      </c>
    </row>
    <row r="10" spans="2:63" ht="15" thickBot="1">
      <c r="B10" s="2"/>
      <c r="G10" s="85"/>
      <c r="L10" s="2"/>
    </row>
    <row r="11" spans="2:63" ht="15" thickBot="1">
      <c r="B11" s="2"/>
      <c r="D11" s="5" t="s">
        <v>478</v>
      </c>
      <c r="E11" s="176">
        <v>365</v>
      </c>
      <c r="L11" s="2"/>
    </row>
    <row r="12" spans="2:63" ht="15" thickBot="1">
      <c r="B12" s="2"/>
      <c r="L12" s="2"/>
    </row>
    <row r="13" spans="2:63" ht="15" thickBot="1">
      <c r="B13" s="2"/>
      <c r="D13" s="5" t="s">
        <v>1482</v>
      </c>
      <c r="E13" s="176">
        <v>2023</v>
      </c>
      <c r="I13" s="106"/>
      <c r="L13" s="2"/>
      <c r="AF13" s="5" t="str">
        <f>E9</f>
        <v>Yes</v>
      </c>
      <c r="AH13" s="5" t="s">
        <v>83</v>
      </c>
      <c r="AI13" s="5">
        <v>300</v>
      </c>
      <c r="AJ13" s="5">
        <f>AI13*0.001</f>
        <v>0.3</v>
      </c>
      <c r="AN13" s="5" t="s">
        <v>1512</v>
      </c>
      <c r="AO13" s="5" t="s">
        <v>1515</v>
      </c>
      <c r="AP13" s="5">
        <v>0.93500000000000005</v>
      </c>
      <c r="AQ13" s="5">
        <v>0.75</v>
      </c>
    </row>
    <row r="14" spans="2:63">
      <c r="B14" s="2"/>
      <c r="L14" s="2"/>
      <c r="AH14" s="5" t="s">
        <v>85</v>
      </c>
      <c r="AI14" s="5">
        <f>AJ14*1000</f>
        <v>1000</v>
      </c>
      <c r="AJ14" s="5">
        <v>1</v>
      </c>
      <c r="AN14" s="5" t="s">
        <v>1522</v>
      </c>
      <c r="AO14" s="5" t="s">
        <v>1515</v>
      </c>
      <c r="AP14" s="5">
        <v>0.93500000000000005</v>
      </c>
      <c r="AQ14" s="5">
        <v>1.1200000000000001</v>
      </c>
    </row>
    <row r="15" spans="2:63" ht="21">
      <c r="B15" s="2"/>
      <c r="C15" s="314" t="s">
        <v>1656</v>
      </c>
      <c r="D15" s="314"/>
      <c r="E15" s="314"/>
      <c r="F15" s="314"/>
      <c r="G15" s="314"/>
      <c r="H15" s="314"/>
      <c r="I15" s="314"/>
      <c r="J15" s="314"/>
      <c r="K15" s="314"/>
      <c r="L15" s="2"/>
    </row>
    <row r="16" spans="2:63" ht="32" customHeight="1">
      <c r="B16" s="2"/>
      <c r="D16" s="323" t="s">
        <v>1759</v>
      </c>
      <c r="E16" s="323"/>
      <c r="F16" s="323"/>
      <c r="G16" s="323"/>
      <c r="H16" s="323"/>
      <c r="I16" s="323"/>
      <c r="J16" s="323"/>
      <c r="K16" s="323"/>
      <c r="L16" s="2"/>
      <c r="AG16" s="92">
        <v>1</v>
      </c>
      <c r="AN16" s="5" t="s">
        <v>1521</v>
      </c>
      <c r="AO16" s="5" t="s">
        <v>362</v>
      </c>
      <c r="AP16" s="96">
        <v>0.214</v>
      </c>
      <c r="AQ16" s="92">
        <v>0.25</v>
      </c>
    </row>
    <row r="17" spans="2:43" ht="15" thickBot="1">
      <c r="B17" s="2"/>
      <c r="D17" s="16" t="s">
        <v>1547</v>
      </c>
      <c r="E17" s="16"/>
      <c r="F17" s="16"/>
      <c r="L17" s="2"/>
      <c r="AG17" s="106">
        <v>9.9999999999999993E-103</v>
      </c>
      <c r="AN17" s="5" t="s">
        <v>1520</v>
      </c>
      <c r="AO17" s="5" t="s">
        <v>852</v>
      </c>
      <c r="AP17" s="5">
        <v>0.41</v>
      </c>
      <c r="AQ17" s="5">
        <v>0.45</v>
      </c>
    </row>
    <row r="18" spans="2:43" ht="15" thickBot="1">
      <c r="B18" s="2"/>
      <c r="D18" s="5" t="s">
        <v>1033</v>
      </c>
      <c r="E18" s="176" t="s">
        <v>346</v>
      </c>
      <c r="F18" s="179">
        <f>F24*F22</f>
        <v>69313.397260273967</v>
      </c>
      <c r="L18" s="2"/>
      <c r="AI18" s="5" t="s">
        <v>575</v>
      </c>
      <c r="AJ18" s="5" t="s">
        <v>1482</v>
      </c>
      <c r="AN18" s="5" t="s">
        <v>1520</v>
      </c>
      <c r="AO18" s="5" t="s">
        <v>100</v>
      </c>
      <c r="AP18" s="5">
        <v>0.45</v>
      </c>
      <c r="AQ18" s="5">
        <v>0.51</v>
      </c>
    </row>
    <row r="19" spans="2:43" ht="15" thickBot="1">
      <c r="B19" s="2"/>
      <c r="F19" s="105"/>
      <c r="L19" s="2"/>
      <c r="AI19" s="5" t="s">
        <v>110</v>
      </c>
      <c r="AJ19" s="5">
        <v>2023</v>
      </c>
      <c r="AN19" s="5" t="s">
        <v>1519</v>
      </c>
      <c r="AO19" s="5" t="s">
        <v>1320</v>
      </c>
      <c r="AP19" s="5">
        <v>0.7</v>
      </c>
      <c r="AQ19" s="5">
        <v>0.5</v>
      </c>
    </row>
    <row r="20" spans="2:43" ht="15" thickBot="1">
      <c r="B20" s="2"/>
      <c r="D20" s="5" t="s">
        <v>1032</v>
      </c>
      <c r="E20" s="176" t="s">
        <v>346</v>
      </c>
      <c r="F20" s="179">
        <f>F18*59%</f>
        <v>40894.904383561639</v>
      </c>
      <c r="L20" s="2"/>
      <c r="AI20" s="5" t="s">
        <v>61</v>
      </c>
      <c r="AJ20" s="5">
        <v>2030</v>
      </c>
      <c r="AN20" s="5" t="s">
        <v>1518</v>
      </c>
      <c r="AO20" s="5" t="s">
        <v>59</v>
      </c>
      <c r="AP20" s="92">
        <v>0.75</v>
      </c>
      <c r="AQ20" s="92">
        <v>0.9</v>
      </c>
    </row>
    <row r="21" spans="2:43" ht="15" thickBot="1">
      <c r="B21" s="2"/>
      <c r="F21" s="105"/>
      <c r="L21" s="2"/>
      <c r="AP21" s="92"/>
      <c r="AQ21" s="92"/>
    </row>
    <row r="22" spans="2:43" ht="15" thickBot="1">
      <c r="B22" s="2"/>
      <c r="D22" s="5" t="s">
        <v>96</v>
      </c>
      <c r="E22" s="176" t="s">
        <v>346</v>
      </c>
      <c r="F22" s="179">
        <v>0.03</v>
      </c>
      <c r="L22" s="2"/>
      <c r="AN22" s="5" t="s">
        <v>1517</v>
      </c>
      <c r="AO22" s="5" t="s">
        <v>59</v>
      </c>
      <c r="AP22" s="92">
        <v>0.75</v>
      </c>
      <c r="AQ22" s="92">
        <v>0.6</v>
      </c>
    </row>
    <row r="23" spans="2:43" ht="15" thickBot="1">
      <c r="B23" s="2"/>
      <c r="F23" s="1"/>
      <c r="L23" s="2"/>
      <c r="AP23" s="92"/>
      <c r="AQ23" s="92"/>
    </row>
    <row r="24" spans="2:43" ht="15" thickBot="1">
      <c r="B24" s="2"/>
      <c r="D24" s="5" t="s">
        <v>1031</v>
      </c>
      <c r="E24" s="279" t="s">
        <v>346</v>
      </c>
      <c r="F24" s="179">
        <v>2310446.5753424657</v>
      </c>
      <c r="L24" s="2"/>
      <c r="AN24" s="5" t="s">
        <v>1516</v>
      </c>
      <c r="AO24" s="5" t="s">
        <v>1523</v>
      </c>
      <c r="AP24" s="92">
        <v>0.26</v>
      </c>
      <c r="AQ24" s="92">
        <v>0.1</v>
      </c>
    </row>
    <row r="25" spans="2:43" ht="15" thickBot="1">
      <c r="B25" s="2"/>
      <c r="F25" s="1"/>
      <c r="L25" s="2"/>
      <c r="AP25" s="92"/>
      <c r="AQ25" s="92"/>
    </row>
    <row r="26" spans="2:43" ht="15" thickBot="1">
      <c r="B26" s="2"/>
      <c r="D26" s="5" t="s">
        <v>706</v>
      </c>
      <c r="E26" s="279" t="s">
        <v>346</v>
      </c>
      <c r="F26" s="179">
        <f>F24/1000</f>
        <v>2310.4465753424656</v>
      </c>
      <c r="L26" s="2"/>
    </row>
    <row r="27" spans="2:43" ht="15" thickBot="1">
      <c r="B27" s="2"/>
      <c r="F27" s="280"/>
      <c r="L27" s="2"/>
    </row>
    <row r="28" spans="2:43" ht="15" thickBot="1">
      <c r="B28" s="2"/>
      <c r="D28" s="5" t="s">
        <v>1283</v>
      </c>
      <c r="E28" s="279" t="s">
        <v>345</v>
      </c>
      <c r="F28" s="179" t="s">
        <v>1285</v>
      </c>
      <c r="L28" s="2"/>
    </row>
    <row r="29" spans="2:43" ht="15" thickBot="1">
      <c r="B29" s="2"/>
      <c r="F29" s="1"/>
      <c r="L29" s="2"/>
    </row>
    <row r="30" spans="2:43" ht="15" thickBot="1">
      <c r="B30" s="2"/>
      <c r="D30" s="5" t="s">
        <v>407</v>
      </c>
      <c r="E30" s="279" t="s">
        <v>346</v>
      </c>
      <c r="F30" s="179" cm="1">
        <f t="array" ref="F30">_xlfn.IFS(E30=BK35,"Enter Value",E30=BK36,0.935)</f>
        <v>0.93500000000000005</v>
      </c>
      <c r="L30" s="2"/>
    </row>
    <row r="31" spans="2:43" ht="15" thickBot="1">
      <c r="B31" s="2"/>
      <c r="F31" s="1"/>
      <c r="L31" s="2"/>
    </row>
    <row r="32" spans="2:43" ht="15" thickBot="1">
      <c r="B32" s="2"/>
      <c r="D32" s="5" t="s">
        <v>408</v>
      </c>
      <c r="E32" s="279" t="s">
        <v>346</v>
      </c>
      <c r="F32" s="179" cm="1">
        <f t="array" ref="F32">_xlfn.IFS(E32="Default",F311,E32="User Defined","Enter Value")</f>
        <v>0.19</v>
      </c>
      <c r="L32" s="2"/>
    </row>
    <row r="33" spans="2:73">
      <c r="B33" s="2"/>
      <c r="L33" s="2"/>
    </row>
    <row r="34" spans="2:73">
      <c r="B34" s="2"/>
      <c r="L34" s="2"/>
    </row>
    <row r="35" spans="2:73" ht="15" thickBot="1">
      <c r="B35" s="2"/>
      <c r="D35" s="16" t="s">
        <v>1605</v>
      </c>
      <c r="E35" s="16"/>
      <c r="F35" s="16"/>
      <c r="L35" s="2"/>
      <c r="BJ35" s="5" t="b">
        <v>1</v>
      </c>
      <c r="BK35" s="5" t="s">
        <v>345</v>
      </c>
      <c r="BM35" s="5" t="s">
        <v>102</v>
      </c>
      <c r="BO35" s="5" t="s">
        <v>109</v>
      </c>
      <c r="BP35" s="5" t="s">
        <v>108</v>
      </c>
      <c r="BQ35" s="5" t="s">
        <v>171</v>
      </c>
      <c r="BT35" s="5" t="s">
        <v>403</v>
      </c>
      <c r="BU35" s="5" t="s">
        <v>405</v>
      </c>
    </row>
    <row r="36" spans="2:73" ht="15" thickBot="1">
      <c r="B36" s="2"/>
      <c r="D36" s="5" t="s">
        <v>87</v>
      </c>
      <c r="E36" s="279" t="s">
        <v>345</v>
      </c>
      <c r="F36" s="179">
        <v>430893</v>
      </c>
      <c r="L36" s="2"/>
      <c r="AG36" s="5" t="s">
        <v>403</v>
      </c>
      <c r="AH36" s="5" t="s">
        <v>578</v>
      </c>
      <c r="AI36" s="5" t="s">
        <v>579</v>
      </c>
      <c r="AJ36" s="5" t="s">
        <v>580</v>
      </c>
      <c r="BJ36" s="5" t="b">
        <v>0</v>
      </c>
      <c r="BK36" s="5" t="s">
        <v>346</v>
      </c>
      <c r="BM36" s="5" t="s">
        <v>103</v>
      </c>
      <c r="BO36" s="5" t="s">
        <v>576</v>
      </c>
      <c r="BP36" s="5">
        <v>5</v>
      </c>
      <c r="BQ36" s="5" t="s">
        <v>160</v>
      </c>
      <c r="BT36" s="5" t="s">
        <v>404</v>
      </c>
      <c r="BU36" s="5" t="s">
        <v>406</v>
      </c>
    </row>
    <row r="37" spans="2:73" ht="15" thickBot="1">
      <c r="B37" s="2"/>
      <c r="F37" s="1"/>
      <c r="L37" s="2"/>
      <c r="BL37" s="5" t="s">
        <v>576</v>
      </c>
      <c r="BM37" s="5" t="s">
        <v>577</v>
      </c>
    </row>
    <row r="38" spans="2:73" ht="15" thickBot="1">
      <c r="B38" s="2"/>
      <c r="D38" s="5" t="s">
        <v>88</v>
      </c>
      <c r="E38" s="279" t="s">
        <v>345</v>
      </c>
      <c r="F38" s="179">
        <v>0.24299999999999999</v>
      </c>
      <c r="L38" s="2"/>
      <c r="BL38" s="5" t="s">
        <v>577</v>
      </c>
      <c r="BM38" s="5" t="s">
        <v>576</v>
      </c>
      <c r="BP38" s="5">
        <v>2</v>
      </c>
    </row>
    <row r="39" spans="2:73" ht="15" thickBot="1">
      <c r="B39" s="2"/>
      <c r="F39" s="1"/>
      <c r="L39" s="2"/>
      <c r="BL39" s="5" t="s">
        <v>81</v>
      </c>
      <c r="BM39" s="5" t="s">
        <v>81</v>
      </c>
    </row>
    <row r="40" spans="2:73" ht="15" thickBot="1">
      <c r="B40" s="2"/>
      <c r="D40" s="5" t="s">
        <v>280</v>
      </c>
      <c r="E40" s="279" t="s">
        <v>346</v>
      </c>
      <c r="F40" s="179">
        <f>IF(E40=BK35,"Enter Value",IF(E40=BK36,'Parameter Inputs'!F281*'Parameter Inputs'!F38))</f>
        <v>0.16281000000000001</v>
      </c>
      <c r="L40" s="2"/>
      <c r="BP40" s="5">
        <v>1</v>
      </c>
    </row>
    <row r="41" spans="2:73" ht="15" thickBot="1">
      <c r="B41" s="2"/>
      <c r="F41" s="1"/>
      <c r="L41" s="2"/>
    </row>
    <row r="42" spans="2:73" ht="15" thickBot="1">
      <c r="B42" s="2"/>
      <c r="D42" s="5" t="s">
        <v>78</v>
      </c>
      <c r="E42" s="279" t="s">
        <v>346</v>
      </c>
      <c r="F42" s="179">
        <v>0.7</v>
      </c>
      <c r="L42" s="2"/>
      <c r="BJ42" s="5" t="s">
        <v>1284</v>
      </c>
      <c r="BP42" s="5">
        <v>1</v>
      </c>
    </row>
    <row r="43" spans="2:73" ht="15" thickBot="1">
      <c r="B43" s="2"/>
      <c r="F43" s="1"/>
      <c r="L43" s="2"/>
      <c r="AH43" s="5">
        <f>698367/365</f>
        <v>1913.3342465753424</v>
      </c>
      <c r="BJ43" s="5" t="s">
        <v>1285</v>
      </c>
    </row>
    <row r="44" spans="2:73" ht="15" thickBot="1">
      <c r="B44" s="2"/>
      <c r="D44" s="5" t="s">
        <v>86</v>
      </c>
      <c r="E44" s="279" t="s">
        <v>346</v>
      </c>
      <c r="F44" s="179">
        <f>IF(E44=BK35,"Enter Value",IF(E44=BK36,'Parameter Inputs'!I936,"ERROR"))</f>
        <v>65965.409369999994</v>
      </c>
      <c r="L44" s="2"/>
      <c r="AH44" s="5">
        <f>AH43*1000</f>
        <v>1913334.2465753425</v>
      </c>
    </row>
    <row r="45" spans="2:73" ht="15" thickBot="1">
      <c r="B45" s="2"/>
      <c r="F45" s="1"/>
      <c r="L45" s="2"/>
    </row>
    <row r="46" spans="2:73" ht="15" thickBot="1">
      <c r="B46" s="2"/>
      <c r="D46" s="5" t="s">
        <v>96</v>
      </c>
      <c r="E46" s="279" t="s">
        <v>346</v>
      </c>
      <c r="F46" s="179">
        <f>IF(E46=BK35,"Enter Value",IF(E46=BK36,'Parameter Inputs'!F291,"ERROR"))</f>
        <v>0.06</v>
      </c>
      <c r="L46" s="2"/>
    </row>
    <row r="47" spans="2:73" ht="15" thickBot="1">
      <c r="B47" s="2"/>
      <c r="F47" s="1"/>
      <c r="L47" s="2"/>
    </row>
    <row r="48" spans="2:73" ht="15" thickBot="1">
      <c r="B48" s="2"/>
      <c r="D48" s="5" t="s">
        <v>94</v>
      </c>
      <c r="E48" s="279" t="s">
        <v>346</v>
      </c>
      <c r="F48" s="179">
        <f>IF(E48=BK35,"Enter Value",IF(E48=BK36,(F44/('Parameter Inputs'!F309*F46)),"ERROR"))</f>
        <v>1099.4234895</v>
      </c>
      <c r="L48" s="2"/>
    </row>
    <row r="49" spans="2:12" ht="15" thickBot="1">
      <c r="B49" s="2"/>
      <c r="F49" s="1"/>
      <c r="L49" s="2"/>
    </row>
    <row r="50" spans="2:12" ht="15" thickBot="1">
      <c r="B50" s="2"/>
      <c r="D50" s="5" t="s">
        <v>89</v>
      </c>
      <c r="E50" s="279" t="s">
        <v>346</v>
      </c>
      <c r="F50" s="179">
        <f>IF(E50=BK35,"Enter Value",IF(E50=BK36,'Parameter Inputs'!F283,"ERROR"))</f>
        <v>0.5</v>
      </c>
      <c r="L50" s="2"/>
    </row>
    <row r="51" spans="2:12" ht="15" thickBot="1">
      <c r="B51" s="2"/>
      <c r="F51" s="1"/>
      <c r="L51" s="2"/>
    </row>
    <row r="52" spans="2:12" ht="15" thickBot="1">
      <c r="B52" s="2"/>
      <c r="D52" s="5" t="s">
        <v>90</v>
      </c>
      <c r="E52" s="279" t="s">
        <v>346</v>
      </c>
      <c r="F52" s="179">
        <v>0.7</v>
      </c>
      <c r="L52" s="2"/>
    </row>
    <row r="53" spans="2:12" ht="15" thickBot="1">
      <c r="B53" s="2"/>
      <c r="F53" s="1"/>
      <c r="L53" s="2"/>
    </row>
    <row r="54" spans="2:12" ht="15" thickBot="1">
      <c r="B54" s="2"/>
      <c r="D54" s="5" t="s">
        <v>97</v>
      </c>
      <c r="E54" s="279" t="s">
        <v>346</v>
      </c>
      <c r="F54" s="179">
        <f>IF(E54=BK35,"Enter Value",IF(E54=BK36,((F50*F36*F52)/F48),"ERROR"))</f>
        <v>137.1742112482853</v>
      </c>
      <c r="L54" s="2"/>
    </row>
    <row r="55" spans="2:12" ht="15" thickBot="1">
      <c r="B55" s="2"/>
      <c r="F55" s="1"/>
      <c r="L55" s="2"/>
    </row>
    <row r="56" spans="2:12" ht="15" thickBot="1">
      <c r="B56" s="2"/>
      <c r="D56" s="5" t="s">
        <v>79</v>
      </c>
      <c r="E56" s="279" t="s">
        <v>346</v>
      </c>
      <c r="F56" s="179">
        <f>IF(E56=BK35,"Enter Value",IF(E56=BK36,(F42/F46),"ERROR"))</f>
        <v>11.666666666666666</v>
      </c>
      <c r="L56" s="2"/>
    </row>
    <row r="57" spans="2:12" ht="15" thickBot="1">
      <c r="B57" s="2"/>
      <c r="F57" s="1"/>
      <c r="L57" s="2"/>
    </row>
    <row r="58" spans="2:12" ht="15" thickBot="1">
      <c r="B58" s="2"/>
      <c r="D58" s="5" t="s">
        <v>111</v>
      </c>
      <c r="E58" s="279" t="s">
        <v>346</v>
      </c>
      <c r="F58" s="179">
        <f>IF(E58=BK35,"Enter Value",IF(E58=BK36,(F44/F48),"ERROR"))</f>
        <v>60</v>
      </c>
      <c r="L58" s="2"/>
    </row>
    <row r="59" spans="2:12" ht="15" thickBot="1">
      <c r="B59" s="2"/>
      <c r="F59" s="1"/>
      <c r="L59" s="2"/>
    </row>
    <row r="60" spans="2:12" ht="15" thickBot="1">
      <c r="B60" s="2"/>
      <c r="D60" s="5" t="s">
        <v>351</v>
      </c>
      <c r="E60" s="279" t="s">
        <v>346</v>
      </c>
      <c r="F60" s="179">
        <f>IF(E60=BK35,"Enter Value",IF(E60=BK36,'Parameter Inputs'!F305,"ERROR"))</f>
        <v>0.3</v>
      </c>
      <c r="L60" s="2"/>
    </row>
    <row r="61" spans="2:12" ht="15" thickBot="1">
      <c r="B61" s="2"/>
      <c r="F61" s="1"/>
      <c r="L61" s="2"/>
    </row>
    <row r="62" spans="2:12" ht="15" thickBot="1">
      <c r="B62" s="2"/>
      <c r="D62" s="5" t="s">
        <v>415</v>
      </c>
      <c r="E62" s="279" t="s">
        <v>346</v>
      </c>
      <c r="F62" s="179">
        <f>IF(E62=BK35,"Enter Value",IF(E62=BK36,'Parameter Inputs'!F299))</f>
        <v>0.02</v>
      </c>
      <c r="L62" s="2"/>
    </row>
    <row r="63" spans="2:12" ht="15" thickBot="1">
      <c r="B63" s="2"/>
      <c r="F63" s="1"/>
      <c r="L63" s="2"/>
    </row>
    <row r="64" spans="2:12" ht="15" thickBot="1">
      <c r="B64" s="2"/>
      <c r="D64" s="5" t="s">
        <v>1612</v>
      </c>
      <c r="E64" s="279" t="s">
        <v>346</v>
      </c>
      <c r="F64" s="179">
        <f>IF(E64=BK35,"Enter Value",IF(E64=BK36,'Parameter Inputs'!F301))</f>
        <v>0.1</v>
      </c>
      <c r="L64" s="2"/>
    </row>
    <row r="65" spans="2:12">
      <c r="B65" s="2"/>
      <c r="L65" s="2"/>
    </row>
    <row r="66" spans="2:12" ht="21">
      <c r="B66" s="2"/>
      <c r="C66" s="314" t="s">
        <v>1657</v>
      </c>
      <c r="D66" s="314"/>
      <c r="E66" s="314"/>
      <c r="F66" s="314"/>
      <c r="G66" s="314"/>
      <c r="H66" s="314"/>
      <c r="I66" s="314"/>
      <c r="J66" s="314"/>
      <c r="K66" s="314"/>
      <c r="L66" s="2"/>
    </row>
    <row r="67" spans="2:12">
      <c r="B67" s="2"/>
      <c r="D67" s="5" t="s">
        <v>1706</v>
      </c>
      <c r="L67" s="2"/>
    </row>
    <row r="68" spans="2:12">
      <c r="B68" s="2"/>
      <c r="D68" s="16"/>
      <c r="E68" s="16"/>
      <c r="F68" s="16"/>
      <c r="L68" s="2"/>
    </row>
    <row r="69" spans="2:12" ht="15" thickBot="1">
      <c r="B69" s="2"/>
      <c r="D69" s="16" t="s">
        <v>74</v>
      </c>
      <c r="E69" s="16" t="s">
        <v>1617</v>
      </c>
      <c r="F69" s="16" t="s">
        <v>1616</v>
      </c>
      <c r="L69" s="2"/>
    </row>
    <row r="70" spans="2:12" ht="15" thickBot="1">
      <c r="B70" s="2"/>
      <c r="D70" s="5" t="s">
        <v>62</v>
      </c>
      <c r="E70" s="179">
        <v>6</v>
      </c>
      <c r="F70" s="179">
        <f>E70/0.861</f>
        <v>6.9686411149825789</v>
      </c>
      <c r="L70" s="2"/>
    </row>
    <row r="71" spans="2:12" ht="15" thickBot="1">
      <c r="B71" s="2"/>
      <c r="F71" s="1"/>
      <c r="L71" s="2"/>
    </row>
    <row r="72" spans="2:12" ht="15" thickBot="1">
      <c r="B72" s="2"/>
      <c r="D72" s="5" t="s">
        <v>1676</v>
      </c>
      <c r="E72" s="281">
        <v>5</v>
      </c>
      <c r="F72" s="179">
        <f>E72/0.861</f>
        <v>5.8072009291521489</v>
      </c>
      <c r="L72" s="2"/>
    </row>
    <row r="73" spans="2:12" ht="15" thickBot="1">
      <c r="B73" s="2"/>
      <c r="F73" s="1"/>
      <c r="L73" s="2"/>
    </row>
    <row r="74" spans="2:12" ht="15" thickBot="1">
      <c r="B74" s="2"/>
      <c r="D74" s="5" t="s">
        <v>64</v>
      </c>
      <c r="E74" s="281">
        <v>7</v>
      </c>
      <c r="F74" s="179">
        <f>E74/0.886</f>
        <v>7.9006772009029342</v>
      </c>
      <c r="L74" s="2"/>
    </row>
    <row r="75" spans="2:12" ht="15" thickBot="1">
      <c r="B75" s="2"/>
      <c r="F75" s="1"/>
      <c r="L75" s="2"/>
    </row>
    <row r="76" spans="2:12" ht="15" thickBot="1">
      <c r="B76" s="2"/>
      <c r="D76" s="5" t="s">
        <v>65</v>
      </c>
      <c r="E76" s="281">
        <v>8</v>
      </c>
      <c r="F76" s="179">
        <f>E76/0.886</f>
        <v>9.0293453724604973</v>
      </c>
      <c r="L76" s="2"/>
    </row>
    <row r="77" spans="2:12" ht="15" thickBot="1">
      <c r="B77" s="2"/>
      <c r="F77" s="1"/>
      <c r="L77" s="2"/>
    </row>
    <row r="78" spans="2:12" ht="15" thickBot="1">
      <c r="B78" s="2"/>
      <c r="D78" s="5" t="s">
        <v>66</v>
      </c>
      <c r="E78" s="281">
        <v>11</v>
      </c>
      <c r="F78" s="179">
        <f>E78/0.886</f>
        <v>12.415349887133182</v>
      </c>
      <c r="L78" s="2"/>
    </row>
    <row r="79" spans="2:12" ht="15" thickBot="1">
      <c r="B79" s="2"/>
      <c r="F79" s="1"/>
      <c r="L79" s="2"/>
    </row>
    <row r="80" spans="2:12" ht="15" thickBot="1">
      <c r="B80" s="2"/>
      <c r="D80" s="5" t="s">
        <v>67</v>
      </c>
      <c r="E80" s="281">
        <v>13</v>
      </c>
      <c r="F80" s="179">
        <f>E80/0.704</f>
        <v>18.465909090909093</v>
      </c>
      <c r="H80" s="5" t="s">
        <v>542</v>
      </c>
      <c r="L80" s="2"/>
    </row>
    <row r="81" spans="2:12" ht="15" thickBot="1">
      <c r="B81" s="2"/>
      <c r="F81" s="1"/>
      <c r="L81" s="2"/>
    </row>
    <row r="82" spans="2:12" ht="15" thickBot="1">
      <c r="B82" s="2"/>
      <c r="D82" s="5" t="s">
        <v>68</v>
      </c>
      <c r="E82" s="281">
        <v>15</v>
      </c>
      <c r="F82" s="179">
        <f>E82/0.704</f>
        <v>21.306818181818183</v>
      </c>
      <c r="L82" s="2"/>
    </row>
    <row r="83" spans="2:12" ht="15" thickBot="1">
      <c r="B83" s="2"/>
      <c r="F83" s="1"/>
      <c r="L83" s="2"/>
    </row>
    <row r="84" spans="2:12" ht="15" thickBot="1">
      <c r="B84" s="2"/>
      <c r="D84" s="5" t="s">
        <v>69</v>
      </c>
      <c r="E84" s="281">
        <v>15</v>
      </c>
      <c r="F84" s="179">
        <f>E84/0.704</f>
        <v>21.306818181818183</v>
      </c>
      <c r="L84" s="2"/>
    </row>
    <row r="85" spans="2:12" ht="15" thickBot="1">
      <c r="B85" s="2"/>
      <c r="F85" s="1"/>
      <c r="L85" s="2"/>
    </row>
    <row r="86" spans="2:12" ht="15" thickBot="1">
      <c r="B86" s="2"/>
      <c r="D86" s="5" t="s">
        <v>70</v>
      </c>
      <c r="E86" s="281">
        <v>13</v>
      </c>
      <c r="F86" s="179">
        <f>E86/0.817</f>
        <v>15.911872705018361</v>
      </c>
      <c r="L86" s="2"/>
    </row>
    <row r="87" spans="2:12" ht="15" thickBot="1">
      <c r="B87" s="2"/>
      <c r="F87" s="1"/>
      <c r="L87" s="2"/>
    </row>
    <row r="88" spans="2:12" ht="15" thickBot="1">
      <c r="B88" s="2"/>
      <c r="D88" s="5" t="s">
        <v>71</v>
      </c>
      <c r="E88" s="281">
        <v>10</v>
      </c>
      <c r="F88" s="179">
        <f>E88/0.817</f>
        <v>12.239902080783354</v>
      </c>
      <c r="L88" s="2"/>
    </row>
    <row r="89" spans="2:12" ht="15" thickBot="1">
      <c r="B89" s="2"/>
      <c r="F89" s="1"/>
      <c r="L89" s="2"/>
    </row>
    <row r="90" spans="2:12" ht="15" thickBot="1">
      <c r="B90" s="2"/>
      <c r="D90" s="5" t="s">
        <v>72</v>
      </c>
      <c r="E90" s="281">
        <v>8</v>
      </c>
      <c r="F90" s="179">
        <f>E90/0.817</f>
        <v>9.7919216646266829</v>
      </c>
      <c r="L90" s="2"/>
    </row>
    <row r="91" spans="2:12" ht="15" thickBot="1">
      <c r="B91" s="2"/>
      <c r="F91" s="1"/>
      <c r="L91" s="2"/>
    </row>
    <row r="92" spans="2:12" ht="15" thickBot="1">
      <c r="B92" s="2"/>
      <c r="D92" s="5" t="s">
        <v>73</v>
      </c>
      <c r="E92" s="281">
        <v>6</v>
      </c>
      <c r="F92" s="179">
        <f>E92/0.861</f>
        <v>6.9686411149825789</v>
      </c>
      <c r="L92" s="2"/>
    </row>
    <row r="93" spans="2:12">
      <c r="B93" s="2"/>
      <c r="L93" s="2"/>
    </row>
    <row r="94" spans="2:12" ht="21">
      <c r="B94" s="2"/>
      <c r="C94" s="314" t="s">
        <v>1658</v>
      </c>
      <c r="D94" s="314"/>
      <c r="E94" s="314"/>
      <c r="F94" s="314"/>
      <c r="G94" s="314"/>
      <c r="H94" s="314"/>
      <c r="I94" s="314"/>
      <c r="J94" s="314"/>
      <c r="K94" s="314"/>
      <c r="L94" s="2"/>
    </row>
    <row r="95" spans="2:12" ht="55" customHeight="1">
      <c r="B95" s="2"/>
      <c r="D95" s="315" t="s">
        <v>1758</v>
      </c>
      <c r="E95" s="315"/>
      <c r="F95" s="315"/>
      <c r="G95" s="315"/>
      <c r="H95" s="315"/>
      <c r="L95" s="2"/>
    </row>
    <row r="96" spans="2:12">
      <c r="B96" s="2"/>
      <c r="L96" s="2"/>
    </row>
    <row r="97" spans="2:12" ht="15" thickBot="1">
      <c r="B97" s="2"/>
      <c r="D97" s="16" t="s">
        <v>1652</v>
      </c>
      <c r="L97" s="2"/>
    </row>
    <row r="98" spans="2:12" ht="15" thickBot="1">
      <c r="B98" s="2"/>
      <c r="D98" s="5" t="s">
        <v>506</v>
      </c>
      <c r="E98" s="279" t="s">
        <v>346</v>
      </c>
      <c r="F98" s="179" t="s">
        <v>1137</v>
      </c>
      <c r="L98" s="2"/>
    </row>
    <row r="99" spans="2:12" ht="15" thickBot="1">
      <c r="B99" s="2"/>
      <c r="E99" s="16"/>
      <c r="F99" s="1"/>
      <c r="L99" s="2"/>
    </row>
    <row r="100" spans="2:12" ht="15" thickBot="1">
      <c r="B100" s="2"/>
      <c r="D100" s="5" t="s">
        <v>519</v>
      </c>
      <c r="E100" s="279" t="s">
        <v>346</v>
      </c>
      <c r="F100" s="179" t="s">
        <v>81</v>
      </c>
      <c r="L100" s="2"/>
    </row>
    <row r="101" spans="2:12" ht="15" thickBot="1">
      <c r="B101" s="2"/>
      <c r="F101" s="1"/>
      <c r="L101" s="2"/>
    </row>
    <row r="102" spans="2:12" ht="15" thickBot="1">
      <c r="B102" s="2"/>
      <c r="D102" s="5" t="s">
        <v>1393</v>
      </c>
      <c r="E102" s="279" t="s">
        <v>346</v>
      </c>
      <c r="F102" s="179" cm="1">
        <f t="array" ref="F102">_xlfn.IFS(E102="Default",_xlfn.IFS(F98=D1256,E1256,F98=D1257,E1257,F98=D1258,E1258,F98=D1259,E1259),E102="User Defined","Enter Value")</f>
        <v>0.37</v>
      </c>
      <c r="L102" s="2"/>
    </row>
    <row r="103" spans="2:12" ht="15" thickBot="1">
      <c r="B103" s="2"/>
      <c r="F103" s="1"/>
      <c r="L103" s="2"/>
    </row>
    <row r="104" spans="2:12" ht="15" thickBot="1">
      <c r="B104" s="2"/>
      <c r="D104" s="5" t="s">
        <v>1394</v>
      </c>
      <c r="E104" s="279" t="s">
        <v>346</v>
      </c>
      <c r="F104" s="179" cm="1">
        <f t="array" ref="F104">_xlfn.IFS(E104="Default",G1256,E104="User Defined","Enter Value")</f>
        <v>0.53</v>
      </c>
      <c r="L104" s="2"/>
    </row>
    <row r="105" spans="2:12" ht="15" thickBot="1">
      <c r="B105" s="2"/>
      <c r="F105" s="1"/>
      <c r="L105" s="2"/>
    </row>
    <row r="106" spans="2:12" ht="15" thickBot="1">
      <c r="B106" s="2"/>
      <c r="D106" s="5" t="s">
        <v>1651</v>
      </c>
      <c r="E106" s="279" t="s">
        <v>346</v>
      </c>
      <c r="F106" s="179" cm="1">
        <f t="array" ref="F106">_xlfn.IFS(E106=D1719,22.7,E106=D1720,D1722)</f>
        <v>22.7</v>
      </c>
      <c r="L106" s="2"/>
    </row>
    <row r="107" spans="2:12" ht="15" thickBot="1">
      <c r="B107" s="2"/>
      <c r="F107" s="1"/>
      <c r="L107" s="2"/>
    </row>
    <row r="108" spans="2:12" ht="15" thickBot="1">
      <c r="B108" s="2"/>
      <c r="D108" s="5" t="s">
        <v>508</v>
      </c>
      <c r="E108" s="279" t="s">
        <v>346</v>
      </c>
      <c r="F108" s="179" t="s">
        <v>511</v>
      </c>
      <c r="L108" s="2"/>
    </row>
    <row r="109" spans="2:12" ht="15" thickBot="1">
      <c r="B109" s="2"/>
      <c r="F109" s="1"/>
      <c r="L109" s="2"/>
    </row>
    <row r="110" spans="2:12" ht="15.5" customHeight="1" thickBot="1">
      <c r="B110" s="2"/>
      <c r="D110" s="5" t="s">
        <v>560</v>
      </c>
      <c r="E110" s="279" t="s">
        <v>346</v>
      </c>
      <c r="F110" s="179" cm="1">
        <f t="array" ref="F110">_xlfn.IFS(E110=D1719,_xlfn.IFS(F108=F1256,G1256,F108=F1257,G1257),E110=D1720,D1722)</f>
        <v>0.9</v>
      </c>
      <c r="L110" s="2"/>
    </row>
    <row r="111" spans="2:12" ht="15.5" customHeight="1" thickBot="1">
      <c r="B111" s="2"/>
      <c r="F111" s="1"/>
      <c r="L111" s="2"/>
    </row>
    <row r="112" spans="2:12" ht="15" thickBot="1">
      <c r="B112" s="2"/>
      <c r="D112" s="5" t="s">
        <v>1651</v>
      </c>
      <c r="E112" s="279" t="s">
        <v>346</v>
      </c>
      <c r="F112" s="179" cm="1">
        <f t="array" ref="F112">_xlfn.IFS(E112=D1719,22.7,E112=D1720,D1722)</f>
        <v>22.7</v>
      </c>
      <c r="L112" s="2"/>
    </row>
    <row r="113" spans="2:12" ht="15" thickBot="1">
      <c r="B113" s="2"/>
      <c r="F113" s="1"/>
      <c r="L113" s="2"/>
    </row>
    <row r="114" spans="2:12" ht="15" thickBot="1">
      <c r="B114" s="2"/>
      <c r="D114" s="5" t="s">
        <v>990</v>
      </c>
      <c r="E114" s="279" t="s">
        <v>346</v>
      </c>
      <c r="F114" s="179">
        <v>35.549999999999997</v>
      </c>
      <c r="L114" s="2"/>
    </row>
    <row r="115" spans="2:12">
      <c r="B115" s="2"/>
      <c r="L115" s="2"/>
    </row>
    <row r="116" spans="2:12">
      <c r="B116" s="2"/>
      <c r="L116" s="2"/>
    </row>
    <row r="117" spans="2:12">
      <c r="B117" s="2"/>
      <c r="D117" s="16" t="s">
        <v>1659</v>
      </c>
      <c r="E117" s="16"/>
      <c r="F117" s="16"/>
      <c r="L117" s="2"/>
    </row>
    <row r="118" spans="2:12">
      <c r="B118" s="2"/>
      <c r="D118" s="16" t="s">
        <v>163</v>
      </c>
      <c r="E118" s="16" t="s">
        <v>169</v>
      </c>
      <c r="L118" s="2"/>
    </row>
    <row r="119" spans="2:12" ht="15" thickBot="1">
      <c r="B119" s="2"/>
      <c r="D119" s="16"/>
      <c r="E119" s="16"/>
      <c r="L119" s="2"/>
    </row>
    <row r="120" spans="2:12" ht="15" thickBot="1">
      <c r="B120" s="2"/>
      <c r="D120" s="5" t="s">
        <v>161</v>
      </c>
      <c r="E120" s="182">
        <v>0.13900000000000001</v>
      </c>
      <c r="L120" s="2"/>
    </row>
    <row r="121" spans="2:12" ht="15" thickBot="1">
      <c r="B121" s="2"/>
      <c r="E121" s="89"/>
      <c r="L121" s="2"/>
    </row>
    <row r="122" spans="2:12" ht="15" thickBot="1">
      <c r="B122" s="2"/>
      <c r="D122" s="5" t="s">
        <v>162</v>
      </c>
      <c r="E122" s="182">
        <v>7.4999999999999997E-2</v>
      </c>
      <c r="L122" s="2"/>
    </row>
    <row r="123" spans="2:12" ht="15" thickBot="1">
      <c r="B123" s="2"/>
      <c r="E123" s="89"/>
      <c r="L123" s="2"/>
    </row>
    <row r="124" spans="2:12" ht="15" thickBot="1">
      <c r="B124" s="2"/>
      <c r="D124" s="5" t="s">
        <v>164</v>
      </c>
      <c r="E124" s="182">
        <v>0.48599999999999999</v>
      </c>
      <c r="L124" s="2"/>
    </row>
    <row r="125" spans="2:12" ht="15" thickBot="1">
      <c r="B125" s="2"/>
      <c r="E125" s="89"/>
      <c r="L125" s="2"/>
    </row>
    <row r="126" spans="2:12" ht="15" thickBot="1">
      <c r="B126" s="2"/>
      <c r="D126" s="5" t="s">
        <v>514</v>
      </c>
      <c r="E126" s="182">
        <v>1.7999999999999999E-2</v>
      </c>
      <c r="L126" s="2"/>
    </row>
    <row r="127" spans="2:12" ht="15" thickBot="1">
      <c r="B127" s="2"/>
      <c r="E127" s="89"/>
      <c r="L127" s="2"/>
    </row>
    <row r="128" spans="2:12" ht="15" thickBot="1">
      <c r="B128" s="2"/>
      <c r="D128" s="5" t="s">
        <v>168</v>
      </c>
      <c r="E128" s="182">
        <v>1.4999999999999999E-2</v>
      </c>
      <c r="L128" s="2"/>
    </row>
    <row r="129" spans="2:12" ht="15" thickBot="1">
      <c r="B129" s="2"/>
      <c r="E129" s="89"/>
      <c r="L129" s="2"/>
    </row>
    <row r="130" spans="2:12" ht="15" thickBot="1">
      <c r="B130" s="2"/>
      <c r="D130" s="5" t="s">
        <v>1473</v>
      </c>
      <c r="E130" s="182">
        <v>0.17399999999999999</v>
      </c>
      <c r="L130" s="2"/>
    </row>
    <row r="131" spans="2:12" ht="15" thickBot="1">
      <c r="B131" s="2"/>
      <c r="E131" s="89"/>
      <c r="L131" s="2"/>
    </row>
    <row r="132" spans="2:12" ht="15" thickBot="1">
      <c r="B132" s="2"/>
      <c r="D132" s="5" t="s">
        <v>1462</v>
      </c>
      <c r="E132" s="182">
        <v>0</v>
      </c>
      <c r="L132" s="2"/>
    </row>
    <row r="133" spans="2:12" ht="15" thickBot="1">
      <c r="B133" s="2"/>
      <c r="E133" s="89"/>
      <c r="L133" s="2"/>
    </row>
    <row r="134" spans="2:12" ht="15" thickBot="1">
      <c r="B134" s="2"/>
      <c r="D134" s="5" t="s">
        <v>166</v>
      </c>
      <c r="E134" s="182">
        <v>0.01</v>
      </c>
      <c r="L134" s="2"/>
    </row>
    <row r="135" spans="2:12" ht="15" thickBot="1">
      <c r="B135" s="2"/>
      <c r="E135" s="89"/>
      <c r="L135" s="2"/>
    </row>
    <row r="136" spans="2:12" ht="15" thickBot="1">
      <c r="B136" s="2"/>
      <c r="D136" s="5" t="s">
        <v>167</v>
      </c>
      <c r="E136" s="182">
        <v>1.2999999999999999E-2</v>
      </c>
      <c r="L136" s="2"/>
    </row>
    <row r="137" spans="2:12" ht="15" thickBot="1">
      <c r="B137" s="2"/>
      <c r="E137" s="89"/>
      <c r="L137" s="2"/>
    </row>
    <row r="138" spans="2:12" ht="15" thickBot="1">
      <c r="B138" s="2"/>
      <c r="D138" s="5" t="s">
        <v>515</v>
      </c>
      <c r="E138" s="182">
        <v>0.02</v>
      </c>
      <c r="L138" s="2"/>
    </row>
    <row r="139" spans="2:12" ht="15" thickBot="1">
      <c r="B139" s="2"/>
      <c r="E139" s="89"/>
      <c r="L139" s="2"/>
    </row>
    <row r="140" spans="2:12" ht="15" thickBot="1">
      <c r="B140" s="2"/>
      <c r="D140" s="5" t="s">
        <v>170</v>
      </c>
      <c r="E140" s="182">
        <v>2.1000000000000001E-2</v>
      </c>
      <c r="L140" s="2"/>
    </row>
    <row r="141" spans="2:12" ht="15" thickBot="1">
      <c r="B141" s="2"/>
      <c r="E141" s="89"/>
      <c r="L141" s="2"/>
    </row>
    <row r="142" spans="2:12" ht="15" thickBot="1">
      <c r="B142" s="2"/>
      <c r="D142" s="5" t="s">
        <v>517</v>
      </c>
      <c r="E142" s="182">
        <f>SUMIF(I1285:I1295,D1261,E120:E140)</f>
        <v>0.20699999999999999</v>
      </c>
      <c r="L142" s="2"/>
    </row>
    <row r="143" spans="2:12">
      <c r="B143" s="2"/>
      <c r="E143" s="96"/>
      <c r="L143" s="2"/>
    </row>
    <row r="144" spans="2:12">
      <c r="B144" s="2"/>
      <c r="E144" s="96"/>
      <c r="L144" s="2"/>
    </row>
    <row r="145" spans="2:12">
      <c r="B145" s="2"/>
      <c r="D145" s="16"/>
      <c r="E145" s="16"/>
      <c r="L145" s="2"/>
    </row>
    <row r="146" spans="2:12">
      <c r="B146" s="2"/>
      <c r="D146" s="16" t="s">
        <v>1660</v>
      </c>
      <c r="E146" s="16"/>
      <c r="L146" s="2"/>
    </row>
    <row r="147" spans="2:12">
      <c r="B147" s="2"/>
      <c r="D147" s="16" t="s">
        <v>163</v>
      </c>
      <c r="E147" s="16" t="s">
        <v>169</v>
      </c>
      <c r="L147" s="2"/>
    </row>
    <row r="148" spans="2:12" ht="15" thickBot="1">
      <c r="B148" s="2"/>
      <c r="D148" s="16"/>
      <c r="E148" s="16"/>
      <c r="L148" s="2"/>
    </row>
    <row r="149" spans="2:12" ht="15" thickBot="1">
      <c r="B149" s="2"/>
      <c r="D149" s="5" t="s">
        <v>161</v>
      </c>
      <c r="E149" s="177">
        <v>0</v>
      </c>
      <c r="L149" s="2"/>
    </row>
    <row r="150" spans="2:12" ht="15" thickBot="1">
      <c r="B150" s="2"/>
      <c r="E150" s="85"/>
      <c r="L150" s="2"/>
    </row>
    <row r="151" spans="2:12" ht="15" thickBot="1">
      <c r="B151" s="2"/>
      <c r="D151" s="5" t="s">
        <v>162</v>
      </c>
      <c r="E151" s="177">
        <v>0</v>
      </c>
      <c r="L151" s="2"/>
    </row>
    <row r="152" spans="2:12" ht="15" thickBot="1">
      <c r="B152" s="2"/>
      <c r="E152" s="85"/>
      <c r="L152" s="2"/>
    </row>
    <row r="153" spans="2:12" ht="15" thickBot="1">
      <c r="B153" s="2"/>
      <c r="D153" s="5" t="s">
        <v>164</v>
      </c>
      <c r="E153" s="177">
        <f>D1270/D1281</f>
        <v>0.18272210636302041</v>
      </c>
      <c r="L153" s="2"/>
    </row>
    <row r="154" spans="2:12" ht="15" thickBot="1">
      <c r="B154" s="2"/>
      <c r="E154" s="85"/>
      <c r="L154" s="2"/>
    </row>
    <row r="155" spans="2:12" ht="15" thickBot="1">
      <c r="B155" s="2"/>
      <c r="D155" s="5" t="s">
        <v>514</v>
      </c>
      <c r="E155" s="177">
        <f>D1271/D1281</f>
        <v>1.7277893636979638E-2</v>
      </c>
      <c r="L155" s="2"/>
    </row>
    <row r="156" spans="2:12" ht="15" thickBot="1">
      <c r="B156" s="2"/>
      <c r="E156" s="85"/>
      <c r="L156" s="2"/>
    </row>
    <row r="157" spans="2:12" ht="15" thickBot="1">
      <c r="B157" s="2"/>
      <c r="D157" s="5" t="s">
        <v>168</v>
      </c>
      <c r="E157" s="177">
        <v>0</v>
      </c>
      <c r="L157" s="2"/>
    </row>
    <row r="158" spans="2:12" ht="15" thickBot="1">
      <c r="B158" s="2"/>
      <c r="E158" s="85"/>
      <c r="L158" s="2"/>
    </row>
    <row r="159" spans="2:12" ht="15" thickBot="1">
      <c r="B159" s="2"/>
      <c r="D159" s="5" t="s">
        <v>1473</v>
      </c>
      <c r="E159" s="177">
        <f>D1273/D1281</f>
        <v>0.32832519425345935</v>
      </c>
      <c r="L159" s="2"/>
    </row>
    <row r="160" spans="2:12" ht="15" thickBot="1">
      <c r="B160" s="2"/>
      <c r="E160" s="85"/>
      <c r="L160" s="2"/>
    </row>
    <row r="161" spans="2:12" ht="15" thickBot="1">
      <c r="B161" s="2"/>
      <c r="D161" s="5" t="s">
        <v>1462</v>
      </c>
      <c r="E161" s="177">
        <f>D1274/D1281</f>
        <v>0.29404603125190087</v>
      </c>
      <c r="L161" s="2"/>
    </row>
    <row r="162" spans="2:12" ht="15" thickBot="1">
      <c r="B162" s="2"/>
      <c r="E162" s="85"/>
      <c r="L162" s="2"/>
    </row>
    <row r="163" spans="2:12" ht="15" thickBot="1">
      <c r="B163" s="2"/>
      <c r="D163" s="5" t="s">
        <v>166</v>
      </c>
      <c r="E163" s="177">
        <f>D1275/D1281</f>
        <v>0.12579509358370089</v>
      </c>
      <c r="L163" s="2"/>
    </row>
    <row r="164" spans="2:12" ht="15" thickBot="1">
      <c r="B164" s="2"/>
      <c r="E164" s="85"/>
      <c r="L164" s="2"/>
    </row>
    <row r="165" spans="2:12" ht="15" thickBot="1">
      <c r="B165" s="2"/>
      <c r="D165" s="5" t="s">
        <v>167</v>
      </c>
      <c r="E165" s="177">
        <f>D1276/D1281</f>
        <v>1.2478478737818629E-2</v>
      </c>
      <c r="L165" s="2"/>
    </row>
    <row r="166" spans="2:12" ht="15" thickBot="1">
      <c r="B166" s="2"/>
      <c r="E166" s="85"/>
      <c r="L166" s="2"/>
    </row>
    <row r="167" spans="2:12" ht="15" thickBot="1">
      <c r="B167" s="2"/>
      <c r="D167" s="5" t="s">
        <v>515</v>
      </c>
      <c r="E167" s="177">
        <f>D1277/D1281</f>
        <v>1.9197659596644046E-2</v>
      </c>
      <c r="L167" s="2"/>
    </row>
    <row r="168" spans="2:12" ht="15" thickBot="1">
      <c r="B168" s="2"/>
      <c r="E168" s="85"/>
      <c r="L168" s="2"/>
    </row>
    <row r="169" spans="2:12" ht="15" thickBot="1">
      <c r="B169" s="2"/>
      <c r="D169" s="5" t="s">
        <v>170</v>
      </c>
      <c r="E169" s="177">
        <f>D1278/D1281</f>
        <v>2.0157542576476249E-2</v>
      </c>
      <c r="L169" s="2"/>
    </row>
    <row r="170" spans="2:12" ht="15" thickBot="1">
      <c r="B170" s="2"/>
      <c r="E170" s="85"/>
      <c r="L170" s="2"/>
    </row>
    <row r="171" spans="2:12" ht="15" thickBot="1">
      <c r="B171" s="2"/>
      <c r="D171" s="5" t="s">
        <v>517</v>
      </c>
      <c r="E171" s="177">
        <v>0.8</v>
      </c>
      <c r="L171" s="2"/>
    </row>
    <row r="172" spans="2:12">
      <c r="B172" s="2"/>
      <c r="E172" s="85"/>
      <c r="L172" s="2"/>
    </row>
    <row r="173" spans="2:12">
      <c r="B173" s="2"/>
      <c r="E173" s="96"/>
      <c r="L173" s="2"/>
    </row>
    <row r="174" spans="2:12" ht="21">
      <c r="B174" s="2"/>
      <c r="C174" s="314" t="s">
        <v>1680</v>
      </c>
      <c r="D174" s="314"/>
      <c r="E174" s="314"/>
      <c r="F174" s="314"/>
      <c r="G174" s="314"/>
      <c r="H174" s="314"/>
      <c r="I174" s="314"/>
      <c r="J174" s="314"/>
      <c r="K174" s="314"/>
      <c r="L174" s="2"/>
    </row>
    <row r="175" spans="2:12" ht="21">
      <c r="B175" s="2"/>
      <c r="D175" s="5" t="s">
        <v>1681</v>
      </c>
      <c r="E175" s="127"/>
      <c r="F175" s="127"/>
      <c r="G175" s="127"/>
      <c r="H175" s="127"/>
      <c r="I175" s="127"/>
      <c r="J175" s="127"/>
      <c r="L175" s="2"/>
    </row>
    <row r="176" spans="2:12">
      <c r="B176" s="2"/>
      <c r="L176" s="2"/>
    </row>
    <row r="177" spans="2:12" ht="15" thickBot="1">
      <c r="B177" s="2"/>
      <c r="D177" s="16" t="s">
        <v>1023</v>
      </c>
      <c r="E177" s="16" t="s">
        <v>124</v>
      </c>
      <c r="F177" s="16" t="s">
        <v>145</v>
      </c>
      <c r="G177" s="16" t="s">
        <v>125</v>
      </c>
      <c r="H177" s="16" t="s">
        <v>146</v>
      </c>
      <c r="I177" s="16" t="s">
        <v>126</v>
      </c>
      <c r="J177" s="16" t="s">
        <v>147</v>
      </c>
      <c r="L177" s="2"/>
    </row>
    <row r="178" spans="2:12" ht="44" thickBot="1">
      <c r="B178" s="2"/>
      <c r="D178" s="5" t="s">
        <v>711</v>
      </c>
      <c r="E178" s="184" t="s">
        <v>134</v>
      </c>
      <c r="F178" s="176" cm="1">
        <f t="array" ref="F178">_xlfn.IFS(E178=$BG$786,$BJ$786,E178=$BG$787,$BJ$787,E178=$BG$788,$BJ$788,E178=$BG$789,$BJ$789,E178=$BG$790,$BJ$790,E178=$BG$791,$BJ$791,E178=$BG$792,$BJ$792)</f>
        <v>0.7</v>
      </c>
      <c r="G178" s="184" t="s">
        <v>142</v>
      </c>
      <c r="H178" s="176" cm="1">
        <f t="array" ref="H178">_xlfn.IFS(G178=$BG$799,$BJ$799,G178=$BG$800,$BJ$800,G178=$BG$801,$BJ$801,G178=$BG$802,$BJ$802,G178=$BG$803,$BJ$803,G178=$BG$804,$BJ$804,G178=$BG$805,$BJ$805)</f>
        <v>1.4</v>
      </c>
      <c r="I178" s="184" t="s">
        <v>137</v>
      </c>
      <c r="J178" s="180" cm="1">
        <f t="array" ref="J178">_xlfn.IFS(I178=$BG$794,$BJ$794,I178=$BG$795,$BJ$795,I178=$BG$796,$BJ$796,I178=$BG$797,$BJ$797)</f>
        <v>2.85</v>
      </c>
      <c r="L178" s="2"/>
    </row>
    <row r="179" spans="2:12" ht="15" thickBot="1">
      <c r="B179" s="2"/>
      <c r="L179" s="2"/>
    </row>
    <row r="180" spans="2:12" ht="44" thickBot="1">
      <c r="B180" s="2"/>
      <c r="D180" s="5" t="s">
        <v>25</v>
      </c>
      <c r="E180" s="184" t="s">
        <v>134</v>
      </c>
      <c r="F180" s="176" cm="1">
        <f t="array" ref="F180">_xlfn.IFS(E180=$BG$786,$BJ$786,E180=$BG$787,$BJ$787,E180=$BG$788,$BJ$788,E180=$BG$789,$BJ$789,E180=$BG$790,$BJ$790,E180=$BG$791,$BJ$791,E180=$BG$792,$BJ$792)</f>
        <v>0.7</v>
      </c>
      <c r="G180" s="184" t="s">
        <v>142</v>
      </c>
      <c r="H180" s="176" cm="1">
        <f t="array" ref="H180">_xlfn.IFS(G180=$BG$799,$BJ$799,G180=$BG$800,$BJ$800,G180=$BG$801,$BJ$801,G180=$BG$802,$BJ$802,G180=$BG$803,$BJ$803,G180=$BG$804,$BJ$804,G180=$BG$805,$BJ$805)</f>
        <v>1.4</v>
      </c>
      <c r="I180" s="184" t="s">
        <v>137</v>
      </c>
      <c r="J180" s="180" cm="1">
        <f t="array" ref="J180">_xlfn.IFS(I180=$BG$794,$BJ$794,I180=$BG$795,$BJ$795,I180=$BG$796,$BJ$796,I180=$BG$797,$BJ$797)</f>
        <v>2.85</v>
      </c>
      <c r="L180" s="2"/>
    </row>
    <row r="181" spans="2:12" ht="15" thickBot="1">
      <c r="B181" s="2"/>
      <c r="L181" s="2"/>
    </row>
    <row r="182" spans="2:12" ht="44" thickBot="1">
      <c r="B182" s="2"/>
      <c r="D182" s="5" t="s">
        <v>13</v>
      </c>
      <c r="E182" s="184" t="s">
        <v>134</v>
      </c>
      <c r="F182" s="176" cm="1">
        <f t="array" ref="F182">_xlfn.IFS(E182=$BG$786,$BJ$786,E182=$BG$787,$BJ$787,E182=$BG$788,$BJ$788,E182=$BG$789,$BJ$789,E182=$BG$790,$BJ$790,E182=$BG$791,$BJ$791,E182=$BG$792,$BJ$792)</f>
        <v>0.7</v>
      </c>
      <c r="G182" s="184" t="s">
        <v>142</v>
      </c>
      <c r="H182" s="176" cm="1">
        <f t="array" ref="H182">_xlfn.IFS(G182=$BG$799,$BJ$799,G182=$BG$800,$BJ$800,G182=$BG$801,$BJ$801,G182=$BG$802,$BJ$802,G182=$BG$803,$BJ$803,G182=$BG$804,$BJ$804,G182=$BG$805,$BJ$805)</f>
        <v>1.4</v>
      </c>
      <c r="I182" s="184" t="s">
        <v>137</v>
      </c>
      <c r="J182" s="180" cm="1">
        <f t="array" ref="J182">_xlfn.IFS(I182=$BG$794,$BJ$794,I182=$BG$795,$BJ$795,I182=$BG$796,$BJ$796,I182=$BG$797,$BJ$797)</f>
        <v>2.85</v>
      </c>
      <c r="L182" s="2"/>
    </row>
    <row r="183" spans="2:12" ht="15" thickBot="1">
      <c r="B183" s="2"/>
      <c r="I183" s="97"/>
      <c r="L183" s="2"/>
    </row>
    <row r="184" spans="2:12" ht="44" thickBot="1">
      <c r="B184" s="2"/>
      <c r="D184" s="5" t="s">
        <v>935</v>
      </c>
      <c r="E184" s="184" t="s">
        <v>134</v>
      </c>
      <c r="F184" s="176" cm="1">
        <f t="array" ref="F184">_xlfn.IFS(E184=$BG$786,$BJ$786,E184=$BG$787,$BJ$787,E184=$BG$788,$BJ$788,E184=$BG$789,$BJ$789,E184=$BG$790,$BJ$790,E184=$BG$791,$BJ$791,E184=$BG$792,$BJ$792)</f>
        <v>0.7</v>
      </c>
      <c r="G184" s="184" t="s">
        <v>142</v>
      </c>
      <c r="H184" s="176" cm="1">
        <f t="array" ref="H184">_xlfn.IFS(G184=$BG$799,$BJ$799,G184=$BG$800,$BJ$800,G184=$BG$801,$BJ$801,G184=$BG$802,$BJ$802,G184=$BG$803,$BJ$803,G184=$BG$804,$BJ$804,G184=$BG$805,$BJ$805)</f>
        <v>1.4</v>
      </c>
      <c r="I184" s="184" t="s">
        <v>137</v>
      </c>
      <c r="J184" s="180" cm="1">
        <f t="array" ref="J184">_xlfn.IFS(I184=$BG$794,$BJ$794,I184=$BG$795,$BJ$795,I184=$BG$796,$BJ$796,I184=$BG$797,$BJ$797)</f>
        <v>2.85</v>
      </c>
      <c r="L184" s="2"/>
    </row>
    <row r="185" spans="2:12" ht="15" thickBot="1">
      <c r="B185" s="2"/>
      <c r="E185" s="97"/>
      <c r="G185" s="97"/>
      <c r="I185" s="97"/>
      <c r="J185" s="86"/>
      <c r="L185" s="2"/>
    </row>
    <row r="186" spans="2:12" ht="44" thickBot="1">
      <c r="B186" s="2"/>
      <c r="D186" s="5" t="s">
        <v>650</v>
      </c>
      <c r="E186" s="184" t="s">
        <v>134</v>
      </c>
      <c r="F186" s="176" cm="1">
        <f t="array" ref="F186">_xlfn.IFS(E186=$BG$786,$BJ$786,E186=$BG$787,$BJ$787,E186=$BG$788,$BJ$788,E186=$BG$789,$BJ$789,E186=$BG$790,$BJ$790,E186=$BG$791,$BJ$791,E186=$BG$792,$BJ$792)</f>
        <v>0.7</v>
      </c>
      <c r="G186" s="184" t="s">
        <v>142</v>
      </c>
      <c r="H186" s="176" cm="1">
        <f t="array" ref="H186">_xlfn.IFS(G186=$BG$799,$BJ$799,G186=$BG$800,$BJ$800,G186=$BG$801,$BJ$801,G186=$BG$802,$BJ$802,G186=$BG$803,$BJ$803,G186=$BG$804,$BJ$804,G186=$BG$805,$BJ$805)</f>
        <v>1.4</v>
      </c>
      <c r="I186" s="184" t="s">
        <v>137</v>
      </c>
      <c r="J186" s="180" cm="1">
        <f t="array" ref="J186">_xlfn.IFS(I186=$BG$794,$BJ$794,I186=$BG$795,$BJ$795,I186=$BG$796,$BJ$796,I186=$BG$797,$BJ$797)</f>
        <v>2.85</v>
      </c>
      <c r="L186" s="2"/>
    </row>
    <row r="187" spans="2:12" ht="15" thickBot="1">
      <c r="B187" s="2"/>
      <c r="L187" s="2"/>
    </row>
    <row r="188" spans="2:12" ht="44" thickBot="1">
      <c r="B188" s="2"/>
      <c r="D188" s="5" t="s">
        <v>1002</v>
      </c>
      <c r="E188" s="184" t="s">
        <v>132</v>
      </c>
      <c r="F188" s="176" cm="1">
        <f t="array" ref="F188">_xlfn.IFS(E178=$BG$786,$BJ$786,E178=$BG$787,$BJ$787,E178=$BG$788,$BJ$788,E178=$BG$789,$BJ$789,E178=$BG$790,$BJ$790,E178=$BG$791,$BJ$791,E178=$BG$792,$BJ$792)</f>
        <v>0.7</v>
      </c>
      <c r="G188" s="184" t="s">
        <v>142</v>
      </c>
      <c r="H188" s="176" cm="1">
        <f t="array" ref="H188">_xlfn.IFS(G188=$BG$799,$BJ$799,G188=$BG$800,$BJ$800,G188=$BG$801,$BJ$801,G188=$BG$802,$BJ$802,G188=$BG$803,$BJ$803,G188=$BG$804,$BJ$804,G188=$BG$805,$BJ$805)</f>
        <v>1.4</v>
      </c>
      <c r="I188" s="184" t="s">
        <v>137</v>
      </c>
      <c r="J188" s="180" cm="1">
        <f t="array" ref="J188">_xlfn.IFS(I188=$BG$794,$BJ$794,I188=$BG$795,$BJ$795,I188=$BG$796,$BJ$796,I188=$BG$797,$BJ$797)</f>
        <v>2.85</v>
      </c>
      <c r="L188" s="2"/>
    </row>
    <row r="189" spans="2:12">
      <c r="B189" s="2"/>
      <c r="E189" s="97"/>
      <c r="G189" s="97"/>
      <c r="I189" s="97"/>
      <c r="J189" s="86"/>
      <c r="L189" s="2"/>
    </row>
    <row r="190" spans="2:12" ht="21">
      <c r="B190" s="2"/>
      <c r="C190" s="314" t="s">
        <v>1682</v>
      </c>
      <c r="D190" s="314"/>
      <c r="E190" s="314"/>
      <c r="F190" s="314"/>
      <c r="G190" s="314"/>
      <c r="H190" s="314"/>
      <c r="I190" s="314"/>
      <c r="J190" s="314"/>
      <c r="K190" s="314"/>
      <c r="L190" s="2"/>
    </row>
    <row r="191" spans="2:12">
      <c r="B191" s="2"/>
      <c r="D191" s="5" t="s">
        <v>1683</v>
      </c>
      <c r="L191" s="2"/>
    </row>
    <row r="192" spans="2:12">
      <c r="B192" s="2"/>
      <c r="L192" s="2"/>
    </row>
    <row r="193" spans="2:12">
      <c r="B193" s="2"/>
      <c r="D193" s="16" t="s">
        <v>1677</v>
      </c>
      <c r="E193" s="16" t="s">
        <v>1653</v>
      </c>
      <c r="F193" s="16" t="s">
        <v>677</v>
      </c>
      <c r="G193" s="16" t="s">
        <v>1609</v>
      </c>
      <c r="L193" s="2"/>
    </row>
    <row r="194" spans="2:12" ht="15" thickBot="1">
      <c r="B194" s="2"/>
      <c r="L194" s="2"/>
    </row>
    <row r="195" spans="2:12" ht="15" thickBot="1">
      <c r="B195" s="2"/>
      <c r="D195" s="5" t="s">
        <v>651</v>
      </c>
      <c r="E195" s="176" t="s">
        <v>346</v>
      </c>
      <c r="F195" s="176" cm="1">
        <f t="array" ref="F195">_xlfn.IFS(E195=$D$1719,L1529,E195=$D$1720,$D$1722)</f>
        <v>5</v>
      </c>
      <c r="G195" s="176" t="str" cm="1">
        <f t="array" ref="G195">_xlfn.IFS(E195="Default","See Production Costs Results Sheet", E195="User Defined", "Enter Value")</f>
        <v>See Production Costs Results Sheet</v>
      </c>
      <c r="L195" s="2"/>
    </row>
    <row r="196" spans="2:12" ht="15" thickBot="1">
      <c r="B196" s="2"/>
      <c r="L196" s="2"/>
    </row>
    <row r="197" spans="2:12" ht="15" thickBot="1">
      <c r="B197" s="2"/>
      <c r="D197" s="5" t="s">
        <v>652</v>
      </c>
      <c r="E197" s="176" t="s">
        <v>346</v>
      </c>
      <c r="F197" s="279" cm="1">
        <f t="array" ref="F197">_xlfn.IFS(E197=$D$1719,L1530,E197=$D$1720,$D$1722)</f>
        <v>1</v>
      </c>
      <c r="G197" s="176" t="str" cm="1">
        <f t="array" ref="G197">_xlfn.IFS(E197="Default","See Production Costs Results Sheet", E197="User Defined", "Enter Value")</f>
        <v>See Production Costs Results Sheet</v>
      </c>
      <c r="L197" s="2"/>
    </row>
    <row r="198" spans="2:12" ht="15" thickBot="1">
      <c r="B198" s="2"/>
      <c r="G198"/>
      <c r="L198" s="2"/>
    </row>
    <row r="199" spans="2:12" ht="15" thickBot="1">
      <c r="B199" s="2"/>
      <c r="D199" s="5" t="s">
        <v>653</v>
      </c>
      <c r="E199" s="176" t="s">
        <v>346</v>
      </c>
      <c r="F199" s="279" cm="1">
        <f t="array" ref="F199">_xlfn.IFS(E199=$D$1719,L1531,E199=$D$1720,$D$1722)</f>
        <v>1</v>
      </c>
      <c r="G199" s="176" t="str" cm="1">
        <f t="array" ref="G199">_xlfn.IFS(E199="Default","See Production Costs Results Sheet", E199="User Defined", "Enter Value")</f>
        <v>See Production Costs Results Sheet</v>
      </c>
      <c r="L199" s="2"/>
    </row>
    <row r="200" spans="2:12" ht="15" thickBot="1">
      <c r="B200" s="2"/>
      <c r="G200"/>
      <c r="L200" s="2"/>
    </row>
    <row r="201" spans="2:12" ht="15" thickBot="1">
      <c r="B201" s="2"/>
      <c r="D201" s="5" t="s">
        <v>654</v>
      </c>
      <c r="E201" s="176" t="s">
        <v>346</v>
      </c>
      <c r="F201" s="279" cm="1">
        <f t="array" ref="F201">_xlfn.IFS(E201=$D$1719,L1532,E201=$D$1720,$D$1722)</f>
        <v>1</v>
      </c>
      <c r="G201" s="176" t="str" cm="1">
        <f t="array" ref="G201">_xlfn.IFS(E201="Default","See Production Costs Results Sheet", E201="User Defined", "Enter Value")</f>
        <v>See Production Costs Results Sheet</v>
      </c>
      <c r="L201" s="2"/>
    </row>
    <row r="202" spans="2:12" ht="15" thickBot="1">
      <c r="B202" s="2"/>
      <c r="G202"/>
      <c r="L202" s="2"/>
    </row>
    <row r="203" spans="2:12" ht="15" thickBot="1">
      <c r="B203" s="2"/>
      <c r="D203" s="5" t="s">
        <v>655</v>
      </c>
      <c r="E203" s="176" t="s">
        <v>346</v>
      </c>
      <c r="F203" s="279" cm="1">
        <f t="array" ref="F203">_xlfn.IFS(E203=$D$1719,L1533,E203=$D$1720,$D$1722)</f>
        <v>1</v>
      </c>
      <c r="G203" s="176" t="str" cm="1">
        <f t="array" ref="G203">_xlfn.IFS(E203="Default","See Production Costs Results Sheet", E203="User Defined", "Enter Value")</f>
        <v>See Production Costs Results Sheet</v>
      </c>
      <c r="L203" s="2"/>
    </row>
    <row r="204" spans="2:12" ht="15" thickBot="1">
      <c r="B204" s="2"/>
      <c r="G204"/>
      <c r="L204" s="2"/>
    </row>
    <row r="205" spans="2:12" ht="15" thickBot="1">
      <c r="B205" s="2"/>
      <c r="D205" s="5" t="s">
        <v>656</v>
      </c>
      <c r="E205" s="176" t="s">
        <v>346</v>
      </c>
      <c r="F205" s="279" cm="1">
        <f t="array" ref="F205">_xlfn.IFS(E205=$D$1719,L1534,E205=$D$1720,$D$1722)</f>
        <v>1</v>
      </c>
      <c r="G205" s="176" t="str" cm="1">
        <f t="array" ref="G205">_xlfn.IFS(E205="Default","See Production Costs Results Sheet", E205="User Defined", "Enter Value")</f>
        <v>See Production Costs Results Sheet</v>
      </c>
      <c r="L205" s="2"/>
    </row>
    <row r="206" spans="2:12" ht="15" thickBot="1">
      <c r="B206" s="2"/>
      <c r="G206"/>
      <c r="L206" s="2"/>
    </row>
    <row r="207" spans="2:12" ht="15" thickBot="1">
      <c r="B207" s="2"/>
      <c r="D207" s="5" t="s">
        <v>657</v>
      </c>
      <c r="E207" s="176" t="s">
        <v>346</v>
      </c>
      <c r="F207" s="279" cm="1">
        <f t="array" ref="F207">_xlfn.IFS(E207=$D$1719,L1535,E207=$D$1720,$D$1722)</f>
        <v>1</v>
      </c>
      <c r="G207" s="176" t="str" cm="1">
        <f t="array" ref="G207">_xlfn.IFS(E207="Default","See Production Costs Results Sheet", E207="User Defined", "Enter Value")</f>
        <v>See Production Costs Results Sheet</v>
      </c>
      <c r="L207" s="2"/>
    </row>
    <row r="208" spans="2:12" ht="15" thickBot="1">
      <c r="B208" s="2"/>
      <c r="G208"/>
      <c r="L208" s="2"/>
    </row>
    <row r="209" spans="2:12" ht="15" thickBot="1">
      <c r="B209" s="2"/>
      <c r="D209" s="5" t="s">
        <v>673</v>
      </c>
      <c r="E209" s="176" t="s">
        <v>346</v>
      </c>
      <c r="F209" s="279" cm="1">
        <f t="array" ref="F209">_xlfn.IFS(E209=$D$1719,L1536,E209=$D$1720,$D$1722)</f>
        <v>1</v>
      </c>
      <c r="G209" s="176" t="str" cm="1">
        <f t="array" ref="G209">_xlfn.IFS(E209="Default","See Production Costs Results Sheet", E209="User Defined", "Enter Value")</f>
        <v>See Production Costs Results Sheet</v>
      </c>
      <c r="L209" s="2"/>
    </row>
    <row r="210" spans="2:12" ht="15" thickBot="1">
      <c r="B210" s="2"/>
      <c r="G210"/>
      <c r="L210" s="2"/>
    </row>
    <row r="211" spans="2:12" ht="15" thickBot="1">
      <c r="B211" s="2"/>
      <c r="D211" s="5" t="s">
        <v>674</v>
      </c>
      <c r="E211" s="176" t="s">
        <v>346</v>
      </c>
      <c r="F211" s="279" cm="1">
        <f t="array" ref="F211">_xlfn.IFS(E211=$D$1719,L1537,E211=$D$1720,$D$1722)</f>
        <v>2</v>
      </c>
      <c r="G211" s="176" t="str" cm="1">
        <f t="array" ref="G211">_xlfn.IFS(E211="Default","See Production Costs Results Sheet", E211="User Defined", "Enter Value")</f>
        <v>See Production Costs Results Sheet</v>
      </c>
      <c r="L211" s="2"/>
    </row>
    <row r="212" spans="2:12" ht="15" thickBot="1">
      <c r="B212" s="2"/>
      <c r="G212"/>
      <c r="L212" s="2"/>
    </row>
    <row r="213" spans="2:12" ht="15" thickBot="1">
      <c r="B213" s="2"/>
      <c r="D213" s="5" t="s">
        <v>675</v>
      </c>
      <c r="E213" s="176" t="s">
        <v>346</v>
      </c>
      <c r="F213" s="279" cm="1">
        <f t="array" ref="F213">_xlfn.IFS(E213=$D$1719,L1538,E213=$D$1720,$D$1722)</f>
        <v>1</v>
      </c>
      <c r="G213" s="176" t="str" cm="1">
        <f t="array" ref="G213">_xlfn.IFS(E213="Default","See Production Costs Results Sheet", E213="User Defined", "Enter Value")</f>
        <v>See Production Costs Results Sheet</v>
      </c>
      <c r="L213" s="2"/>
    </row>
    <row r="214" spans="2:12" ht="15" thickBot="1">
      <c r="B214" s="2"/>
      <c r="G214"/>
      <c r="L214" s="2"/>
    </row>
    <row r="215" spans="2:12" ht="15" thickBot="1">
      <c r="B215" s="2"/>
      <c r="D215" s="5" t="s">
        <v>1438</v>
      </c>
      <c r="E215" s="176" t="s">
        <v>346</v>
      </c>
      <c r="F215" s="279" cm="1">
        <f t="array" ref="F215">_xlfn.IFS(E215=$D$1719,L1539,E215=$D$1720,$D$1722)</f>
        <v>1</v>
      </c>
      <c r="G215" s="176" t="str" cm="1">
        <f t="array" ref="G215">_xlfn.IFS(E215="Default","See Production Costs Results Sheet", E215="User Defined", "Enter Value")</f>
        <v>See Production Costs Results Sheet</v>
      </c>
      <c r="L215" s="2"/>
    </row>
    <row r="216" spans="2:12" ht="15" thickBot="1">
      <c r="B216" s="2"/>
      <c r="G216"/>
      <c r="L216" s="2"/>
    </row>
    <row r="217" spans="2:12" ht="15" thickBot="1">
      <c r="B217" s="2"/>
      <c r="D217" s="5" t="s">
        <v>679</v>
      </c>
      <c r="E217" s="176" t="s">
        <v>346</v>
      </c>
      <c r="F217" s="185" t="s">
        <v>81</v>
      </c>
      <c r="G217" s="176" t="str" cm="1">
        <f t="array" ref="G217">_xlfn.IFS(E217="Default","See Production Costs Results Sheet", E217="User Defined", "Enter Value")</f>
        <v>See Production Costs Results Sheet</v>
      </c>
      <c r="L217" s="2"/>
    </row>
    <row r="218" spans="2:12" ht="15" thickBot="1">
      <c r="B218" s="2"/>
      <c r="G218"/>
      <c r="L218" s="2"/>
    </row>
    <row r="219" spans="2:12" ht="15" thickBot="1">
      <c r="B219" s="2"/>
      <c r="D219" s="5" t="s">
        <v>680</v>
      </c>
      <c r="E219" s="176" t="s">
        <v>346</v>
      </c>
      <c r="F219" s="185" t="s">
        <v>81</v>
      </c>
      <c r="G219" s="176" t="str" cm="1">
        <f t="array" ref="G219">_xlfn.IFS(E219="Default","See Production Costs Results Sheet", E219="User Defined", "Enter Value")</f>
        <v>See Production Costs Results Sheet</v>
      </c>
      <c r="L219" s="2"/>
    </row>
    <row r="220" spans="2:12" ht="15" thickBot="1">
      <c r="B220" s="2"/>
      <c r="G220"/>
      <c r="L220" s="2"/>
    </row>
    <row r="221" spans="2:12" ht="15" thickBot="1">
      <c r="B221" s="2"/>
      <c r="D221" s="5" t="s">
        <v>681</v>
      </c>
      <c r="E221" s="176" t="s">
        <v>346</v>
      </c>
      <c r="F221" s="185" t="s">
        <v>81</v>
      </c>
      <c r="G221" s="176" t="str" cm="1">
        <f t="array" ref="G221">_xlfn.IFS(E221="Default","See Production Costs Results Sheet", E221="User Defined", "Enter Value")</f>
        <v>See Production Costs Results Sheet</v>
      </c>
      <c r="L221" s="2"/>
    </row>
    <row r="222" spans="2:12" ht="15" thickBot="1">
      <c r="B222" s="2"/>
      <c r="G222"/>
      <c r="L222" s="2"/>
    </row>
    <row r="223" spans="2:12" ht="15" thickBot="1">
      <c r="B223" s="2"/>
      <c r="D223" s="5" t="s">
        <v>682</v>
      </c>
      <c r="E223" s="176" t="s">
        <v>346</v>
      </c>
      <c r="F223" s="185" t="s">
        <v>81</v>
      </c>
      <c r="G223" s="176" t="str" cm="1">
        <f t="array" ref="G223">_xlfn.IFS(E223="Default","See Production Costs Results Sheet", E223="User Defined", "Enter Value")</f>
        <v>See Production Costs Results Sheet</v>
      </c>
      <c r="L223" s="2"/>
    </row>
    <row r="224" spans="2:12" ht="15" thickBot="1">
      <c r="B224" s="2"/>
      <c r="G224"/>
      <c r="L224" s="2"/>
    </row>
    <row r="225" spans="2:12" ht="15" thickBot="1">
      <c r="B225" s="2"/>
      <c r="D225" s="5" t="s">
        <v>683</v>
      </c>
      <c r="E225" s="176" t="s">
        <v>346</v>
      </c>
      <c r="F225" s="185" t="s">
        <v>81</v>
      </c>
      <c r="G225" s="176" t="str" cm="1">
        <f t="array" ref="G225">_xlfn.IFS(E225="Default","See Production Costs Results Sheet", E225="User Defined", "Enter Value")</f>
        <v>See Production Costs Results Sheet</v>
      </c>
      <c r="L225" s="2"/>
    </row>
    <row r="226" spans="2:12" ht="15" thickBot="1">
      <c r="B226" s="2"/>
      <c r="G226"/>
      <c r="L226" s="2"/>
    </row>
    <row r="227" spans="2:12" ht="15" thickBot="1">
      <c r="B227" s="2"/>
      <c r="D227" s="5" t="s">
        <v>684</v>
      </c>
      <c r="E227" s="176" t="s">
        <v>346</v>
      </c>
      <c r="F227" s="185" t="s">
        <v>81</v>
      </c>
      <c r="G227" s="176" t="str" cm="1">
        <f t="array" ref="G227">_xlfn.IFS(E227="Default","See Production Costs Results Sheet", E227="User Defined", "Enter Value")</f>
        <v>See Production Costs Results Sheet</v>
      </c>
      <c r="L227" s="2"/>
    </row>
    <row r="228" spans="2:12" ht="15" thickBot="1">
      <c r="B228" s="2"/>
      <c r="G228"/>
      <c r="L228" s="2"/>
    </row>
    <row r="229" spans="2:12" ht="15" thickBot="1">
      <c r="B229" s="2"/>
      <c r="D229" s="5" t="s">
        <v>688</v>
      </c>
      <c r="E229" s="176" t="s">
        <v>346</v>
      </c>
      <c r="F229" s="185" t="s">
        <v>81</v>
      </c>
      <c r="G229" s="176" t="str" cm="1">
        <f t="array" ref="G229">_xlfn.IFS(E229="Default","See Production Costs Results Sheet", E229="User Defined", "Enter Value")</f>
        <v>See Production Costs Results Sheet</v>
      </c>
      <c r="L229" s="2"/>
    </row>
    <row r="230" spans="2:12" ht="15" thickBot="1">
      <c r="B230" s="2"/>
      <c r="G230"/>
      <c r="L230" s="2"/>
    </row>
    <row r="231" spans="2:12" ht="15" thickBot="1">
      <c r="B231" s="2"/>
      <c r="D231" s="5" t="s">
        <v>685</v>
      </c>
      <c r="E231" s="176" t="s">
        <v>346</v>
      </c>
      <c r="F231" s="185" t="s">
        <v>81</v>
      </c>
      <c r="G231" s="176" t="str" cm="1">
        <f t="array" ref="G231">_xlfn.IFS(E231="Default","See Production Costs Results Sheet", E231="User Defined", "Enter Value")</f>
        <v>See Production Costs Results Sheet</v>
      </c>
      <c r="L231" s="2"/>
    </row>
    <row r="232" spans="2:12" ht="15" thickBot="1">
      <c r="B232" s="2"/>
      <c r="G232"/>
      <c r="L232" s="2"/>
    </row>
    <row r="233" spans="2:12" ht="15" thickBot="1">
      <c r="B233" s="2"/>
      <c r="D233" s="5" t="s">
        <v>1121</v>
      </c>
      <c r="E233" s="176" t="s">
        <v>346</v>
      </c>
      <c r="F233" s="185" t="s">
        <v>81</v>
      </c>
      <c r="G233" s="176" t="str" cm="1">
        <f t="array" ref="G233">_xlfn.IFS(E233="Default","See Production Costs Results Sheet", E233="User Defined", "Enter Value")</f>
        <v>See Production Costs Results Sheet</v>
      </c>
      <c r="L233" s="2"/>
    </row>
    <row r="234" spans="2:12" ht="15" thickBot="1">
      <c r="B234" s="2"/>
      <c r="G234"/>
      <c r="L234" s="2"/>
    </row>
    <row r="235" spans="2:12" ht="15" thickBot="1">
      <c r="B235" s="2"/>
      <c r="D235" s="5" t="s">
        <v>1372</v>
      </c>
      <c r="E235" s="176" t="s">
        <v>346</v>
      </c>
      <c r="F235" s="185" t="s">
        <v>81</v>
      </c>
      <c r="G235" s="176" t="str" cm="1">
        <f t="array" ref="G235">_xlfn.IFS(E235="Default","See Production Costs Results Sheet", E235="User Defined", "Enter Value")</f>
        <v>See Production Costs Results Sheet</v>
      </c>
      <c r="L235" s="2"/>
    </row>
    <row r="236" spans="2:12" ht="15" thickBot="1">
      <c r="B236" s="2"/>
      <c r="G236"/>
      <c r="L236" s="2"/>
    </row>
    <row r="237" spans="2:12" ht="15" thickBot="1">
      <c r="B237" s="2"/>
      <c r="D237" s="5" t="s">
        <v>1122</v>
      </c>
      <c r="E237" s="176" t="s">
        <v>346</v>
      </c>
      <c r="F237" s="185" t="s">
        <v>81</v>
      </c>
      <c r="G237" s="176" t="str" cm="1">
        <f t="array" ref="G237">_xlfn.IFS(E237="Default","See Production Costs Results Sheet", E237="User Defined", "Enter Value")</f>
        <v>See Production Costs Results Sheet</v>
      </c>
      <c r="L237" s="2"/>
    </row>
    <row r="238" spans="2:12">
      <c r="B238" s="2"/>
      <c r="L238" s="2"/>
    </row>
    <row r="239" spans="2:12">
      <c r="B239" s="2"/>
      <c r="D239" s="16" t="s">
        <v>1648</v>
      </c>
      <c r="E239" s="16"/>
      <c r="F239" s="16"/>
      <c r="L239" s="2"/>
    </row>
    <row r="240" spans="2:12">
      <c r="B240" s="2"/>
      <c r="D240" s="16" t="s">
        <v>1495</v>
      </c>
      <c r="E240" s="16" t="s">
        <v>691</v>
      </c>
      <c r="F240" s="16" t="s">
        <v>1679</v>
      </c>
      <c r="L240" s="2"/>
    </row>
    <row r="241" spans="2:12" ht="15" thickBot="1">
      <c r="B241" s="2"/>
      <c r="D241" s="16"/>
      <c r="E241" s="16"/>
      <c r="F241" s="16"/>
      <c r="L241" s="2"/>
    </row>
    <row r="242" spans="2:12" ht="15" thickBot="1">
      <c r="B242" s="2"/>
      <c r="D242" s="5" t="s">
        <v>556</v>
      </c>
      <c r="E242" s="5" t="s">
        <v>1678</v>
      </c>
      <c r="F242" s="176">
        <v>0.22020000000000001</v>
      </c>
      <c r="L242" s="2"/>
    </row>
    <row r="243" spans="2:12" ht="15" thickBot="1">
      <c r="B243" s="2"/>
      <c r="L243" s="2"/>
    </row>
    <row r="244" spans="2:12" ht="15" thickBot="1">
      <c r="B244" s="2"/>
      <c r="D244" s="5" t="s">
        <v>164</v>
      </c>
      <c r="E244" s="5" t="s">
        <v>1678</v>
      </c>
      <c r="F244" s="176">
        <v>6.4699999999999994E-2</v>
      </c>
      <c r="L244" s="2"/>
    </row>
    <row r="245" spans="2:12" ht="15" thickBot="1">
      <c r="B245" s="2"/>
      <c r="L245" s="2"/>
    </row>
    <row r="246" spans="2:12" ht="15" thickBot="1">
      <c r="B246" s="2"/>
      <c r="D246" s="5" t="s">
        <v>694</v>
      </c>
      <c r="E246" s="5" t="s">
        <v>696</v>
      </c>
      <c r="F246" s="176" cm="1">
        <f t="array" aca="1" ref="F246" ca="1">_xlfn.IFS('Parameter Inputs'!E1590&lt;1,0,'Parameter Inputs'!E1590&lt;1000,43.76,'Parameter Inputs'!E1590&lt;19999,113.31,'Parameter Inputs'!E1590&lt;249999,1872.98,'Parameter Inputs'!E1590&gt;249999,21771.46)</f>
        <v>1872.98</v>
      </c>
      <c r="L246" s="2"/>
    </row>
    <row r="247" spans="2:12" ht="15" thickBot="1">
      <c r="B247" s="2"/>
      <c r="L247" s="2"/>
    </row>
    <row r="248" spans="2:12" ht="15" thickBot="1">
      <c r="B248" s="2"/>
      <c r="D248" s="5" t="s">
        <v>695</v>
      </c>
      <c r="E248" s="5" t="s">
        <v>697</v>
      </c>
      <c r="F248" s="176">
        <v>1.05</v>
      </c>
      <c r="L248" s="2"/>
    </row>
    <row r="249" spans="2:12" ht="15" thickBot="1">
      <c r="B249" s="2"/>
      <c r="L249" s="2"/>
    </row>
    <row r="250" spans="2:12" ht="15" thickBot="1">
      <c r="B250" s="2"/>
      <c r="D250" s="5" t="s">
        <v>172</v>
      </c>
      <c r="E250" s="109" t="s">
        <v>689</v>
      </c>
      <c r="F250" s="176">
        <v>305</v>
      </c>
      <c r="L250" s="2"/>
    </row>
    <row r="251" spans="2:12" ht="15" thickBot="1">
      <c r="B251" s="2"/>
      <c r="E251" s="109"/>
      <c r="L251" s="2"/>
    </row>
    <row r="252" spans="2:12" ht="15" thickBot="1">
      <c r="B252" s="2"/>
      <c r="D252" s="5" t="s">
        <v>430</v>
      </c>
      <c r="E252" s="5" t="s">
        <v>698</v>
      </c>
      <c r="F252" s="176">
        <v>150</v>
      </c>
      <c r="L252" s="2"/>
    </row>
    <row r="253" spans="2:12" ht="15" thickBot="1">
      <c r="B253" s="2"/>
      <c r="L253" s="2"/>
    </row>
    <row r="254" spans="2:12" ht="15" thickBot="1">
      <c r="B254" s="2"/>
      <c r="D254" s="5" t="s">
        <v>435</v>
      </c>
      <c r="E254" s="5" t="s">
        <v>698</v>
      </c>
      <c r="F254" s="176">
        <v>1350</v>
      </c>
      <c r="L254" s="2"/>
    </row>
    <row r="255" spans="2:12" ht="15" thickBot="1">
      <c r="B255" s="2"/>
      <c r="L255" s="2"/>
    </row>
    <row r="256" spans="2:12" ht="15" thickBot="1">
      <c r="B256" s="2"/>
      <c r="D256" s="5" t="s">
        <v>690</v>
      </c>
      <c r="E256" s="5" t="s">
        <v>698</v>
      </c>
      <c r="F256" s="176">
        <v>850</v>
      </c>
      <c r="L256" s="2"/>
    </row>
    <row r="257" spans="2:24" ht="15" thickBot="1">
      <c r="B257" s="2"/>
      <c r="L257" s="2"/>
    </row>
    <row r="258" spans="2:24" ht="15" thickBot="1">
      <c r="B258" s="2"/>
      <c r="D258" s="5" t="s">
        <v>1133</v>
      </c>
      <c r="E258" s="5" t="s">
        <v>1650</v>
      </c>
      <c r="F258" s="176">
        <v>40000</v>
      </c>
      <c r="L258" s="2"/>
    </row>
    <row r="259" spans="2:24" ht="15" thickBot="1">
      <c r="B259" s="2"/>
      <c r="L259" s="2"/>
    </row>
    <row r="260" spans="2:24" ht="15" thickBot="1">
      <c r="B260" s="2"/>
      <c r="D260" s="5" t="s">
        <v>1500</v>
      </c>
      <c r="E260" s="5" t="s">
        <v>1649</v>
      </c>
      <c r="F260" s="183">
        <v>0.02</v>
      </c>
      <c r="L260" s="2"/>
    </row>
    <row r="261" spans="2:24">
      <c r="B261" s="2"/>
      <c r="L261" s="2"/>
    </row>
    <row r="262" spans="2:24">
      <c r="B262" s="2"/>
      <c r="L262" s="2"/>
    </row>
    <row r="263" spans="2:24">
      <c r="B263" s="2"/>
      <c r="F263" s="92"/>
      <c r="L263" s="2"/>
    </row>
    <row r="264" spans="2:24">
      <c r="B264" s="2"/>
      <c r="C264" s="2"/>
      <c r="D264" s="2"/>
      <c r="E264" s="2"/>
      <c r="F264" s="178"/>
      <c r="G264" s="2"/>
      <c r="H264" s="2"/>
      <c r="I264" s="2"/>
      <c r="J264" s="2"/>
      <c r="K264" s="2"/>
      <c r="L264" s="2"/>
    </row>
    <row r="267" spans="2:24">
      <c r="B267" s="2"/>
      <c r="C267" s="2"/>
      <c r="D267" s="2"/>
      <c r="E267" s="2"/>
      <c r="F267" s="2"/>
      <c r="G267" s="2"/>
      <c r="H267" s="2"/>
      <c r="I267" s="2"/>
      <c r="J267" s="2"/>
      <c r="K267" s="2"/>
      <c r="L267" s="2"/>
      <c r="M267" s="2"/>
      <c r="N267" s="2"/>
      <c r="O267" s="2"/>
      <c r="P267" s="2"/>
      <c r="Q267" s="2"/>
      <c r="R267" s="2"/>
      <c r="S267" s="2"/>
      <c r="T267" s="2"/>
      <c r="U267" s="2"/>
      <c r="V267" s="2"/>
      <c r="W267" s="2"/>
      <c r="X267" s="2"/>
    </row>
    <row r="268" spans="2:24">
      <c r="B268" s="2"/>
      <c r="X268" s="2"/>
    </row>
    <row r="269" spans="2:24" ht="21">
      <c r="B269" s="2"/>
      <c r="C269" s="314" t="s">
        <v>1757</v>
      </c>
      <c r="D269" s="314"/>
      <c r="E269" s="314"/>
      <c r="F269" s="314"/>
      <c r="G269" s="314"/>
      <c r="H269" s="314"/>
      <c r="I269" s="314"/>
      <c r="J269" s="314"/>
      <c r="K269" s="314"/>
      <c r="L269" s="314"/>
      <c r="M269" s="314"/>
      <c r="N269" s="314"/>
      <c r="O269" s="314"/>
      <c r="P269" s="314"/>
      <c r="Q269" s="314"/>
      <c r="R269" s="314"/>
      <c r="S269" s="314"/>
      <c r="T269" s="314"/>
      <c r="U269" s="314"/>
      <c r="V269" s="314"/>
      <c r="W269" s="314"/>
      <c r="X269" s="2"/>
    </row>
    <row r="270" spans="2:24">
      <c r="B270" s="2"/>
      <c r="C270" s="5" t="s">
        <v>1760</v>
      </c>
      <c r="X270" s="2"/>
    </row>
    <row r="271" spans="2:24">
      <c r="B271" s="2"/>
      <c r="D271" s="186" t="s">
        <v>344</v>
      </c>
      <c r="F271" s="186" t="s">
        <v>80</v>
      </c>
      <c r="X271" s="2"/>
    </row>
    <row r="272" spans="2:24" ht="15" thickBot="1">
      <c r="B272" s="2"/>
      <c r="D272" s="186"/>
      <c r="F272" s="186"/>
      <c r="X272" s="2"/>
    </row>
    <row r="273" spans="2:24" ht="15" thickBot="1">
      <c r="B273" s="2"/>
      <c r="D273" s="5" t="s">
        <v>7</v>
      </c>
      <c r="E273" s="279" t="s">
        <v>346</v>
      </c>
      <c r="F273" s="179">
        <v>105.4</v>
      </c>
      <c r="G273" s="193" t="s">
        <v>1753</v>
      </c>
      <c r="X273" s="2"/>
    </row>
    <row r="274" spans="2:24" ht="15" thickBot="1">
      <c r="B274" s="2"/>
      <c r="F274" s="1"/>
      <c r="X274" s="2"/>
    </row>
    <row r="275" spans="2:24" ht="15" thickBot="1">
      <c r="B275" s="2"/>
      <c r="D275" s="5" t="s">
        <v>75</v>
      </c>
      <c r="E275" s="279" t="s">
        <v>346</v>
      </c>
      <c r="F275" s="179">
        <v>0.15</v>
      </c>
      <c r="G275" s="193" t="s">
        <v>1753</v>
      </c>
      <c r="X275" s="2"/>
    </row>
    <row r="276" spans="2:24" ht="15" thickBot="1">
      <c r="B276" s="2"/>
      <c r="F276" s="1"/>
      <c r="X276" s="2"/>
    </row>
    <row r="277" spans="2:24" ht="15" thickBot="1">
      <c r="B277" s="2"/>
      <c r="D277" s="5" t="s">
        <v>76</v>
      </c>
      <c r="E277" s="279" t="s">
        <v>346</v>
      </c>
      <c r="F277" s="179">
        <v>0.04</v>
      </c>
      <c r="G277" s="193" t="s">
        <v>1753</v>
      </c>
      <c r="X277" s="2"/>
    </row>
    <row r="278" spans="2:24" ht="15" thickBot="1">
      <c r="B278" s="2"/>
      <c r="F278" s="1"/>
      <c r="X278" s="2"/>
    </row>
    <row r="279" spans="2:24" ht="15" thickBot="1">
      <c r="B279" s="2"/>
      <c r="D279" s="5" t="s">
        <v>281</v>
      </c>
      <c r="E279" s="279" t="s">
        <v>346</v>
      </c>
      <c r="F279" s="179">
        <v>0.4</v>
      </c>
      <c r="G279" s="193" t="s">
        <v>1753</v>
      </c>
      <c r="X279" s="2"/>
    </row>
    <row r="280" spans="2:24" ht="15" thickBot="1">
      <c r="B280" s="2"/>
      <c r="F280" s="1"/>
      <c r="X280" s="2"/>
    </row>
    <row r="281" spans="2:24" ht="15" thickBot="1">
      <c r="B281" s="2"/>
      <c r="D281" s="5" t="s">
        <v>218</v>
      </c>
      <c r="E281" s="279" t="s">
        <v>346</v>
      </c>
      <c r="F281" s="179">
        <v>0.67</v>
      </c>
      <c r="G281" s="193" t="s">
        <v>1753</v>
      </c>
      <c r="X281" s="2"/>
    </row>
    <row r="282" spans="2:24" ht="15" thickBot="1">
      <c r="B282" s="2"/>
      <c r="F282" s="1"/>
      <c r="X282" s="2"/>
    </row>
    <row r="283" spans="2:24" ht="15" thickBot="1">
      <c r="B283" s="2"/>
      <c r="D283" s="5" t="s">
        <v>91</v>
      </c>
      <c r="E283" s="279" t="s">
        <v>346</v>
      </c>
      <c r="F283" s="179">
        <v>0.5</v>
      </c>
      <c r="G283" s="193" t="s">
        <v>1753</v>
      </c>
      <c r="X283" s="2"/>
    </row>
    <row r="284" spans="2:24" ht="15" thickBot="1">
      <c r="B284" s="2"/>
      <c r="F284" s="1"/>
      <c r="X284" s="2"/>
    </row>
    <row r="285" spans="2:24" ht="15" thickBot="1">
      <c r="B285" s="2"/>
      <c r="D285" s="5" t="s">
        <v>92</v>
      </c>
      <c r="E285" s="279" t="s">
        <v>346</v>
      </c>
      <c r="F285" s="179">
        <v>0.5</v>
      </c>
      <c r="G285" s="193" t="s">
        <v>1753</v>
      </c>
      <c r="X285" s="2"/>
    </row>
    <row r="286" spans="2:24" ht="15" thickBot="1">
      <c r="B286" s="2"/>
      <c r="F286" s="1"/>
      <c r="X286" s="2"/>
    </row>
    <row r="287" spans="2:24" ht="15" thickBot="1">
      <c r="B287" s="2"/>
      <c r="D287" s="5" t="s">
        <v>93</v>
      </c>
      <c r="E287" s="279" t="s">
        <v>346</v>
      </c>
      <c r="F287" s="179">
        <v>0.35</v>
      </c>
      <c r="G287" s="193" t="s">
        <v>1753</v>
      </c>
      <c r="X287" s="2"/>
    </row>
    <row r="288" spans="2:24" ht="15" thickBot="1">
      <c r="B288" s="2"/>
      <c r="F288" s="1"/>
      <c r="X288" s="2"/>
    </row>
    <row r="289" spans="2:24" ht="15" thickBot="1">
      <c r="B289" s="2"/>
      <c r="D289" s="5" t="s">
        <v>95</v>
      </c>
      <c r="E289" s="279" t="s">
        <v>346</v>
      </c>
      <c r="F289" s="179">
        <v>1</v>
      </c>
      <c r="G289" s="193" t="s">
        <v>1753</v>
      </c>
      <c r="N289" s="128"/>
      <c r="O289" s="128"/>
      <c r="X289" s="2"/>
    </row>
    <row r="290" spans="2:24" ht="15" thickBot="1">
      <c r="B290" s="2"/>
      <c r="F290" s="1"/>
      <c r="N290" s="128"/>
      <c r="O290" s="128"/>
      <c r="X290" s="2"/>
    </row>
    <row r="291" spans="2:24" ht="15" thickBot="1">
      <c r="B291" s="2"/>
      <c r="D291" s="5" t="s">
        <v>184</v>
      </c>
      <c r="E291" s="279" t="s">
        <v>346</v>
      </c>
      <c r="F291" s="179">
        <v>0.06</v>
      </c>
      <c r="G291" s="193" t="s">
        <v>1753</v>
      </c>
      <c r="X291" s="2"/>
    </row>
    <row r="292" spans="2:24" ht="15" thickBot="1">
      <c r="B292" s="2"/>
      <c r="F292" s="1"/>
      <c r="X292" s="2"/>
    </row>
    <row r="293" spans="2:24" ht="15" thickBot="1">
      <c r="B293" s="2"/>
      <c r="D293" s="5" t="s">
        <v>1610</v>
      </c>
      <c r="E293" s="279" t="s">
        <v>346</v>
      </c>
      <c r="F293" s="179">
        <v>0.04</v>
      </c>
      <c r="G293" s="193" t="s">
        <v>1753</v>
      </c>
      <c r="X293" s="2"/>
    </row>
    <row r="294" spans="2:24" ht="15" thickBot="1">
      <c r="B294" s="2"/>
      <c r="F294" s="1"/>
      <c r="X294" s="2"/>
    </row>
    <row r="295" spans="2:24" ht="15" thickBot="1">
      <c r="B295" s="2"/>
      <c r="D295" s="5" t="s">
        <v>1611</v>
      </c>
      <c r="E295" s="279" t="s">
        <v>346</v>
      </c>
      <c r="F295" s="179">
        <v>1</v>
      </c>
      <c r="G295" s="193" t="s">
        <v>1753</v>
      </c>
      <c r="X295" s="2"/>
    </row>
    <row r="296" spans="2:24" ht="15" thickBot="1">
      <c r="B296" s="2"/>
      <c r="F296" s="1"/>
      <c r="X296" s="2"/>
    </row>
    <row r="297" spans="2:24" ht="15" thickBot="1">
      <c r="B297" s="2"/>
      <c r="D297" s="5" t="s">
        <v>416</v>
      </c>
      <c r="E297" s="279" t="s">
        <v>346</v>
      </c>
      <c r="F297" s="179">
        <v>1.42</v>
      </c>
      <c r="G297" s="193" t="s">
        <v>1753</v>
      </c>
      <c r="X297" s="2"/>
    </row>
    <row r="298" spans="2:24" ht="15" thickBot="1">
      <c r="B298" s="2"/>
      <c r="F298" s="1"/>
      <c r="X298" s="2"/>
    </row>
    <row r="299" spans="2:24" ht="15" thickBot="1">
      <c r="B299" s="2"/>
      <c r="D299" s="5" t="s">
        <v>417</v>
      </c>
      <c r="E299" s="279" t="s">
        <v>346</v>
      </c>
      <c r="F299" s="179">
        <v>0.02</v>
      </c>
      <c r="G299" s="193" t="s">
        <v>1753</v>
      </c>
      <c r="X299" s="2"/>
    </row>
    <row r="300" spans="2:24" ht="15" thickBot="1">
      <c r="B300" s="2"/>
      <c r="F300" s="1"/>
      <c r="X300" s="2"/>
    </row>
    <row r="301" spans="2:24" ht="15" thickBot="1">
      <c r="B301" s="2"/>
      <c r="D301" s="5" t="s">
        <v>418</v>
      </c>
      <c r="E301" s="279" t="s">
        <v>346</v>
      </c>
      <c r="F301" s="179">
        <v>0.1</v>
      </c>
      <c r="G301" s="193" t="s">
        <v>1753</v>
      </c>
      <c r="X301" s="2"/>
    </row>
    <row r="302" spans="2:24" ht="15" thickBot="1">
      <c r="B302" s="2"/>
      <c r="F302" s="1"/>
      <c r="X302" s="2"/>
    </row>
    <row r="303" spans="2:24" ht="15" thickBot="1">
      <c r="B303" s="2"/>
      <c r="D303" s="5" t="s">
        <v>715</v>
      </c>
      <c r="E303" s="279" t="s">
        <v>346</v>
      </c>
      <c r="F303" s="179">
        <v>2000000</v>
      </c>
      <c r="X303" s="2"/>
    </row>
    <row r="304" spans="2:24" ht="15" thickBot="1">
      <c r="B304" s="2"/>
      <c r="F304" s="1"/>
      <c r="X304" s="2"/>
    </row>
    <row r="305" spans="2:24" ht="15" thickBot="1">
      <c r="B305" s="2"/>
      <c r="D305" s="5" t="s">
        <v>739</v>
      </c>
      <c r="E305" s="279" t="s">
        <v>346</v>
      </c>
      <c r="F305" s="179">
        <v>0.3</v>
      </c>
      <c r="G305" s="193" t="s">
        <v>1753</v>
      </c>
      <c r="X305" s="2"/>
    </row>
    <row r="306" spans="2:24" ht="15" thickBot="1">
      <c r="B306" s="2"/>
      <c r="F306" s="1"/>
      <c r="X306" s="2"/>
    </row>
    <row r="307" spans="2:24" ht="15" thickBot="1">
      <c r="B307" s="2"/>
      <c r="D307" s="5" t="s">
        <v>1146</v>
      </c>
      <c r="E307" s="279" t="s">
        <v>346</v>
      </c>
      <c r="F307" s="179">
        <v>6.0000000000000001E-3</v>
      </c>
      <c r="X307" s="2"/>
    </row>
    <row r="308" spans="2:24" ht="15" thickBot="1">
      <c r="B308" s="2"/>
      <c r="F308" s="1"/>
      <c r="X308" s="2"/>
    </row>
    <row r="309" spans="2:24" ht="15" thickBot="1">
      <c r="B309" s="2"/>
      <c r="D309" s="5" t="s">
        <v>1606</v>
      </c>
      <c r="E309" s="279" t="s">
        <v>346</v>
      </c>
      <c r="F309" s="179">
        <v>1000</v>
      </c>
      <c r="G309" s="193" t="s">
        <v>1753</v>
      </c>
      <c r="X309" s="2"/>
    </row>
    <row r="310" spans="2:24" ht="15" thickBot="1">
      <c r="B310" s="2"/>
      <c r="F310" s="1"/>
      <c r="X310" s="2"/>
    </row>
    <row r="311" spans="2:24" ht="15" thickBot="1">
      <c r="B311" s="2"/>
      <c r="D311" s="5" t="s">
        <v>547</v>
      </c>
      <c r="E311" s="279" t="s">
        <v>346</v>
      </c>
      <c r="F311" s="179">
        <v>0.19</v>
      </c>
      <c r="G311" s="60" t="s">
        <v>1755</v>
      </c>
      <c r="X311" s="2"/>
    </row>
    <row r="312" spans="2:24" ht="15" thickBot="1">
      <c r="B312" s="2"/>
      <c r="F312" s="1"/>
      <c r="X312" s="2"/>
    </row>
    <row r="313" spans="2:24" ht="15" thickBot="1">
      <c r="B313" s="2"/>
      <c r="D313" s="5" t="s">
        <v>178</v>
      </c>
      <c r="E313" s="279" t="s">
        <v>346</v>
      </c>
      <c r="F313" s="179">
        <f>'Parameter Inputs'!F36</f>
        <v>430893</v>
      </c>
      <c r="X313" s="2"/>
    </row>
    <row r="314" spans="2:24" ht="15" thickBot="1">
      <c r="B314" s="2"/>
      <c r="F314" s="1"/>
      <c r="X314" s="2"/>
    </row>
    <row r="315" spans="2:24" ht="17" thickBot="1">
      <c r="B315" s="2"/>
      <c r="D315" s="5" t="s">
        <v>179</v>
      </c>
      <c r="E315" s="279" t="s">
        <v>346</v>
      </c>
      <c r="F315" s="179">
        <v>253</v>
      </c>
      <c r="G315" s="193"/>
      <c r="X315" s="2"/>
    </row>
    <row r="316" spans="2:24" ht="15" thickBot="1">
      <c r="B316" s="2"/>
      <c r="F316" s="1"/>
      <c r="X316" s="2"/>
    </row>
    <row r="317" spans="2:24" ht="15" thickBot="1">
      <c r="B317" s="2"/>
      <c r="D317" s="5" t="s">
        <v>186</v>
      </c>
      <c r="E317" s="279" t="s">
        <v>346</v>
      </c>
      <c r="F317" s="179">
        <f>F315*1.6</f>
        <v>404.8</v>
      </c>
      <c r="G317" s="193"/>
      <c r="X317" s="2"/>
    </row>
    <row r="318" spans="2:24" ht="15" thickBot="1">
      <c r="B318" s="2"/>
      <c r="F318" s="1"/>
      <c r="X318" s="2"/>
    </row>
    <row r="319" spans="2:24" ht="17" thickBot="1">
      <c r="B319" s="2"/>
      <c r="D319" s="5" t="s">
        <v>180</v>
      </c>
      <c r="E319" s="279" t="s">
        <v>346</v>
      </c>
      <c r="F319" s="179">
        <f>'Parameter Inputs'!F38*1000</f>
        <v>243</v>
      </c>
      <c r="G319" s="193"/>
      <c r="X319" s="2"/>
    </row>
    <row r="320" spans="2:24" ht="15" thickBot="1">
      <c r="B320" s="2"/>
      <c r="F320" s="1"/>
      <c r="X320" s="2"/>
    </row>
    <row r="321" spans="2:24" ht="15" thickBot="1">
      <c r="B321" s="2"/>
      <c r="D321" s="5" t="s">
        <v>1613</v>
      </c>
      <c r="E321" s="279" t="s">
        <v>346</v>
      </c>
      <c r="F321" s="179">
        <v>0.9</v>
      </c>
      <c r="G321" s="193" t="s">
        <v>1753</v>
      </c>
      <c r="X321" s="2"/>
    </row>
    <row r="322" spans="2:24" ht="15" thickBot="1">
      <c r="B322" s="2"/>
      <c r="F322" s="1"/>
      <c r="X322" s="2"/>
    </row>
    <row r="323" spans="2:24" ht="15" thickBot="1">
      <c r="B323" s="2"/>
      <c r="D323" s="5" t="s">
        <v>181</v>
      </c>
      <c r="E323" s="279" t="s">
        <v>346</v>
      </c>
      <c r="F323" s="179">
        <f>F319*F321</f>
        <v>218.70000000000002</v>
      </c>
      <c r="X323" s="2"/>
    </row>
    <row r="324" spans="2:24" ht="15" thickBot="1">
      <c r="B324" s="2"/>
      <c r="F324" s="1"/>
      <c r="X324" s="2"/>
    </row>
    <row r="325" spans="2:24" ht="15" thickBot="1">
      <c r="B325" s="2"/>
      <c r="D325" s="5" t="s">
        <v>182</v>
      </c>
      <c r="E325" s="279" t="s">
        <v>346</v>
      </c>
      <c r="F325" s="179">
        <v>0.1</v>
      </c>
      <c r="G325" s="193" t="s">
        <v>1753</v>
      </c>
      <c r="X325" s="2"/>
    </row>
    <row r="326" spans="2:24" ht="15" thickBot="1">
      <c r="B326" s="2"/>
      <c r="F326" s="1"/>
      <c r="X326" s="2"/>
    </row>
    <row r="327" spans="2:24" ht="15" thickBot="1">
      <c r="B327" s="2"/>
      <c r="D327" s="5" t="s">
        <v>185</v>
      </c>
      <c r="E327" s="279" t="s">
        <v>346</v>
      </c>
      <c r="F327" s="179">
        <v>0.65</v>
      </c>
      <c r="G327" s="193" t="s">
        <v>1753</v>
      </c>
      <c r="X327" s="2"/>
    </row>
    <row r="328" spans="2:24" ht="15" thickBot="1">
      <c r="B328" s="2"/>
      <c r="F328" s="1"/>
      <c r="X328" s="2"/>
    </row>
    <row r="329" spans="2:24" ht="15" thickBot="1">
      <c r="B329" s="2"/>
      <c r="D329" s="5" t="s">
        <v>209</v>
      </c>
      <c r="E329" s="279" t="s">
        <v>346</v>
      </c>
      <c r="F329" s="179">
        <v>1.42</v>
      </c>
      <c r="G329" s="193" t="s">
        <v>1753</v>
      </c>
      <c r="X329" s="2"/>
    </row>
    <row r="330" spans="2:24" ht="15" thickBot="1">
      <c r="B330" s="2"/>
      <c r="F330" s="1"/>
      <c r="X330" s="2"/>
    </row>
    <row r="331" spans="2:24" ht="15" thickBot="1">
      <c r="B331" s="2"/>
      <c r="D331" s="5" t="s">
        <v>208</v>
      </c>
      <c r="E331" s="279" t="s">
        <v>346</v>
      </c>
      <c r="F331" s="179">
        <v>0.68</v>
      </c>
      <c r="G331" s="193" t="s">
        <v>1753</v>
      </c>
      <c r="X331" s="2"/>
    </row>
    <row r="332" spans="2:24" ht="15" thickBot="1">
      <c r="B332" s="2"/>
      <c r="F332" s="1"/>
      <c r="X332" s="2"/>
    </row>
    <row r="333" spans="2:24" ht="15" thickBot="1">
      <c r="B333" s="2"/>
      <c r="D333" s="109" t="s">
        <v>1614</v>
      </c>
      <c r="E333" s="279" t="s">
        <v>346</v>
      </c>
      <c r="F333" s="179">
        <v>25</v>
      </c>
      <c r="X333" s="2"/>
    </row>
    <row r="334" spans="2:24" ht="15" thickBot="1">
      <c r="B334" s="2"/>
      <c r="D334" s="109"/>
      <c r="F334" s="1"/>
      <c r="X334" s="2"/>
    </row>
    <row r="335" spans="2:24" ht="15" thickBot="1">
      <c r="B335" s="2"/>
      <c r="D335" s="109" t="s">
        <v>1615</v>
      </c>
      <c r="E335" s="176" t="s">
        <v>346</v>
      </c>
      <c r="F335" s="179">
        <v>35</v>
      </c>
      <c r="X335" s="2"/>
    </row>
    <row r="336" spans="2:24">
      <c r="B336" s="2"/>
      <c r="D336" s="109"/>
      <c r="F336" s="105"/>
      <c r="X336" s="2"/>
    </row>
    <row r="337" spans="2:24">
      <c r="B337" s="2"/>
      <c r="D337" s="16" t="s">
        <v>188</v>
      </c>
      <c r="F337" s="105"/>
      <c r="X337" s="2"/>
    </row>
    <row r="338" spans="2:24">
      <c r="B338" s="2"/>
      <c r="D338" s="129" t="s">
        <v>189</v>
      </c>
      <c r="F338" s="105"/>
      <c r="X338" s="2"/>
    </row>
    <row r="339" spans="2:24" ht="15" thickBot="1">
      <c r="B339" s="2"/>
      <c r="D339" s="129"/>
      <c r="F339" s="105"/>
      <c r="X339" s="2"/>
    </row>
    <row r="340" spans="2:24" ht="15" thickBot="1">
      <c r="B340" s="2"/>
      <c r="D340" s="129" t="s">
        <v>187</v>
      </c>
      <c r="E340" s="279" t="s">
        <v>346</v>
      </c>
      <c r="F340" s="179">
        <v>0.5</v>
      </c>
      <c r="G340" s="193" t="s">
        <v>1753</v>
      </c>
      <c r="X340" s="2"/>
    </row>
    <row r="341" spans="2:24" ht="15" thickBot="1">
      <c r="B341" s="2"/>
      <c r="D341" s="129"/>
      <c r="F341" s="1"/>
      <c r="X341" s="2"/>
    </row>
    <row r="342" spans="2:24" ht="15" thickBot="1">
      <c r="B342" s="2"/>
      <c r="D342" s="129" t="s">
        <v>190</v>
      </c>
      <c r="E342" s="279" t="s">
        <v>346</v>
      </c>
      <c r="F342" s="179">
        <f>'Parameter Inputs'!F42</f>
        <v>0.7</v>
      </c>
      <c r="G342" s="193" t="s">
        <v>1753</v>
      </c>
      <c r="X342" s="2"/>
    </row>
    <row r="343" spans="2:24" ht="15" thickBot="1">
      <c r="B343" s="2"/>
      <c r="D343" s="129"/>
      <c r="F343" s="1"/>
      <c r="X343" s="2"/>
    </row>
    <row r="344" spans="2:24" ht="15" thickBot="1">
      <c r="B344" s="2"/>
      <c r="D344" s="129" t="s">
        <v>192</v>
      </c>
      <c r="E344" s="176" t="s">
        <v>346</v>
      </c>
      <c r="F344" s="179">
        <v>0.85</v>
      </c>
      <c r="G344" s="193" t="s">
        <v>1753</v>
      </c>
      <c r="X344" s="2"/>
    </row>
    <row r="345" spans="2:24">
      <c r="B345" s="2"/>
      <c r="D345" s="129"/>
      <c r="F345" s="105"/>
      <c r="X345" s="2"/>
    </row>
    <row r="346" spans="2:24" ht="15" thickBot="1">
      <c r="B346" s="2"/>
      <c r="D346" s="16" t="s">
        <v>191</v>
      </c>
      <c r="F346" s="105"/>
      <c r="X346" s="2"/>
    </row>
    <row r="347" spans="2:24" ht="15" thickBot="1">
      <c r="B347" s="2"/>
      <c r="D347" s="129" t="s">
        <v>193</v>
      </c>
      <c r="E347" s="279" t="s">
        <v>346</v>
      </c>
      <c r="F347" s="179">
        <v>0.8</v>
      </c>
      <c r="G347" s="193" t="s">
        <v>1753</v>
      </c>
      <c r="X347" s="2"/>
    </row>
    <row r="348" spans="2:24" ht="15" thickBot="1">
      <c r="B348" s="2"/>
      <c r="D348" s="129"/>
      <c r="F348" s="1"/>
      <c r="X348" s="2"/>
    </row>
    <row r="349" spans="2:24" ht="15" thickBot="1">
      <c r="B349" s="2"/>
      <c r="D349" s="129" t="s">
        <v>194</v>
      </c>
      <c r="E349" s="279" t="s">
        <v>346</v>
      </c>
      <c r="F349" s="179">
        <v>4700</v>
      </c>
      <c r="G349" s="193" t="s">
        <v>1753</v>
      </c>
      <c r="X349" s="2"/>
    </row>
    <row r="350" spans="2:24" ht="15" thickBot="1">
      <c r="B350" s="2"/>
      <c r="D350" s="129"/>
      <c r="F350" s="1"/>
      <c r="X350" s="2"/>
    </row>
    <row r="351" spans="2:24" ht="15" thickBot="1">
      <c r="B351" s="2"/>
      <c r="D351" s="129" t="s">
        <v>195</v>
      </c>
      <c r="E351" s="279" t="s">
        <v>346</v>
      </c>
      <c r="F351" s="179">
        <v>0.5</v>
      </c>
      <c r="G351" s="193" t="s">
        <v>1753</v>
      </c>
      <c r="X351" s="2"/>
    </row>
    <row r="352" spans="2:24" ht="15" thickBot="1">
      <c r="B352" s="2"/>
      <c r="D352" s="129"/>
      <c r="F352" s="1"/>
      <c r="X352" s="2"/>
    </row>
    <row r="353" spans="2:24" ht="15" thickBot="1">
      <c r="B353" s="2"/>
      <c r="D353" s="129" t="s">
        <v>196</v>
      </c>
      <c r="E353" s="279" t="s">
        <v>346</v>
      </c>
      <c r="F353" s="179">
        <v>0.06</v>
      </c>
      <c r="G353" s="193" t="s">
        <v>1753</v>
      </c>
      <c r="X353" s="2"/>
    </row>
    <row r="354" spans="2:24" ht="15" thickBot="1">
      <c r="B354" s="2"/>
      <c r="D354" s="129"/>
      <c r="F354" s="1"/>
      <c r="X354" s="2"/>
    </row>
    <row r="355" spans="2:24" ht="15" thickBot="1">
      <c r="B355" s="2"/>
      <c r="D355" s="129" t="s">
        <v>197</v>
      </c>
      <c r="E355" s="279" t="s">
        <v>346</v>
      </c>
      <c r="F355" s="179">
        <v>10</v>
      </c>
      <c r="G355" s="193" t="s">
        <v>1753</v>
      </c>
      <c r="X355" s="2"/>
    </row>
    <row r="356" spans="2:24" ht="15" thickBot="1">
      <c r="B356" s="2"/>
      <c r="D356" s="129"/>
      <c r="F356" s="1"/>
      <c r="X356" s="2"/>
    </row>
    <row r="357" spans="2:24" ht="15" thickBot="1">
      <c r="B357" s="2"/>
      <c r="D357" s="129" t="s">
        <v>246</v>
      </c>
      <c r="E357" s="176" t="s">
        <v>346</v>
      </c>
      <c r="F357" s="179">
        <v>0.9</v>
      </c>
      <c r="G357" s="193" t="s">
        <v>1753</v>
      </c>
      <c r="X357" s="2"/>
    </row>
    <row r="358" spans="2:24">
      <c r="B358" s="2"/>
      <c r="F358" s="105"/>
      <c r="X358" s="2"/>
    </row>
    <row r="359" spans="2:24" ht="15" thickBot="1">
      <c r="B359" s="2"/>
      <c r="D359" s="16" t="s">
        <v>551</v>
      </c>
      <c r="F359" s="105"/>
      <c r="X359" s="2"/>
    </row>
    <row r="360" spans="2:24" ht="15" thickBot="1">
      <c r="B360" s="2"/>
      <c r="D360" s="129" t="s">
        <v>256</v>
      </c>
      <c r="E360" s="279" t="s">
        <v>346</v>
      </c>
      <c r="F360" s="179">
        <v>15</v>
      </c>
      <c r="G360" s="5" t="s">
        <v>1753</v>
      </c>
      <c r="X360" s="2"/>
    </row>
    <row r="361" spans="2:24" ht="15" thickBot="1">
      <c r="B361" s="2"/>
      <c r="D361" s="129"/>
      <c r="F361" s="1"/>
      <c r="X361" s="2"/>
    </row>
    <row r="362" spans="2:24" ht="15" thickBot="1">
      <c r="B362" s="2"/>
      <c r="D362" s="129" t="s">
        <v>257</v>
      </c>
      <c r="E362" s="279" t="s">
        <v>346</v>
      </c>
      <c r="F362" s="179" cm="1">
        <f t="array" ref="F362">_xlfn.IFS('Parameter Inputs'!F28='Parameter Inputs'!BJ43,'Parameter Inputs'!F694,'Parameter Inputs'!F28='Parameter Inputs'!BJ42,'Parameter Inputs'!F698)</f>
        <v>0.65</v>
      </c>
      <c r="G362" s="5" t="s">
        <v>1751</v>
      </c>
      <c r="X362" s="2"/>
    </row>
    <row r="363" spans="2:24" ht="15" thickBot="1">
      <c r="B363" s="2"/>
      <c r="D363" s="129"/>
      <c r="F363" s="1"/>
      <c r="X363" s="2"/>
    </row>
    <row r="364" spans="2:24" ht="15" thickBot="1">
      <c r="B364" s="2"/>
      <c r="D364" s="129" t="s">
        <v>258</v>
      </c>
      <c r="E364" s="279" t="s">
        <v>346</v>
      </c>
      <c r="F364" s="179">
        <f>F30</f>
        <v>0.93500000000000005</v>
      </c>
      <c r="G364" s="193" t="s">
        <v>1753</v>
      </c>
      <c r="X364" s="2"/>
    </row>
    <row r="365" spans="2:24" ht="15" thickBot="1">
      <c r="B365" s="2"/>
      <c r="D365" s="129"/>
      <c r="F365" s="1"/>
      <c r="X365" s="2"/>
    </row>
    <row r="366" spans="2:24" ht="15" thickBot="1">
      <c r="B366" s="2"/>
      <c r="D366" s="129" t="s">
        <v>717</v>
      </c>
      <c r="E366" s="279" t="s">
        <v>346</v>
      </c>
      <c r="F366" s="179">
        <v>1E-3</v>
      </c>
      <c r="G366" s="193" t="s">
        <v>1753</v>
      </c>
      <c r="X366" s="2"/>
    </row>
    <row r="367" spans="2:24" ht="15" thickBot="1">
      <c r="B367" s="2"/>
      <c r="D367" s="129"/>
      <c r="F367" s="1"/>
      <c r="X367" s="2"/>
    </row>
    <row r="368" spans="2:24" ht="15" thickBot="1">
      <c r="B368" s="2"/>
      <c r="D368" s="129" t="s">
        <v>716</v>
      </c>
      <c r="E368" s="279" t="s">
        <v>346</v>
      </c>
      <c r="F368" s="179">
        <v>5.0000000000000001E-3</v>
      </c>
      <c r="G368" s="193" t="s">
        <v>1753</v>
      </c>
      <c r="X368" s="2"/>
    </row>
    <row r="369" spans="2:24" ht="15" thickBot="1">
      <c r="B369" s="2"/>
      <c r="D369" s="129"/>
      <c r="F369" s="1"/>
      <c r="X369" s="2"/>
    </row>
    <row r="370" spans="2:24" ht="15" thickBot="1">
      <c r="B370" s="2"/>
      <c r="D370" s="129" t="s">
        <v>1086</v>
      </c>
      <c r="E370" s="279" t="s">
        <v>346</v>
      </c>
      <c r="F370" s="179">
        <f ca="1">(I990+I993)/(I992+I995)</f>
        <v>0.47781785775358721</v>
      </c>
      <c r="G370" s="193" t="s">
        <v>1753</v>
      </c>
      <c r="X370" s="2"/>
    </row>
    <row r="371" spans="2:24" ht="15" thickBot="1">
      <c r="B371" s="2"/>
      <c r="F371" s="1"/>
      <c r="X371" s="2"/>
    </row>
    <row r="372" spans="2:24" ht="15" thickBot="1">
      <c r="B372" s="2"/>
      <c r="D372" s="129" t="s">
        <v>270</v>
      </c>
      <c r="E372" s="279" t="s">
        <v>346</v>
      </c>
      <c r="F372" s="179">
        <v>1.204</v>
      </c>
      <c r="G372" s="193" t="s">
        <v>1753</v>
      </c>
      <c r="X372" s="2"/>
    </row>
    <row r="373" spans="2:24" ht="15" thickBot="1">
      <c r="B373" s="2"/>
      <c r="D373" s="129"/>
      <c r="F373" s="1"/>
      <c r="X373" s="2"/>
    </row>
    <row r="374" spans="2:24" ht="15" thickBot="1">
      <c r="B374" s="2"/>
      <c r="D374" s="129" t="s">
        <v>271</v>
      </c>
      <c r="E374" s="279" t="s">
        <v>346</v>
      </c>
      <c r="F374" s="179">
        <v>0.86</v>
      </c>
      <c r="G374" s="193" t="s">
        <v>1753</v>
      </c>
      <c r="X374" s="2"/>
    </row>
    <row r="375" spans="2:24" ht="15" thickBot="1">
      <c r="B375" s="2"/>
      <c r="D375" s="129"/>
      <c r="F375" s="1"/>
      <c r="X375" s="2"/>
    </row>
    <row r="376" spans="2:24" ht="15" thickBot="1">
      <c r="B376" s="2"/>
      <c r="D376" s="129" t="s">
        <v>272</v>
      </c>
      <c r="E376" s="279" t="s">
        <v>346</v>
      </c>
      <c r="F376" s="179">
        <f>F372*F374</f>
        <v>1.0354399999999999</v>
      </c>
      <c r="G376" s="193" t="s">
        <v>1753</v>
      </c>
      <c r="X376" s="2"/>
    </row>
    <row r="377" spans="2:24" ht="15" thickBot="1">
      <c r="B377" s="2"/>
      <c r="D377" s="129"/>
      <c r="F377" s="1"/>
      <c r="X377" s="2"/>
    </row>
    <row r="378" spans="2:24" ht="15" thickBot="1">
      <c r="B378" s="2"/>
      <c r="D378" s="129" t="s">
        <v>549</v>
      </c>
      <c r="E378" s="279" t="s">
        <v>346</v>
      </c>
      <c r="F378" s="179">
        <v>2</v>
      </c>
      <c r="X378" s="2"/>
    </row>
    <row r="379" spans="2:24" ht="15" thickBot="1">
      <c r="B379" s="2"/>
      <c r="D379" s="129"/>
      <c r="F379" s="1"/>
      <c r="X379" s="2"/>
    </row>
    <row r="380" spans="2:24" ht="15" thickBot="1">
      <c r="B380" s="2"/>
      <c r="D380" s="129" t="s">
        <v>725</v>
      </c>
      <c r="E380" s="279" t="s">
        <v>346</v>
      </c>
      <c r="F380" s="179">
        <v>0.22</v>
      </c>
      <c r="G380" s="193" t="s">
        <v>1753</v>
      </c>
      <c r="X380" s="2"/>
    </row>
    <row r="381" spans="2:24" ht="15" thickBot="1">
      <c r="B381" s="2"/>
      <c r="D381" s="129"/>
      <c r="F381" s="1"/>
      <c r="X381" s="2"/>
    </row>
    <row r="382" spans="2:24" ht="15" thickBot="1">
      <c r="B382" s="2"/>
      <c r="D382" s="129" t="s">
        <v>726</v>
      </c>
      <c r="E382" s="176" t="s">
        <v>346</v>
      </c>
      <c r="F382" s="179">
        <v>1.06</v>
      </c>
      <c r="G382" s="193" t="s">
        <v>1753</v>
      </c>
      <c r="X382" s="2"/>
    </row>
    <row r="383" spans="2:24">
      <c r="B383" s="2"/>
      <c r="F383" s="105"/>
      <c r="X383" s="2"/>
    </row>
    <row r="384" spans="2:24" ht="15" thickBot="1">
      <c r="B384" s="2"/>
      <c r="D384" s="16" t="s">
        <v>724</v>
      </c>
      <c r="F384" s="105"/>
      <c r="X384" s="2"/>
    </row>
    <row r="385" spans="2:24" ht="15" thickBot="1">
      <c r="B385" s="2"/>
      <c r="D385" s="129" t="s">
        <v>727</v>
      </c>
      <c r="E385" s="279" t="s">
        <v>346</v>
      </c>
      <c r="F385" s="179">
        <v>0.93</v>
      </c>
      <c r="G385" s="193" t="s">
        <v>1753</v>
      </c>
      <c r="X385" s="2"/>
    </row>
    <row r="386" spans="2:24" ht="15" thickBot="1">
      <c r="B386" s="2"/>
      <c r="D386" s="129"/>
      <c r="F386" s="1"/>
      <c r="X386" s="2"/>
    </row>
    <row r="387" spans="2:24" ht="15" thickBot="1">
      <c r="B387" s="2"/>
      <c r="D387" s="129" t="s">
        <v>728</v>
      </c>
      <c r="E387" s="279" t="s">
        <v>346</v>
      </c>
      <c r="F387" s="179">
        <v>0.2</v>
      </c>
      <c r="G387" s="193" t="s">
        <v>1753</v>
      </c>
      <c r="X387" s="2"/>
    </row>
    <row r="388" spans="2:24" ht="15" thickBot="1">
      <c r="B388" s="2"/>
      <c r="D388" s="129"/>
      <c r="F388" s="1"/>
      <c r="X388" s="2"/>
    </row>
    <row r="389" spans="2:24" ht="15" thickBot="1">
      <c r="B389" s="2"/>
      <c r="D389" s="129" t="s">
        <v>738</v>
      </c>
      <c r="E389" s="176" t="s">
        <v>346</v>
      </c>
      <c r="F389" s="179">
        <v>0.6</v>
      </c>
      <c r="G389" s="193" t="s">
        <v>1753</v>
      </c>
      <c r="X389" s="2"/>
    </row>
    <row r="390" spans="2:24">
      <c r="B390" s="2"/>
      <c r="F390" s="105"/>
      <c r="X390" s="2"/>
    </row>
    <row r="391" spans="2:24" ht="15" thickBot="1">
      <c r="B391" s="2"/>
      <c r="D391" s="16" t="s">
        <v>183</v>
      </c>
      <c r="F391" s="105"/>
      <c r="X391" s="2"/>
    </row>
    <row r="392" spans="2:24" ht="15" thickBot="1">
      <c r="B392" s="2"/>
      <c r="D392" s="129" t="s">
        <v>1152</v>
      </c>
      <c r="E392" s="279" t="s">
        <v>346</v>
      </c>
      <c r="F392" s="179">
        <v>3.3000000000000002E-2</v>
      </c>
      <c r="G392" s="193" t="s">
        <v>1753</v>
      </c>
      <c r="X392" s="2"/>
    </row>
    <row r="393" spans="2:24" ht="15" thickBot="1">
      <c r="B393" s="2"/>
      <c r="D393" s="129"/>
      <c r="F393" s="1"/>
      <c r="X393" s="2"/>
    </row>
    <row r="394" spans="2:24" ht="15" thickBot="1">
      <c r="B394" s="2"/>
      <c r="D394" s="129" t="s">
        <v>1153</v>
      </c>
      <c r="E394" s="279" t="s">
        <v>346</v>
      </c>
      <c r="F394" s="179">
        <v>2.3E-2</v>
      </c>
      <c r="G394" s="193" t="s">
        <v>1753</v>
      </c>
      <c r="X394" s="2"/>
    </row>
    <row r="395" spans="2:24" ht="15" thickBot="1">
      <c r="B395" s="2"/>
      <c r="D395" s="129"/>
      <c r="F395" s="1"/>
      <c r="X395" s="2"/>
    </row>
    <row r="396" spans="2:24" ht="15" thickBot="1">
      <c r="B396" s="2"/>
      <c r="D396" s="129" t="s">
        <v>1154</v>
      </c>
      <c r="E396" s="279" t="s">
        <v>346</v>
      </c>
      <c r="F396" s="179">
        <f>0.003</f>
        <v>3.0000000000000001E-3</v>
      </c>
      <c r="G396" s="193" t="s">
        <v>1753</v>
      </c>
      <c r="X396" s="2"/>
    </row>
    <row r="397" spans="2:24" ht="15" thickBot="1">
      <c r="B397" s="2"/>
      <c r="D397" s="129"/>
      <c r="F397" s="1"/>
      <c r="X397" s="2"/>
    </row>
    <row r="398" spans="2:24" ht="15" thickBot="1">
      <c r="B398" s="2"/>
      <c r="D398" s="129" t="s">
        <v>1155</v>
      </c>
      <c r="E398" s="279" t="s">
        <v>346</v>
      </c>
      <c r="F398" s="179">
        <v>120</v>
      </c>
      <c r="X398" s="2"/>
    </row>
    <row r="399" spans="2:24" ht="15" thickBot="1">
      <c r="B399" s="2"/>
      <c r="D399" s="129"/>
      <c r="F399" s="1"/>
      <c r="X399" s="2"/>
    </row>
    <row r="400" spans="2:24" ht="15" thickBot="1">
      <c r="B400" s="2"/>
      <c r="D400" s="129" t="s">
        <v>1156</v>
      </c>
      <c r="E400" s="279" t="s">
        <v>346</v>
      </c>
      <c r="F400" s="179">
        <v>270</v>
      </c>
      <c r="X400" s="2"/>
    </row>
    <row r="401" spans="2:24" ht="15" thickBot="1">
      <c r="B401" s="2"/>
      <c r="D401" s="129"/>
      <c r="F401" s="1"/>
      <c r="X401" s="2"/>
    </row>
    <row r="402" spans="2:24" ht="15" thickBot="1">
      <c r="B402" s="2"/>
      <c r="D402" s="129" t="s">
        <v>1320</v>
      </c>
      <c r="E402" s="176" t="s">
        <v>346</v>
      </c>
      <c r="F402" s="179">
        <v>0.7</v>
      </c>
      <c r="G402" s="5" t="s">
        <v>1756</v>
      </c>
      <c r="X402" s="2"/>
    </row>
    <row r="403" spans="2:24">
      <c r="B403" s="2"/>
      <c r="F403" s="105"/>
      <c r="X403" s="2"/>
    </row>
    <row r="404" spans="2:24" ht="15" thickBot="1">
      <c r="B404" s="2"/>
      <c r="D404" s="186" t="s">
        <v>348</v>
      </c>
      <c r="F404" s="105"/>
      <c r="G404" s="186" t="s">
        <v>347</v>
      </c>
      <c r="O404" s="91"/>
      <c r="X404" s="2"/>
    </row>
    <row r="405" spans="2:24" ht="15" thickBot="1">
      <c r="B405" s="2"/>
      <c r="D405" s="187" t="s">
        <v>360</v>
      </c>
      <c r="E405" s="279" t="s">
        <v>346</v>
      </c>
      <c r="F405" s="179">
        <v>0.19</v>
      </c>
      <c r="G405" s="188" t="s">
        <v>363</v>
      </c>
      <c r="X405" s="2"/>
    </row>
    <row r="406" spans="2:24" ht="15" thickBot="1">
      <c r="B406" s="2"/>
      <c r="D406" s="187"/>
      <c r="F406" s="1"/>
      <c r="G406" s="188"/>
      <c r="X406" s="2"/>
    </row>
    <row r="407" spans="2:24" ht="15" thickBot="1">
      <c r="B407" s="2"/>
      <c r="D407" s="187" t="s">
        <v>361</v>
      </c>
      <c r="E407" s="279" t="s">
        <v>346</v>
      </c>
      <c r="F407" s="179">
        <v>6.5000000000000002E-2</v>
      </c>
      <c r="G407" s="188" t="s">
        <v>363</v>
      </c>
      <c r="X407" s="2"/>
    </row>
    <row r="408" spans="2:24" ht="15" thickBot="1">
      <c r="B408" s="2"/>
      <c r="D408" s="187"/>
      <c r="F408" s="1"/>
      <c r="G408" s="188"/>
      <c r="X408" s="2"/>
    </row>
    <row r="409" spans="2:24" ht="15" thickBot="1">
      <c r="B409" s="2"/>
      <c r="D409" s="187" t="s">
        <v>362</v>
      </c>
      <c r="E409" s="279" t="s">
        <v>346</v>
      </c>
      <c r="F409" s="179">
        <v>0.214</v>
      </c>
      <c r="G409" s="189" t="s">
        <v>363</v>
      </c>
      <c r="X409" s="2"/>
    </row>
    <row r="410" spans="2:24" ht="15" thickBot="1">
      <c r="B410" s="2"/>
      <c r="D410" s="187"/>
      <c r="F410" s="1"/>
      <c r="G410" s="189"/>
      <c r="X410" s="2"/>
    </row>
    <row r="411" spans="2:24" ht="15" thickBot="1">
      <c r="B411" s="2"/>
      <c r="D411" s="187" t="s">
        <v>58</v>
      </c>
      <c r="E411" s="279" t="s">
        <v>346</v>
      </c>
      <c r="F411" s="179">
        <v>5</v>
      </c>
      <c r="G411" s="189"/>
      <c r="X411" s="2"/>
    </row>
    <row r="412" spans="2:24" ht="15" thickBot="1">
      <c r="B412" s="2"/>
      <c r="D412" s="187"/>
      <c r="F412" s="1"/>
      <c r="G412" s="189"/>
      <c r="X412" s="2"/>
    </row>
    <row r="413" spans="2:24" ht="15" thickBot="1">
      <c r="B413" s="2"/>
      <c r="D413" s="187" t="s">
        <v>584</v>
      </c>
      <c r="E413" s="279" t="s">
        <v>346</v>
      </c>
      <c r="F413" s="179">
        <v>1</v>
      </c>
      <c r="G413" s="189" t="s">
        <v>363</v>
      </c>
      <c r="X413" s="2"/>
    </row>
    <row r="414" spans="2:24" ht="15" thickBot="1">
      <c r="B414" s="2"/>
      <c r="D414" s="187"/>
      <c r="F414" s="1"/>
      <c r="G414" s="189"/>
      <c r="X414" s="2"/>
    </row>
    <row r="415" spans="2:24" ht="15" thickBot="1">
      <c r="B415" s="2"/>
      <c r="D415" s="187" t="s">
        <v>585</v>
      </c>
      <c r="E415" s="279" t="s">
        <v>346</v>
      </c>
      <c r="F415" s="179">
        <v>0.88</v>
      </c>
      <c r="G415" s="189" t="s">
        <v>363</v>
      </c>
      <c r="X415" s="2"/>
    </row>
    <row r="416" spans="2:24" ht="15" thickBot="1">
      <c r="B416" s="2"/>
      <c r="D416" s="187"/>
      <c r="F416" s="1"/>
      <c r="G416" s="189"/>
      <c r="X416" s="2"/>
    </row>
    <row r="417" spans="2:24" ht="15" thickBot="1">
      <c r="B417" s="2"/>
      <c r="D417" s="187" t="s">
        <v>586</v>
      </c>
      <c r="E417" s="279" t="s">
        <v>346</v>
      </c>
      <c r="F417" s="179">
        <v>0.77</v>
      </c>
      <c r="G417" s="189" t="s">
        <v>363</v>
      </c>
      <c r="X417" s="2"/>
    </row>
    <row r="418" spans="2:24" ht="15" thickBot="1">
      <c r="B418" s="2"/>
      <c r="D418" s="187"/>
      <c r="F418" s="1"/>
      <c r="G418" s="189"/>
      <c r="X418" s="2"/>
    </row>
    <row r="419" spans="2:24" ht="15" thickBot="1">
      <c r="B419" s="2"/>
      <c r="D419" s="187" t="s">
        <v>301</v>
      </c>
      <c r="E419" s="279" t="s">
        <v>346</v>
      </c>
      <c r="F419" s="179">
        <v>0.11</v>
      </c>
      <c r="G419" s="189" t="s">
        <v>22</v>
      </c>
      <c r="X419" s="2"/>
    </row>
    <row r="420" spans="2:24" ht="15" thickBot="1">
      <c r="B420" s="2"/>
      <c r="D420" s="187"/>
      <c r="F420" s="1"/>
      <c r="G420" s="189"/>
      <c r="X420" s="2"/>
    </row>
    <row r="421" spans="2:24" ht="15" thickBot="1">
      <c r="B421" s="2"/>
      <c r="D421" s="187" t="s">
        <v>302</v>
      </c>
      <c r="E421" s="279" t="s">
        <v>346</v>
      </c>
      <c r="F421" s="179">
        <v>0.1</v>
      </c>
      <c r="G421" s="188" t="s">
        <v>22</v>
      </c>
      <c r="X421" s="2"/>
    </row>
    <row r="422" spans="2:24" ht="15" thickBot="1">
      <c r="B422" s="2"/>
      <c r="D422" s="187"/>
      <c r="F422" s="1"/>
      <c r="G422" s="188"/>
      <c r="X422" s="2"/>
    </row>
    <row r="423" spans="2:24" ht="15" thickBot="1">
      <c r="B423" s="2"/>
      <c r="D423" s="187" t="s">
        <v>963</v>
      </c>
      <c r="E423" s="279" t="s">
        <v>346</v>
      </c>
      <c r="F423" s="179">
        <v>4.0800000000000003E-3</v>
      </c>
      <c r="G423" s="188" t="s">
        <v>363</v>
      </c>
      <c r="H423" s="130" t="s">
        <v>414</v>
      </c>
      <c r="X423" s="2"/>
    </row>
    <row r="424" spans="2:24" ht="15" thickBot="1">
      <c r="B424" s="2"/>
      <c r="D424" s="187"/>
      <c r="F424" s="1"/>
      <c r="G424" s="188"/>
      <c r="H424" s="130"/>
      <c r="X424" s="2"/>
    </row>
    <row r="425" spans="2:24" ht="15" thickBot="1">
      <c r="B425" s="2"/>
      <c r="D425" s="187" t="s">
        <v>964</v>
      </c>
      <c r="E425" s="279" t="s">
        <v>346</v>
      </c>
      <c r="F425" s="179">
        <v>1.2749999999999999E-2</v>
      </c>
      <c r="G425" s="188" t="s">
        <v>363</v>
      </c>
      <c r="X425" s="2"/>
    </row>
    <row r="426" spans="2:24" ht="15" thickBot="1">
      <c r="B426" s="2"/>
      <c r="D426" s="187"/>
      <c r="F426" s="1"/>
      <c r="G426" s="188"/>
      <c r="X426" s="2"/>
    </row>
    <row r="427" spans="2:24" ht="15" thickBot="1">
      <c r="B427" s="2"/>
      <c r="D427" s="187" t="s">
        <v>965</v>
      </c>
      <c r="E427" s="279" t="s">
        <v>346</v>
      </c>
      <c r="F427" s="179">
        <v>1.0120000000000001E-2</v>
      </c>
      <c r="G427" s="188" t="s">
        <v>363</v>
      </c>
      <c r="X427" s="2"/>
    </row>
    <row r="428" spans="2:24" ht="15" thickBot="1">
      <c r="B428" s="2"/>
      <c r="D428" s="187"/>
      <c r="F428" s="1"/>
      <c r="G428" s="188"/>
      <c r="X428" s="2"/>
    </row>
    <row r="429" spans="2:24" ht="15" thickBot="1">
      <c r="B429" s="2"/>
      <c r="D429" s="187" t="s">
        <v>966</v>
      </c>
      <c r="E429" s="279" t="s">
        <v>346</v>
      </c>
      <c r="F429" s="179">
        <v>7.6999999999999996E-4</v>
      </c>
      <c r="G429" s="188" t="s">
        <v>363</v>
      </c>
      <c r="X429" s="2"/>
    </row>
    <row r="430" spans="2:24" ht="15" thickBot="1">
      <c r="B430" s="2"/>
      <c r="D430" s="187"/>
      <c r="F430" s="1"/>
      <c r="G430" s="188"/>
      <c r="X430" s="2"/>
    </row>
    <row r="431" spans="2:24" ht="15" thickBot="1">
      <c r="B431" s="2"/>
      <c r="D431" s="187" t="s">
        <v>967</v>
      </c>
      <c r="E431" s="279" t="s">
        <v>346</v>
      </c>
      <c r="F431" s="179">
        <v>5.9000000000000003E-4</v>
      </c>
      <c r="G431" s="188" t="s">
        <v>363</v>
      </c>
      <c r="X431" s="2"/>
    </row>
    <row r="432" spans="2:24" ht="15" thickBot="1">
      <c r="B432" s="2"/>
      <c r="D432" s="187"/>
      <c r="F432" s="1"/>
      <c r="G432" s="188"/>
      <c r="X432" s="2"/>
    </row>
    <row r="433" spans="2:24" ht="15" thickBot="1">
      <c r="B433" s="2"/>
      <c r="D433" s="187" t="s">
        <v>968</v>
      </c>
      <c r="E433" s="279" t="s">
        <v>346</v>
      </c>
      <c r="F433" s="179">
        <v>1.09E-3</v>
      </c>
      <c r="G433" s="188" t="s">
        <v>363</v>
      </c>
      <c r="X433" s="2"/>
    </row>
    <row r="434" spans="2:24" ht="15" thickBot="1">
      <c r="B434" s="2"/>
      <c r="D434" s="187"/>
      <c r="F434" s="1"/>
      <c r="G434" s="188"/>
      <c r="X434" s="2"/>
    </row>
    <row r="435" spans="2:24" ht="15" thickBot="1">
      <c r="B435" s="2"/>
      <c r="D435" s="187" t="s">
        <v>11</v>
      </c>
      <c r="E435" s="279" t="s">
        <v>346</v>
      </c>
      <c r="F435" s="179">
        <v>0.72</v>
      </c>
      <c r="G435" s="189" t="s">
        <v>23</v>
      </c>
      <c r="X435" s="2"/>
    </row>
    <row r="436" spans="2:24" ht="15" thickBot="1">
      <c r="B436" s="2"/>
      <c r="D436" s="187"/>
      <c r="F436" s="1"/>
      <c r="G436" s="189"/>
      <c r="X436" s="2"/>
    </row>
    <row r="437" spans="2:24" ht="15" thickBot="1">
      <c r="B437" s="2"/>
      <c r="D437" s="187" t="s">
        <v>9</v>
      </c>
      <c r="E437" s="279" t="s">
        <v>346</v>
      </c>
      <c r="F437" s="179">
        <v>23.4</v>
      </c>
      <c r="G437" s="189"/>
      <c r="X437" s="2"/>
    </row>
    <row r="438" spans="2:24" ht="15" thickBot="1">
      <c r="B438" s="2"/>
      <c r="D438" s="187"/>
      <c r="F438" s="1"/>
      <c r="G438" s="189"/>
      <c r="X438" s="2"/>
    </row>
    <row r="439" spans="2:24" ht="15" thickBot="1">
      <c r="B439" s="2"/>
      <c r="D439" s="187" t="s">
        <v>155</v>
      </c>
      <c r="E439" s="279" t="s">
        <v>346</v>
      </c>
      <c r="F439" s="179">
        <v>0.87</v>
      </c>
      <c r="G439" s="189" t="s">
        <v>156</v>
      </c>
      <c r="X439" s="2"/>
    </row>
    <row r="440" spans="2:24" ht="15" thickBot="1">
      <c r="B440" s="2"/>
      <c r="D440" s="187"/>
      <c r="F440" s="1"/>
      <c r="G440" s="189"/>
      <c r="X440" s="2"/>
    </row>
    <row r="441" spans="2:24" ht="15" thickBot="1">
      <c r="B441" s="2"/>
      <c r="D441" s="187" t="s">
        <v>839</v>
      </c>
      <c r="E441" s="279" t="s">
        <v>346</v>
      </c>
      <c r="F441" s="179">
        <v>3.1700000000000001E-3</v>
      </c>
      <c r="G441" s="188" t="s">
        <v>849</v>
      </c>
      <c r="X441" s="2"/>
    </row>
    <row r="442" spans="2:24" ht="15" thickBot="1">
      <c r="B442" s="2"/>
      <c r="D442" s="187"/>
      <c r="F442" s="1"/>
      <c r="G442" s="188"/>
      <c r="X442" s="2"/>
    </row>
    <row r="443" spans="2:24" ht="15" thickBot="1">
      <c r="B443" s="2"/>
      <c r="D443" s="187" t="s">
        <v>842</v>
      </c>
      <c r="E443" s="279" t="s">
        <v>346</v>
      </c>
      <c r="F443" s="179">
        <v>0.09</v>
      </c>
      <c r="G443" s="189"/>
      <c r="X443" s="2"/>
    </row>
    <row r="444" spans="2:24" ht="15" thickBot="1">
      <c r="B444" s="2"/>
      <c r="D444" s="187"/>
      <c r="F444" s="1"/>
      <c r="G444" s="189"/>
      <c r="X444" s="2"/>
    </row>
    <row r="445" spans="2:24" ht="15" thickBot="1">
      <c r="B445" s="2"/>
      <c r="D445" s="187" t="s">
        <v>843</v>
      </c>
      <c r="E445" s="279" t="s">
        <v>346</v>
      </c>
      <c r="F445" s="179">
        <v>1.87</v>
      </c>
      <c r="G445" s="189"/>
      <c r="X445" s="2"/>
    </row>
    <row r="446" spans="2:24" ht="15" thickBot="1">
      <c r="B446" s="2"/>
      <c r="D446" s="187"/>
      <c r="F446" s="1"/>
      <c r="G446" s="189"/>
      <c r="X446" s="2"/>
    </row>
    <row r="447" spans="2:24" ht="15" thickBot="1">
      <c r="B447" s="2"/>
      <c r="D447" s="187" t="s">
        <v>840</v>
      </c>
      <c r="E447" s="279" t="s">
        <v>346</v>
      </c>
      <c r="F447" s="179">
        <v>0.47</v>
      </c>
      <c r="G447" s="188" t="s">
        <v>848</v>
      </c>
      <c r="X447" s="2"/>
    </row>
    <row r="448" spans="2:24" ht="15" thickBot="1">
      <c r="B448" s="2"/>
      <c r="D448" s="187"/>
      <c r="F448" s="1"/>
      <c r="G448" s="188"/>
      <c r="X448" s="2"/>
    </row>
    <row r="449" spans="2:24" ht="15" thickBot="1">
      <c r="B449" s="2"/>
      <c r="D449" s="187" t="s">
        <v>841</v>
      </c>
      <c r="E449" s="279" t="s">
        <v>346</v>
      </c>
      <c r="F449" s="179">
        <f>1-F447</f>
        <v>0.53</v>
      </c>
      <c r="G449" s="189" t="s">
        <v>848</v>
      </c>
      <c r="X449" s="2"/>
    </row>
    <row r="450" spans="2:24" ht="15" thickBot="1">
      <c r="B450" s="2"/>
      <c r="D450" s="187"/>
      <c r="F450" s="1"/>
      <c r="G450" s="189"/>
      <c r="X450" s="2"/>
    </row>
    <row r="451" spans="2:24" ht="15" thickBot="1">
      <c r="B451" s="2"/>
      <c r="D451" s="187" t="s">
        <v>1057</v>
      </c>
      <c r="E451" s="279" t="s">
        <v>346</v>
      </c>
      <c r="F451" s="179">
        <f ca="1">'Parameter Inputs'!K786/3</f>
        <v>4.0149734327567659</v>
      </c>
      <c r="G451" s="189"/>
      <c r="X451" s="2"/>
    </row>
    <row r="452" spans="2:24" ht="15" thickBot="1">
      <c r="B452" s="2"/>
      <c r="D452" s="187"/>
      <c r="F452" s="1"/>
      <c r="G452" s="189"/>
      <c r="X452" s="2"/>
    </row>
    <row r="453" spans="2:24" ht="15" thickBot="1">
      <c r="B453" s="2"/>
      <c r="D453" s="187" t="s">
        <v>1058</v>
      </c>
      <c r="E453" s="279" t="s">
        <v>346</v>
      </c>
      <c r="F453" s="179">
        <v>0.79</v>
      </c>
      <c r="G453" s="189"/>
      <c r="X453" s="2"/>
    </row>
    <row r="454" spans="2:24" ht="15" thickBot="1">
      <c r="B454" s="2"/>
      <c r="D454" s="187"/>
      <c r="F454" s="1"/>
      <c r="G454" s="189"/>
      <c r="X454" s="2"/>
    </row>
    <row r="455" spans="2:24" ht="15" thickBot="1">
      <c r="B455" s="2"/>
      <c r="D455" s="187" t="s">
        <v>1059</v>
      </c>
      <c r="E455" s="279" t="s">
        <v>346</v>
      </c>
      <c r="F455" s="179">
        <v>1.66</v>
      </c>
      <c r="G455" s="189"/>
      <c r="X455" s="2"/>
    </row>
    <row r="456" spans="2:24" ht="15" thickBot="1">
      <c r="B456" s="2"/>
      <c r="D456" s="187"/>
      <c r="F456" s="1"/>
      <c r="G456" s="189"/>
      <c r="X456" s="2"/>
    </row>
    <row r="457" spans="2:24" ht="15" thickBot="1">
      <c r="B457" s="2"/>
      <c r="D457" s="187" t="s">
        <v>1060</v>
      </c>
      <c r="E457" s="279" t="s">
        <v>346</v>
      </c>
      <c r="F457" s="179">
        <f ca="1">F455/(PI()*F451)</f>
        <v>0.13160595453860469</v>
      </c>
      <c r="G457" s="189"/>
      <c r="X457" s="2"/>
    </row>
    <row r="458" spans="2:24" ht="15" thickBot="1">
      <c r="B458" s="2"/>
      <c r="D458" s="187"/>
      <c r="F458" s="1"/>
      <c r="G458" s="189"/>
      <c r="X458" s="2"/>
    </row>
    <row r="459" spans="2:24" ht="15" thickBot="1">
      <c r="B459" s="2"/>
      <c r="D459" s="187" t="s">
        <v>1062</v>
      </c>
      <c r="E459" s="279" t="s">
        <v>346</v>
      </c>
      <c r="F459" s="179">
        <v>0.9</v>
      </c>
      <c r="G459" s="189"/>
      <c r="X459" s="2"/>
    </row>
    <row r="460" spans="2:24" ht="15" thickBot="1">
      <c r="B460" s="2"/>
      <c r="D460" s="187"/>
      <c r="F460" s="1"/>
      <c r="G460" s="189"/>
      <c r="X460" s="2"/>
    </row>
    <row r="461" spans="2:24" ht="15" thickBot="1">
      <c r="B461" s="2"/>
      <c r="D461" s="187" t="s">
        <v>1061</v>
      </c>
      <c r="E461" s="279" t="s">
        <v>346</v>
      </c>
      <c r="F461" s="179">
        <f ca="1">((F453*1000*(F457^3)*(F451^5))/F459)/1000</f>
        <v>2.0874908457283747</v>
      </c>
      <c r="G461" s="189"/>
      <c r="X461" s="2"/>
    </row>
    <row r="462" spans="2:24" ht="15" thickBot="1">
      <c r="B462" s="2"/>
      <c r="D462" s="187"/>
      <c r="F462" s="1"/>
      <c r="G462" s="189"/>
      <c r="X462" s="2"/>
    </row>
    <row r="463" spans="2:24" ht="15" thickBot="1">
      <c r="B463" s="2"/>
      <c r="D463" s="187" t="s">
        <v>1249</v>
      </c>
      <c r="E463" s="279" t="s">
        <v>346</v>
      </c>
      <c r="F463" s="179">
        <f ca="1">F461*24</f>
        <v>50.09978029748099</v>
      </c>
      <c r="G463" s="189"/>
      <c r="X463" s="2"/>
    </row>
    <row r="464" spans="2:24" ht="15" thickBot="1">
      <c r="B464" s="2"/>
      <c r="D464" s="187"/>
      <c r="F464" s="1"/>
      <c r="G464" s="189"/>
      <c r="X464" s="2"/>
    </row>
    <row r="465" spans="2:24" ht="15" thickBot="1">
      <c r="B465" s="2"/>
      <c r="D465" s="187" t="s">
        <v>1250</v>
      </c>
      <c r="E465" s="176" t="s">
        <v>346</v>
      </c>
      <c r="F465" s="179">
        <f ca="1">F463*5</f>
        <v>250.49890148740496</v>
      </c>
      <c r="G465" s="189"/>
      <c r="X465" s="2"/>
    </row>
    <row r="466" spans="2:24">
      <c r="B466" s="2"/>
      <c r="F466" s="105"/>
      <c r="X466" s="2"/>
    </row>
    <row r="467" spans="2:24" ht="15" thickBot="1">
      <c r="B467" s="2"/>
      <c r="D467" s="100" t="s">
        <v>349</v>
      </c>
      <c r="F467" s="105"/>
      <c r="G467" s="100" t="s">
        <v>347</v>
      </c>
      <c r="X467" s="2"/>
    </row>
    <row r="468" spans="2:24" ht="15" thickBot="1">
      <c r="B468" s="2"/>
      <c r="D468" s="101" t="s">
        <v>306</v>
      </c>
      <c r="E468" s="279" t="s">
        <v>346</v>
      </c>
      <c r="F468" s="179">
        <v>0.93</v>
      </c>
      <c r="G468" s="193" t="s">
        <v>1753</v>
      </c>
      <c r="X468" s="2"/>
    </row>
    <row r="469" spans="2:24" ht="15" thickBot="1">
      <c r="B469" s="2"/>
      <c r="D469" s="101"/>
      <c r="F469" s="1"/>
      <c r="G469" s="101"/>
      <c r="X469" s="2"/>
    </row>
    <row r="470" spans="2:24" ht="15" thickBot="1">
      <c r="B470" s="2"/>
      <c r="D470" s="5" t="s">
        <v>11</v>
      </c>
      <c r="E470" s="279" t="s">
        <v>346</v>
      </c>
      <c r="F470" s="179">
        <v>1.88</v>
      </c>
      <c r="G470" s="131" t="s">
        <v>22</v>
      </c>
      <c r="X470" s="2"/>
    </row>
    <row r="471" spans="2:24" ht="15" thickBot="1">
      <c r="B471" s="2"/>
      <c r="F471" s="1"/>
      <c r="G471" s="131"/>
      <c r="X471" s="2"/>
    </row>
    <row r="472" spans="2:24" ht="15" thickBot="1">
      <c r="B472" s="2"/>
      <c r="D472" s="101" t="s">
        <v>355</v>
      </c>
      <c r="E472" s="176" t="s">
        <v>346</v>
      </c>
      <c r="F472" s="179">
        <v>0.3</v>
      </c>
      <c r="G472" s="190" t="s">
        <v>356</v>
      </c>
      <c r="N472" s="110"/>
      <c r="X472" s="2"/>
    </row>
    <row r="473" spans="2:24">
      <c r="B473" s="2"/>
      <c r="F473" s="105"/>
      <c r="G473" s="131"/>
      <c r="X473" s="2"/>
    </row>
    <row r="474" spans="2:24">
      <c r="B474" s="2"/>
      <c r="F474" s="105"/>
      <c r="X474" s="2"/>
    </row>
    <row r="475" spans="2:24" ht="15" thickBot="1">
      <c r="B475" s="2"/>
      <c r="D475" s="191" t="s">
        <v>350</v>
      </c>
      <c r="F475" s="105"/>
      <c r="G475" s="191" t="s">
        <v>347</v>
      </c>
      <c r="H475" s="192"/>
      <c r="X475" s="2"/>
    </row>
    <row r="476" spans="2:24" ht="15" thickBot="1">
      <c r="B476" s="2"/>
      <c r="D476" s="101" t="s">
        <v>21</v>
      </c>
      <c r="E476" s="279" t="s">
        <v>346</v>
      </c>
      <c r="F476" s="179">
        <v>0.19590593780996099</v>
      </c>
      <c r="G476" s="193" t="s">
        <v>23</v>
      </c>
      <c r="H476" s="101"/>
      <c r="X476" s="2"/>
    </row>
    <row r="477" spans="2:24" ht="15" thickBot="1">
      <c r="B477" s="2"/>
      <c r="D477" s="101"/>
      <c r="F477" s="1"/>
      <c r="G477" s="193"/>
      <c r="H477" s="101"/>
      <c r="X477" s="2"/>
    </row>
    <row r="478" spans="2:24" ht="15" thickBot="1">
      <c r="B478" s="2"/>
      <c r="D478" s="5" t="s">
        <v>591</v>
      </c>
      <c r="E478" s="279" t="s">
        <v>346</v>
      </c>
      <c r="F478" s="179">
        <v>0.54</v>
      </c>
      <c r="G478" s="130" t="s">
        <v>369</v>
      </c>
      <c r="X478" s="2"/>
    </row>
    <row r="479" spans="2:24" ht="15" thickBot="1">
      <c r="B479" s="2"/>
      <c r="F479" s="1"/>
      <c r="G479" s="130"/>
      <c r="X479" s="2"/>
    </row>
    <row r="480" spans="2:24" ht="15" thickBot="1">
      <c r="B480" s="2"/>
      <c r="D480" s="101" t="s">
        <v>590</v>
      </c>
      <c r="E480" s="279" t="s">
        <v>346</v>
      </c>
      <c r="F480" s="179">
        <v>0.36</v>
      </c>
      <c r="G480" s="193" t="s">
        <v>369</v>
      </c>
      <c r="H480" s="101"/>
      <c r="X480" s="2"/>
    </row>
    <row r="481" spans="2:24" ht="15" thickBot="1">
      <c r="B481" s="2"/>
      <c r="D481" s="101"/>
      <c r="F481" s="1"/>
      <c r="G481" s="193"/>
      <c r="H481" s="101"/>
      <c r="X481" s="2"/>
    </row>
    <row r="482" spans="2:24" ht="15" thickBot="1">
      <c r="B482" s="2"/>
      <c r="D482" s="5" t="s">
        <v>592</v>
      </c>
      <c r="E482" s="279" t="s">
        <v>346</v>
      </c>
      <c r="F482" s="179">
        <v>0.99</v>
      </c>
      <c r="G482" s="130" t="s">
        <v>369</v>
      </c>
      <c r="X482" s="2"/>
    </row>
    <row r="483" spans="2:24" ht="15" thickBot="1">
      <c r="B483" s="2"/>
      <c r="F483" s="1"/>
      <c r="G483" s="130"/>
      <c r="X483" s="2"/>
    </row>
    <row r="484" spans="2:24" ht="15" thickBot="1">
      <c r="B484" s="2"/>
      <c r="D484" s="5" t="s">
        <v>779</v>
      </c>
      <c r="E484" s="279" t="s">
        <v>346</v>
      </c>
      <c r="F484" s="179">
        <f>1-F482</f>
        <v>1.0000000000000009E-2</v>
      </c>
      <c r="G484" s="130"/>
      <c r="X484" s="2"/>
    </row>
    <row r="485" spans="2:24" ht="15" thickBot="1">
      <c r="B485" s="2"/>
      <c r="F485" s="1"/>
      <c r="G485" s="130"/>
      <c r="X485" s="2"/>
    </row>
    <row r="486" spans="2:24" ht="15" thickBot="1">
      <c r="B486" s="2"/>
      <c r="D486" s="5" t="s">
        <v>99</v>
      </c>
      <c r="E486" s="279" t="s">
        <v>346</v>
      </c>
      <c r="F486" s="179">
        <v>1000</v>
      </c>
      <c r="G486" s="131"/>
      <c r="X486" s="2"/>
    </row>
    <row r="487" spans="2:24" ht="15" thickBot="1">
      <c r="B487" s="2"/>
      <c r="F487" s="1"/>
      <c r="G487" s="131"/>
      <c r="X487" s="2"/>
    </row>
    <row r="488" spans="2:24" ht="15" thickBot="1">
      <c r="B488" s="2"/>
      <c r="D488" s="101" t="s">
        <v>104</v>
      </c>
      <c r="E488" s="279" t="s">
        <v>346</v>
      </c>
      <c r="F488" s="179">
        <v>2.5099999999999998</v>
      </c>
      <c r="G488" s="193" t="s">
        <v>23</v>
      </c>
      <c r="H488" s="101"/>
      <c r="X488" s="2"/>
    </row>
    <row r="489" spans="2:24" ht="15" thickBot="1">
      <c r="B489" s="2"/>
      <c r="D489" s="101"/>
      <c r="F489" s="1"/>
      <c r="G489" s="193"/>
      <c r="H489" s="101"/>
      <c r="X489" s="2"/>
    </row>
    <row r="490" spans="2:24" ht="15" thickBot="1">
      <c r="B490" s="2"/>
      <c r="D490" s="5" t="s">
        <v>158</v>
      </c>
      <c r="E490" s="279" t="s">
        <v>346</v>
      </c>
      <c r="F490" s="179">
        <v>0.5</v>
      </c>
      <c r="G490" s="131"/>
      <c r="X490" s="2"/>
    </row>
    <row r="491" spans="2:24" ht="15" thickBot="1">
      <c r="B491" s="2"/>
      <c r="F491" s="1"/>
      <c r="G491" s="131"/>
      <c r="X491" s="2"/>
    </row>
    <row r="492" spans="2:24" ht="15" thickBot="1">
      <c r="B492" s="2"/>
      <c r="D492" s="101" t="s">
        <v>905</v>
      </c>
      <c r="E492" s="279" t="s">
        <v>346</v>
      </c>
      <c r="F492" s="179">
        <f>(F490*24)*F494</f>
        <v>0.67200000000000004</v>
      </c>
      <c r="G492" s="193" t="s">
        <v>906</v>
      </c>
      <c r="H492" s="101"/>
      <c r="X492" s="2"/>
    </row>
    <row r="493" spans="2:24" ht="15" thickBot="1">
      <c r="B493" s="2"/>
      <c r="D493" s="101"/>
      <c r="F493" s="1"/>
      <c r="G493" s="193"/>
      <c r="H493" s="101"/>
      <c r="X493" s="2"/>
    </row>
    <row r="494" spans="2:24" ht="15" thickBot="1">
      <c r="B494" s="2"/>
      <c r="D494" s="5" t="s">
        <v>972</v>
      </c>
      <c r="E494" s="279" t="s">
        <v>346</v>
      </c>
      <c r="F494" s="179">
        <v>5.6000000000000001E-2</v>
      </c>
      <c r="G494" s="131" t="s">
        <v>22</v>
      </c>
      <c r="X494" s="2"/>
    </row>
    <row r="495" spans="2:24" ht="15" thickBot="1">
      <c r="B495" s="2"/>
      <c r="F495" s="1"/>
      <c r="G495" s="131"/>
      <c r="X495" s="2"/>
    </row>
    <row r="496" spans="2:24" ht="15" thickBot="1">
      <c r="B496" s="2"/>
      <c r="D496" s="101" t="s">
        <v>854</v>
      </c>
      <c r="E496" s="279" t="s">
        <v>346</v>
      </c>
      <c r="F496" s="179">
        <v>0.93</v>
      </c>
      <c r="G496" s="193" t="s">
        <v>855</v>
      </c>
      <c r="H496" s="101"/>
      <c r="X496" s="2"/>
    </row>
    <row r="497" spans="2:24" ht="15" thickBot="1">
      <c r="B497" s="2"/>
      <c r="D497" s="101"/>
      <c r="F497" s="1"/>
      <c r="G497" s="193"/>
      <c r="H497" s="101"/>
      <c r="X497" s="2"/>
    </row>
    <row r="498" spans="2:24" ht="15" thickBot="1">
      <c r="B498" s="2"/>
      <c r="D498" s="5" t="s">
        <v>298</v>
      </c>
      <c r="E498" s="279" t="s">
        <v>346</v>
      </c>
      <c r="F498" s="179">
        <v>3</v>
      </c>
      <c r="G498" s="130" t="s">
        <v>300</v>
      </c>
      <c r="X498" s="2"/>
    </row>
    <row r="499" spans="2:24" ht="15" thickBot="1">
      <c r="B499" s="2"/>
      <c r="F499" s="1"/>
      <c r="G499" s="130"/>
      <c r="X499" s="2"/>
    </row>
    <row r="500" spans="2:24" ht="15" thickBot="1">
      <c r="B500" s="2"/>
      <c r="D500" s="101" t="s">
        <v>364</v>
      </c>
      <c r="E500" s="279" t="s">
        <v>346</v>
      </c>
      <c r="F500" s="179">
        <v>0.03</v>
      </c>
      <c r="G500" s="193" t="s">
        <v>365</v>
      </c>
      <c r="H500" s="101"/>
      <c r="X500" s="2"/>
    </row>
    <row r="501" spans="2:24" ht="15" thickBot="1">
      <c r="B501" s="2"/>
      <c r="D501" s="101"/>
      <c r="F501" s="1"/>
      <c r="G501" s="193"/>
      <c r="H501" s="101"/>
      <c r="X501" s="2"/>
    </row>
    <row r="502" spans="2:24" ht="15" thickBot="1">
      <c r="B502" s="2"/>
      <c r="D502" s="5" t="s">
        <v>372</v>
      </c>
      <c r="E502" s="279" t="s">
        <v>346</v>
      </c>
      <c r="F502" s="179">
        <v>0.2</v>
      </c>
      <c r="G502" s="131" t="s">
        <v>369</v>
      </c>
      <c r="X502" s="2"/>
    </row>
    <row r="503" spans="2:24" ht="15" thickBot="1">
      <c r="B503" s="2"/>
      <c r="F503" s="1"/>
      <c r="G503" s="131"/>
      <c r="X503" s="2"/>
    </row>
    <row r="504" spans="2:24" ht="15" thickBot="1">
      <c r="B504" s="2"/>
      <c r="D504" s="101" t="s">
        <v>373</v>
      </c>
      <c r="E504" s="279" t="s">
        <v>346</v>
      </c>
      <c r="F504" s="179">
        <v>0.02</v>
      </c>
      <c r="G504" s="190" t="s">
        <v>369</v>
      </c>
      <c r="H504" s="101"/>
      <c r="X504" s="2"/>
    </row>
    <row r="505" spans="2:24" ht="15" thickBot="1">
      <c r="B505" s="2"/>
      <c r="D505" s="101"/>
      <c r="F505" s="1"/>
      <c r="G505" s="190"/>
      <c r="H505" s="101"/>
      <c r="X505" s="2"/>
    </row>
    <row r="506" spans="2:24" ht="15" thickBot="1">
      <c r="B506" s="2"/>
      <c r="D506" s="5" t="s">
        <v>391</v>
      </c>
      <c r="E506" s="279" t="s">
        <v>346</v>
      </c>
      <c r="F506" s="179">
        <f>1-(F504/F502)</f>
        <v>0.9</v>
      </c>
      <c r="G506" s="131"/>
      <c r="X506" s="2"/>
    </row>
    <row r="507" spans="2:24" ht="15" thickBot="1">
      <c r="B507" s="2"/>
      <c r="F507" s="1"/>
      <c r="G507" s="131"/>
      <c r="X507" s="2"/>
    </row>
    <row r="508" spans="2:24" ht="15" thickBot="1">
      <c r="B508" s="2"/>
      <c r="D508" s="101" t="s">
        <v>385</v>
      </c>
      <c r="E508" s="279" t="s">
        <v>346</v>
      </c>
      <c r="F508" s="179">
        <v>0.81</v>
      </c>
      <c r="G508" s="190" t="s">
        <v>386</v>
      </c>
      <c r="H508" s="101"/>
      <c r="X508" s="2"/>
    </row>
    <row r="509" spans="2:24" ht="15" thickBot="1">
      <c r="B509" s="2"/>
      <c r="D509" s="101"/>
      <c r="F509" s="1"/>
      <c r="G509" s="190"/>
      <c r="H509" s="101"/>
      <c r="X509" s="2"/>
    </row>
    <row r="510" spans="2:24" ht="15" thickBot="1">
      <c r="B510" s="2"/>
      <c r="D510" s="5" t="s">
        <v>388</v>
      </c>
      <c r="E510" s="279" t="s">
        <v>346</v>
      </c>
      <c r="F510" s="179">
        <f>F508*(I1678/M1676)</f>
        <v>0.87059930232558147</v>
      </c>
      <c r="G510" s="131" t="s">
        <v>386</v>
      </c>
      <c r="X510" s="2"/>
    </row>
    <row r="511" spans="2:24" ht="15" thickBot="1">
      <c r="B511" s="2"/>
      <c r="F511" s="1"/>
      <c r="G511" s="131"/>
      <c r="X511" s="2"/>
    </row>
    <row r="512" spans="2:24" ht="15" thickBot="1">
      <c r="B512" s="2"/>
      <c r="D512" s="101" t="s">
        <v>392</v>
      </c>
      <c r="E512" s="279" t="s">
        <v>346</v>
      </c>
      <c r="F512" s="179">
        <v>2.1000000000000001E-2</v>
      </c>
      <c r="G512" s="190" t="s">
        <v>393</v>
      </c>
      <c r="H512" s="101"/>
      <c r="X512" s="2"/>
    </row>
    <row r="513" spans="2:24" ht="15" thickBot="1">
      <c r="B513" s="2"/>
      <c r="D513" s="101"/>
      <c r="F513" s="1"/>
      <c r="G513" s="190"/>
      <c r="H513" s="101"/>
      <c r="X513" s="2"/>
    </row>
    <row r="514" spans="2:24" ht="15" thickBot="1">
      <c r="B514" s="2"/>
      <c r="D514" s="5" t="s">
        <v>437</v>
      </c>
      <c r="E514" s="279" t="s">
        <v>346</v>
      </c>
      <c r="F514" s="179">
        <v>0.04</v>
      </c>
      <c r="G514" s="131" t="s">
        <v>438</v>
      </c>
      <c r="X514" s="2"/>
    </row>
    <row r="515" spans="2:24" ht="15" thickBot="1">
      <c r="B515" s="2"/>
      <c r="F515" s="1"/>
      <c r="G515" s="131"/>
      <c r="X515" s="2"/>
    </row>
    <row r="516" spans="2:24" ht="15" thickBot="1">
      <c r="B516" s="2"/>
      <c r="D516" s="101" t="s">
        <v>489</v>
      </c>
      <c r="E516" s="279" t="s">
        <v>346</v>
      </c>
      <c r="F516" s="179">
        <v>0.16</v>
      </c>
      <c r="G516" s="193" t="s">
        <v>488</v>
      </c>
      <c r="H516" s="101"/>
      <c r="X516" s="2"/>
    </row>
    <row r="517" spans="2:24" ht="15" thickBot="1">
      <c r="B517" s="2"/>
      <c r="D517" s="101"/>
      <c r="F517" s="1"/>
      <c r="G517" s="193"/>
      <c r="H517" s="101"/>
      <c r="X517" s="2"/>
    </row>
    <row r="518" spans="2:24" ht="15" thickBot="1">
      <c r="B518" s="2"/>
      <c r="D518" s="5" t="s">
        <v>490</v>
      </c>
      <c r="E518" s="279" t="s">
        <v>346</v>
      </c>
      <c r="F518" s="179">
        <v>0.59</v>
      </c>
      <c r="G518" s="131"/>
      <c r="X518" s="2"/>
    </row>
    <row r="519" spans="2:24" ht="15" thickBot="1">
      <c r="B519" s="2"/>
      <c r="F519" s="1"/>
      <c r="G519" s="131"/>
      <c r="X519" s="2"/>
    </row>
    <row r="520" spans="2:24" ht="15" thickBot="1">
      <c r="B520" s="2"/>
      <c r="D520" s="101" t="s">
        <v>876</v>
      </c>
      <c r="E520" s="279" t="s">
        <v>346</v>
      </c>
      <c r="F520" s="179">
        <f>0.005</f>
        <v>5.0000000000000001E-3</v>
      </c>
      <c r="G520" s="193" t="s">
        <v>369</v>
      </c>
      <c r="H520" s="101"/>
      <c r="X520" s="2"/>
    </row>
    <row r="521" spans="2:24" ht="15" thickBot="1">
      <c r="B521" s="2"/>
      <c r="D521" s="101"/>
      <c r="F521" s="1"/>
      <c r="G521" s="193"/>
      <c r="H521" s="101"/>
      <c r="X521" s="2"/>
    </row>
    <row r="522" spans="2:24" ht="15" thickBot="1">
      <c r="B522" s="2"/>
      <c r="D522" s="5" t="s">
        <v>877</v>
      </c>
      <c r="E522" s="279" t="s">
        <v>346</v>
      </c>
      <c r="F522" s="179">
        <f>0.0016</f>
        <v>1.6000000000000001E-3</v>
      </c>
      <c r="G522" s="131" t="s">
        <v>369</v>
      </c>
      <c r="X522" s="2"/>
    </row>
    <row r="523" spans="2:24" ht="15" thickBot="1">
      <c r="B523" s="2"/>
      <c r="F523" s="1"/>
      <c r="G523" s="131"/>
      <c r="X523" s="2"/>
    </row>
    <row r="524" spans="2:24" ht="15" thickBot="1">
      <c r="B524" s="2"/>
      <c r="D524" s="101" t="s">
        <v>1014</v>
      </c>
      <c r="E524" s="279" t="s">
        <v>346</v>
      </c>
      <c r="F524" s="179">
        <f ca="1">('Parameter Inputs'!E1110-(('Parameter Inputs'!E1110*(1-'Parameter Inputs'!F482))+'Parameter Inputs'!H1106))/('Parameter Inputs'!E1110*'Parameter Inputs'!F482)</f>
        <v>0.46</v>
      </c>
      <c r="G524" s="193" t="s">
        <v>1753</v>
      </c>
      <c r="H524" s="101"/>
      <c r="X524" s="2"/>
    </row>
    <row r="525" spans="2:24" ht="15" thickBot="1">
      <c r="B525" s="2"/>
      <c r="D525" s="101"/>
      <c r="F525" s="1"/>
      <c r="G525" s="193"/>
      <c r="H525" s="101"/>
      <c r="X525" s="2"/>
    </row>
    <row r="526" spans="2:24" ht="15" thickBot="1">
      <c r="B526" s="2"/>
      <c r="D526" s="5" t="s">
        <v>1015</v>
      </c>
      <c r="E526" s="279" t="s">
        <v>346</v>
      </c>
      <c r="F526" s="179">
        <f ca="1">F524+'Parameter Inputs'!F478</f>
        <v>1</v>
      </c>
      <c r="G526" s="131" t="s">
        <v>1753</v>
      </c>
      <c r="X526" s="2"/>
    </row>
    <row r="527" spans="2:24" ht="15" thickBot="1">
      <c r="B527" s="2"/>
      <c r="F527" s="1"/>
      <c r="G527" s="131"/>
      <c r="X527" s="2"/>
    </row>
    <row r="528" spans="2:24" ht="15" thickBot="1">
      <c r="B528" s="2"/>
      <c r="D528" s="101" t="s">
        <v>1017</v>
      </c>
      <c r="E528" s="176" t="s">
        <v>346</v>
      </c>
      <c r="F528" s="179">
        <v>1.38</v>
      </c>
      <c r="G528" s="193" t="s">
        <v>1018</v>
      </c>
      <c r="H528" s="101"/>
      <c r="X528" s="2"/>
    </row>
    <row r="529" spans="2:24">
      <c r="B529" s="2"/>
      <c r="F529" s="1"/>
      <c r="G529" s="131"/>
      <c r="X529" s="2"/>
    </row>
    <row r="530" spans="2:24">
      <c r="B530" s="2"/>
      <c r="F530" s="105"/>
      <c r="X530" s="2"/>
    </row>
    <row r="531" spans="2:24" ht="15" thickBot="1">
      <c r="B531" s="2"/>
      <c r="D531" s="191" t="s">
        <v>25</v>
      </c>
      <c r="F531" s="105"/>
      <c r="G531" s="191" t="s">
        <v>347</v>
      </c>
      <c r="H531" s="192"/>
      <c r="I531" s="192"/>
      <c r="J531" s="192"/>
      <c r="X531" s="2"/>
    </row>
    <row r="532" spans="2:24" ht="15" thickBot="1">
      <c r="B532" s="2"/>
      <c r="D532" s="101" t="s">
        <v>26</v>
      </c>
      <c r="E532" s="279" t="s">
        <v>346</v>
      </c>
      <c r="F532" s="179">
        <f>1-F476</f>
        <v>0.80409406219003898</v>
      </c>
      <c r="G532" s="193"/>
      <c r="H532" s="101"/>
      <c r="I532" s="101"/>
      <c r="J532" s="101"/>
      <c r="X532" s="2"/>
    </row>
    <row r="533" spans="2:24" ht="15" thickBot="1">
      <c r="B533" s="2"/>
      <c r="D533" s="101"/>
      <c r="F533" s="1"/>
      <c r="G533" s="193"/>
      <c r="H533" s="101"/>
      <c r="I533" s="101"/>
      <c r="J533" s="101"/>
      <c r="X533" s="2"/>
    </row>
    <row r="534" spans="2:24" ht="15" thickBot="1">
      <c r="B534" s="2"/>
      <c r="D534" s="5" t="s">
        <v>436</v>
      </c>
      <c r="E534" s="279" t="s">
        <v>346</v>
      </c>
      <c r="F534" s="179">
        <v>2</v>
      </c>
      <c r="G534" s="131" t="s">
        <v>369</v>
      </c>
      <c r="X534" s="2"/>
    </row>
    <row r="535" spans="2:24" ht="15" thickBot="1">
      <c r="B535" s="2"/>
      <c r="F535" s="1"/>
      <c r="G535" s="131"/>
      <c r="X535" s="2"/>
    </row>
    <row r="536" spans="2:24" ht="15" thickBot="1">
      <c r="B536" s="2"/>
      <c r="D536" s="101" t="s">
        <v>850</v>
      </c>
      <c r="E536" s="279" t="s">
        <v>346</v>
      </c>
      <c r="F536" s="179">
        <v>0.9</v>
      </c>
      <c r="G536" s="190" t="s">
        <v>299</v>
      </c>
      <c r="H536" s="101"/>
      <c r="I536" s="101"/>
      <c r="J536" s="101"/>
      <c r="X536" s="2"/>
    </row>
    <row r="537" spans="2:24" ht="15" thickBot="1">
      <c r="B537" s="2"/>
      <c r="D537" s="101"/>
      <c r="F537" s="1"/>
      <c r="G537" s="190"/>
      <c r="H537" s="101"/>
      <c r="I537" s="101"/>
      <c r="J537" s="101"/>
      <c r="X537" s="2"/>
    </row>
    <row r="538" spans="2:24" ht="15" thickBot="1">
      <c r="B538" s="2"/>
      <c r="D538" s="5" t="s">
        <v>851</v>
      </c>
      <c r="E538" s="279" t="s">
        <v>346</v>
      </c>
      <c r="F538" s="179">
        <v>0.21</v>
      </c>
      <c r="G538" s="130" t="s">
        <v>910</v>
      </c>
      <c r="I538" s="132"/>
      <c r="X538" s="2"/>
    </row>
    <row r="539" spans="2:24" ht="15" thickBot="1">
      <c r="B539" s="2"/>
      <c r="F539" s="1"/>
      <c r="G539" s="130"/>
      <c r="I539" s="132"/>
      <c r="X539" s="2"/>
    </row>
    <row r="540" spans="2:24" ht="15" thickBot="1">
      <c r="B540" s="2"/>
      <c r="D540" s="101" t="s">
        <v>852</v>
      </c>
      <c r="E540" s="279" t="s">
        <v>346</v>
      </c>
      <c r="F540" s="179">
        <v>0.41</v>
      </c>
      <c r="G540" s="190" t="s">
        <v>910</v>
      </c>
      <c r="H540" s="101"/>
      <c r="I540" s="101"/>
      <c r="J540" s="101"/>
      <c r="X540" s="2"/>
    </row>
    <row r="541" spans="2:24" ht="15" thickBot="1">
      <c r="B541" s="2"/>
      <c r="D541" s="101"/>
      <c r="F541" s="1"/>
      <c r="G541" s="190"/>
      <c r="H541" s="101"/>
      <c r="I541" s="101"/>
      <c r="J541" s="101"/>
      <c r="X541" s="2"/>
    </row>
    <row r="542" spans="2:24" ht="15" thickBot="1">
      <c r="B542" s="2"/>
      <c r="D542" s="5" t="s">
        <v>100</v>
      </c>
      <c r="E542" s="279" t="s">
        <v>346</v>
      </c>
      <c r="F542" s="179">
        <v>0.45</v>
      </c>
      <c r="G542" s="131" t="s">
        <v>30</v>
      </c>
      <c r="X542" s="2"/>
    </row>
    <row r="543" spans="2:24" ht="15" thickBot="1">
      <c r="B543" s="2"/>
      <c r="F543" s="1"/>
      <c r="G543" s="131"/>
      <c r="X543" s="2"/>
    </row>
    <row r="544" spans="2:24" ht="15" thickBot="1">
      <c r="B544" s="2"/>
      <c r="D544" s="101" t="s">
        <v>55</v>
      </c>
      <c r="E544" s="279" t="s">
        <v>346</v>
      </c>
      <c r="F544" s="179">
        <v>0.25</v>
      </c>
      <c r="G544" s="193"/>
      <c r="H544" s="101"/>
      <c r="I544" s="101"/>
      <c r="J544" s="101"/>
      <c r="X544" s="2"/>
    </row>
    <row r="545" spans="2:24" ht="15" thickBot="1">
      <c r="B545" s="2"/>
      <c r="D545" s="101"/>
      <c r="F545" s="1"/>
      <c r="G545" s="193"/>
      <c r="H545" s="101"/>
      <c r="I545" s="101"/>
      <c r="J545" s="101"/>
      <c r="X545" s="2"/>
    </row>
    <row r="546" spans="2:24" ht="15" thickBot="1">
      <c r="B546" s="2"/>
      <c r="D546" s="5" t="s">
        <v>104</v>
      </c>
      <c r="E546" s="279" t="s">
        <v>346</v>
      </c>
      <c r="F546" s="179">
        <v>2.4</v>
      </c>
      <c r="G546" s="131"/>
      <c r="X546" s="2"/>
    </row>
    <row r="547" spans="2:24" ht="15" thickBot="1">
      <c r="B547" s="2"/>
      <c r="F547" s="1"/>
      <c r="G547" s="131"/>
      <c r="X547" s="2"/>
    </row>
    <row r="548" spans="2:24" ht="15" thickBot="1">
      <c r="B548" s="2"/>
      <c r="D548" s="101" t="s">
        <v>1020</v>
      </c>
      <c r="E548" s="279" t="s">
        <v>346</v>
      </c>
      <c r="F548" s="179">
        <f ca="1">IFERROR(('Parameter Inputs'!K1108-(('Parameter Inputs'!K1108*(1-'Parameter Inputs'!F536))+'Parameter Inputs'!N1111+('Parameter Inputs'!N1109*1.42)))/('Parameter Inputs'!K1108*'Parameter Inputs'!F536),0)</f>
        <v>0.19569919436006694</v>
      </c>
      <c r="G548" s="193"/>
      <c r="H548" s="101"/>
      <c r="I548" s="101"/>
      <c r="J548" s="101"/>
      <c r="X548" s="2"/>
    </row>
    <row r="549" spans="2:24" ht="15" thickBot="1">
      <c r="B549" s="2"/>
      <c r="D549" s="101"/>
      <c r="F549" s="1"/>
      <c r="G549" s="193"/>
      <c r="H549" s="101"/>
      <c r="I549" s="101"/>
      <c r="J549" s="101"/>
      <c r="X549" s="2"/>
    </row>
    <row r="550" spans="2:24" ht="15" thickBot="1">
      <c r="B550" s="2"/>
      <c r="D550" s="5" t="s">
        <v>1021</v>
      </c>
      <c r="E550" s="279" t="s">
        <v>346</v>
      </c>
      <c r="F550" s="179">
        <f ca="1">F548+F538+F540</f>
        <v>0.81569919436006688</v>
      </c>
      <c r="G550" s="131"/>
      <c r="X550" s="2"/>
    </row>
    <row r="551" spans="2:24" ht="15" thickBot="1">
      <c r="B551" s="2"/>
      <c r="F551" s="1"/>
      <c r="G551" s="131"/>
      <c r="X551" s="2"/>
    </row>
    <row r="552" spans="2:24" ht="15" thickBot="1">
      <c r="B552" s="2"/>
      <c r="D552" s="101" t="s">
        <v>1017</v>
      </c>
      <c r="E552" s="176" t="s">
        <v>346</v>
      </c>
      <c r="F552" s="179">
        <v>1.38</v>
      </c>
      <c r="G552" s="193"/>
      <c r="H552" s="101"/>
      <c r="I552" s="101"/>
      <c r="J552" s="101"/>
      <c r="X552" s="2"/>
    </row>
    <row r="553" spans="2:24">
      <c r="B553" s="2"/>
      <c r="F553" s="1"/>
      <c r="X553" s="2"/>
    </row>
    <row r="554" spans="2:24" ht="15" thickBot="1">
      <c r="B554" s="2"/>
      <c r="D554" s="191" t="s">
        <v>426</v>
      </c>
      <c r="F554" s="283" t="s">
        <v>12</v>
      </c>
      <c r="G554" s="191" t="s">
        <v>173</v>
      </c>
      <c r="H554" s="191" t="s">
        <v>174</v>
      </c>
      <c r="X554" s="2"/>
    </row>
    <row r="555" spans="2:24" ht="15" thickBot="1">
      <c r="B555" s="2"/>
      <c r="D555" s="101" t="s">
        <v>175</v>
      </c>
      <c r="E555" s="279" t="s">
        <v>346</v>
      </c>
      <c r="F555" s="179">
        <v>100</v>
      </c>
      <c r="G555" s="201">
        <v>2.9563317012578141</v>
      </c>
      <c r="H555" s="201">
        <v>0.31841912592598987</v>
      </c>
      <c r="X555" s="2"/>
    </row>
    <row r="556" spans="2:24" ht="15" thickBot="1">
      <c r="B556" s="2"/>
      <c r="D556" s="101"/>
      <c r="F556" s="1"/>
      <c r="G556" s="108"/>
      <c r="H556" s="108"/>
      <c r="X556" s="2"/>
    </row>
    <row r="557" spans="2:24" ht="15" thickBot="1">
      <c r="B557" s="2"/>
      <c r="D557" s="5" t="s">
        <v>176</v>
      </c>
      <c r="E557" s="176" t="s">
        <v>346</v>
      </c>
      <c r="F557" s="179">
        <f ca="1">'Parameter Inputs'!E1110</f>
        <v>3243.7461016588859</v>
      </c>
      <c r="G557" s="105">
        <f ca="1">'Parameter Inputs'!E1118</f>
        <v>95.895884583176141</v>
      </c>
      <c r="H557" s="105">
        <f ca="1">'Parameter Inputs'!E1119</f>
        <v>10.328706936330237</v>
      </c>
      <c r="X557" s="2"/>
    </row>
    <row r="558" spans="2:24">
      <c r="B558" s="2"/>
      <c r="F558" s="1"/>
      <c r="G558" s="105"/>
      <c r="H558" s="105"/>
      <c r="X558" s="2"/>
    </row>
    <row r="559" spans="2:24">
      <c r="B559" s="2"/>
      <c r="D559" s="101" t="s">
        <v>176</v>
      </c>
      <c r="F559" s="105">
        <v>100</v>
      </c>
      <c r="G559" s="108">
        <f ca="1">G557*('Parameter Inputs'!$F559/F557)</f>
        <v>2.9563314013428479</v>
      </c>
      <c r="H559" s="108">
        <f ca="1">H557*('Parameter Inputs'!$F559/F557)</f>
        <v>0.31841909362289567</v>
      </c>
      <c r="X559" s="2"/>
    </row>
    <row r="560" spans="2:24">
      <c r="B560" s="2"/>
      <c r="D560" s="101"/>
      <c r="F560" s="105"/>
      <c r="G560" s="108"/>
      <c r="H560" s="108"/>
      <c r="X560" s="2"/>
    </row>
    <row r="561" spans="2:24">
      <c r="B561" s="2"/>
      <c r="D561" s="5" t="s">
        <v>177</v>
      </c>
      <c r="F561" s="105">
        <f ca="1">IF(G561/F557&gt;(G555/F555),G561*(F555/G555),F557)</f>
        <v>3243.7461016588859</v>
      </c>
      <c r="G561" s="105">
        <f ca="1">IF((G557/H557)&lt;G555/H555,H557*(G555/H555),G557)</f>
        <v>95.895884583176141</v>
      </c>
      <c r="H561" s="105">
        <f ca="1">H557</f>
        <v>10.328706936330237</v>
      </c>
      <c r="X561" s="2"/>
    </row>
    <row r="562" spans="2:24">
      <c r="B562" s="2"/>
      <c r="F562" s="105"/>
      <c r="G562" s="105"/>
      <c r="H562" s="105"/>
      <c r="X562" s="2"/>
    </row>
    <row r="563" spans="2:24">
      <c r="B563" s="2"/>
      <c r="D563" s="101" t="s">
        <v>429</v>
      </c>
      <c r="F563" s="105">
        <v>0</v>
      </c>
      <c r="G563" s="101">
        <v>0</v>
      </c>
      <c r="H563" s="101">
        <v>0</v>
      </c>
      <c r="X563" s="2"/>
    </row>
    <row r="564" spans="2:24">
      <c r="B564" s="2"/>
      <c r="D564" s="101"/>
      <c r="F564" s="105"/>
      <c r="G564" s="101"/>
      <c r="H564" s="101"/>
      <c r="X564" s="2"/>
    </row>
    <row r="565" spans="2:24">
      <c r="B565" s="2"/>
      <c r="D565" s="5" t="s">
        <v>484</v>
      </c>
      <c r="F565" s="105">
        <f>F563*G1665</f>
        <v>0</v>
      </c>
      <c r="G565" s="5">
        <f>G563/G1683</f>
        <v>0</v>
      </c>
      <c r="H565" s="5">
        <f>H563/197</f>
        <v>0</v>
      </c>
      <c r="X565" s="2"/>
    </row>
    <row r="566" spans="2:24">
      <c r="B566" s="2"/>
      <c r="F566" s="105"/>
      <c r="X566" s="2"/>
    </row>
    <row r="567" spans="2:24">
      <c r="B567" s="2"/>
      <c r="D567" s="101" t="s">
        <v>632</v>
      </c>
      <c r="F567" s="105">
        <f>F563/1050</f>
        <v>0</v>
      </c>
      <c r="G567" s="101">
        <f>G565/1530</f>
        <v>0</v>
      </c>
      <c r="H567" s="101">
        <f>H565/2340</f>
        <v>0</v>
      </c>
      <c r="X567" s="2"/>
    </row>
    <row r="568" spans="2:24">
      <c r="B568" s="2"/>
      <c r="F568" s="105"/>
      <c r="X568" s="2"/>
    </row>
    <row r="569" spans="2:24">
      <c r="B569" s="2"/>
      <c r="F569" s="105"/>
      <c r="X569" s="2"/>
    </row>
    <row r="570" spans="2:24" ht="15" thickBot="1">
      <c r="B570" s="2"/>
      <c r="D570" s="191" t="s">
        <v>1063</v>
      </c>
      <c r="F570" s="282" t="s">
        <v>12</v>
      </c>
      <c r="G570" s="191" t="s">
        <v>173</v>
      </c>
      <c r="H570" s="191" t="s">
        <v>174</v>
      </c>
      <c r="I570" s="191" t="s">
        <v>347</v>
      </c>
      <c r="X570" s="2"/>
    </row>
    <row r="571" spans="2:24" ht="15" thickBot="1">
      <c r="B571" s="2"/>
      <c r="D571" s="5" t="s">
        <v>427</v>
      </c>
      <c r="E571" s="279" t="s">
        <v>346</v>
      </c>
      <c r="F571" s="179">
        <v>100</v>
      </c>
      <c r="G571" s="174">
        <v>4.5</v>
      </c>
      <c r="H571" s="174">
        <v>0.5</v>
      </c>
      <c r="I571" s="131" t="s">
        <v>428</v>
      </c>
      <c r="X571" s="2"/>
    </row>
    <row r="572" spans="2:24" ht="15" thickBot="1">
      <c r="B572" s="2"/>
      <c r="F572" s="1"/>
      <c r="I572" s="131"/>
      <c r="X572" s="2"/>
    </row>
    <row r="573" spans="2:24" ht="15" thickBot="1">
      <c r="B573" s="2"/>
      <c r="D573" s="101" t="s">
        <v>596</v>
      </c>
      <c r="E573" s="279" t="s">
        <v>346</v>
      </c>
      <c r="F573" s="179">
        <f ca="1">'Parameter Inputs'!K1083*'Parameter Inputs'!K1106</f>
        <v>13313.92508442578</v>
      </c>
      <c r="G573" s="108">
        <f ca="1">'Parameter Inputs'!K1088*'Parameter Inputs'!K1106</f>
        <v>393.60374802214164</v>
      </c>
      <c r="H573" s="108">
        <f ca="1">'Parameter Inputs'!K1106*'Parameter Inputs'!K1089</f>
        <v>42.39407957945992</v>
      </c>
      <c r="I573" s="101"/>
      <c r="X573" s="2"/>
    </row>
    <row r="574" spans="2:24">
      <c r="B574" s="2"/>
      <c r="D574" s="101"/>
      <c r="F574" s="1"/>
      <c r="G574" s="108"/>
      <c r="H574" s="108"/>
      <c r="I574" s="101"/>
      <c r="X574" s="2"/>
    </row>
    <row r="575" spans="2:24">
      <c r="B575" s="2"/>
      <c r="D575" s="5" t="s">
        <v>909</v>
      </c>
      <c r="F575" s="105">
        <v>100</v>
      </c>
      <c r="G575" s="105">
        <f ca="1">G573*('Parameter Inputs'!$F575/F573)</f>
        <v>2.9563314013428483</v>
      </c>
      <c r="H575" s="105">
        <f ca="1">H573*('Parameter Inputs'!$F575/F573)</f>
        <v>0.31841909362289572</v>
      </c>
      <c r="X575" s="2"/>
    </row>
    <row r="576" spans="2:24">
      <c r="B576" s="2"/>
      <c r="F576" s="105"/>
      <c r="G576" s="105"/>
      <c r="H576" s="105"/>
      <c r="X576" s="2"/>
    </row>
    <row r="577" spans="2:24">
      <c r="B577" s="2"/>
      <c r="D577" s="101" t="s">
        <v>597</v>
      </c>
      <c r="F577" s="105">
        <f ca="1">IF(F573/H573&lt;F571/H571,H573*(F571/H571),IF(G573/F573&gt;G571/F571,G573*(F571/G571),F573))</f>
        <v>13313.92508442578</v>
      </c>
      <c r="G577" s="108">
        <f ca="1">IF(G573/F577&gt;G571/F571,F577*(G571/F571),G573)</f>
        <v>393.60374802214164</v>
      </c>
      <c r="H577" s="108">
        <f ca="1">H573</f>
        <v>42.39407957945992</v>
      </c>
      <c r="I577" s="101"/>
      <c r="X577" s="2"/>
    </row>
    <row r="578" spans="2:24">
      <c r="B578" s="2"/>
      <c r="D578" s="101"/>
      <c r="F578" s="105"/>
      <c r="G578" s="108"/>
      <c r="H578" s="108"/>
      <c r="I578" s="101"/>
      <c r="X578" s="2"/>
    </row>
    <row r="579" spans="2:24">
      <c r="B579" s="2"/>
      <c r="D579" s="5" t="s">
        <v>429</v>
      </c>
      <c r="F579" s="105">
        <f ca="1">F577-F573</f>
        <v>0</v>
      </c>
      <c r="G579" s="5">
        <f ca="1">G577-G573</f>
        <v>0</v>
      </c>
      <c r="H579" s="5">
        <f ca="1">H577-H573</f>
        <v>0</v>
      </c>
      <c r="X579" s="2"/>
    </row>
    <row r="580" spans="2:24">
      <c r="B580" s="2"/>
      <c r="F580" s="105"/>
      <c r="X580" s="2"/>
    </row>
    <row r="581" spans="2:24">
      <c r="B581" s="2"/>
      <c r="D581" s="101" t="s">
        <v>484</v>
      </c>
      <c r="F581" s="105">
        <f ca="1">F579*G1665</f>
        <v>0</v>
      </c>
      <c r="G581" s="101">
        <f ca="1">G579/G1683</f>
        <v>0</v>
      </c>
      <c r="H581" s="101">
        <f ca="1">H579/G1684</f>
        <v>0</v>
      </c>
      <c r="I581" s="101"/>
      <c r="X581" s="2"/>
    </row>
    <row r="582" spans="2:24">
      <c r="B582" s="2"/>
      <c r="D582" s="101"/>
      <c r="F582" s="105"/>
      <c r="G582" s="101"/>
      <c r="H582" s="101"/>
      <c r="I582" s="101"/>
      <c r="X582" s="2"/>
    </row>
    <row r="583" spans="2:24">
      <c r="B583" s="2"/>
      <c r="D583" s="5" t="s">
        <v>633</v>
      </c>
      <c r="F583" s="105">
        <f ca="1">F581/1050</f>
        <v>0</v>
      </c>
      <c r="G583" s="5">
        <f ca="1">G581/1530</f>
        <v>0</v>
      </c>
      <c r="H583" s="5">
        <f ca="1">H581/2340</f>
        <v>0</v>
      </c>
      <c r="X583" s="2"/>
    </row>
    <row r="584" spans="2:24">
      <c r="B584" s="2"/>
      <c r="F584" s="1"/>
      <c r="X584" s="2"/>
    </row>
    <row r="585" spans="2:24">
      <c r="B585" s="2"/>
      <c r="F585" s="105"/>
      <c r="X585" s="2"/>
    </row>
    <row r="586" spans="2:24" ht="15" thickBot="1">
      <c r="B586" s="2"/>
      <c r="D586" s="100" t="s">
        <v>33</v>
      </c>
      <c r="F586" s="105"/>
      <c r="G586" s="100" t="s">
        <v>347</v>
      </c>
      <c r="X586" s="2"/>
    </row>
    <row r="587" spans="2:24" ht="15" thickBot="1">
      <c r="B587" s="2"/>
      <c r="D587" s="101" t="s">
        <v>36</v>
      </c>
      <c r="E587" s="279" t="s">
        <v>346</v>
      </c>
      <c r="F587" s="179">
        <v>0.93</v>
      </c>
      <c r="G587" s="101"/>
      <c r="X587" s="2"/>
    </row>
    <row r="588" spans="2:24" ht="15" thickBot="1">
      <c r="B588" s="2"/>
      <c r="D588" s="101"/>
      <c r="F588" s="1"/>
      <c r="G588" s="101"/>
      <c r="X588" s="2"/>
    </row>
    <row r="589" spans="2:24" ht="15" thickBot="1">
      <c r="B589" s="2"/>
      <c r="D589" s="5" t="s">
        <v>38</v>
      </c>
      <c r="E589" s="279" t="s">
        <v>346</v>
      </c>
      <c r="F589" s="179">
        <f ca="1">'Parameter Inputs'!K1134/'Parameter Inputs'!K1130</f>
        <v>2.6805860281478248E-3</v>
      </c>
      <c r="X589" s="2"/>
    </row>
    <row r="590" spans="2:24" ht="15" thickBot="1">
      <c r="B590" s="2"/>
      <c r="F590" s="1"/>
      <c r="X590" s="2"/>
    </row>
    <row r="591" spans="2:24" ht="15" thickBot="1">
      <c r="B591" s="2"/>
      <c r="D591" s="101" t="s">
        <v>367</v>
      </c>
      <c r="E591" s="279" t="s">
        <v>346</v>
      </c>
      <c r="F591" s="179">
        <v>0.3</v>
      </c>
      <c r="G591" s="313" t="s">
        <v>1754</v>
      </c>
      <c r="X591" s="2"/>
    </row>
    <row r="592" spans="2:24" ht="15" thickBot="1">
      <c r="B592" s="2"/>
      <c r="D592" s="101"/>
      <c r="F592" s="1"/>
      <c r="G592" s="193"/>
      <c r="X592" s="2"/>
    </row>
    <row r="593" spans="2:24" ht="15" thickBot="1">
      <c r="B593" s="2"/>
      <c r="D593" s="5" t="s">
        <v>1618</v>
      </c>
      <c r="E593" s="279" t="s">
        <v>346</v>
      </c>
      <c r="F593" s="179">
        <v>1.88</v>
      </c>
      <c r="G593" s="313" t="s">
        <v>1754</v>
      </c>
      <c r="X593" s="2"/>
    </row>
    <row r="594" spans="2:24">
      <c r="B594" s="2"/>
      <c r="F594" s="1"/>
      <c r="X594" s="2"/>
    </row>
    <row r="595" spans="2:24">
      <c r="B595" s="2"/>
      <c r="D595" s="100" t="s">
        <v>105</v>
      </c>
      <c r="F595" s="1"/>
      <c r="G595" s="100" t="s">
        <v>347</v>
      </c>
      <c r="X595" s="2"/>
    </row>
    <row r="596" spans="2:24" ht="15" thickBot="1">
      <c r="B596" s="2"/>
      <c r="D596" s="100"/>
      <c r="F596" s="1"/>
      <c r="G596" s="100"/>
      <c r="X596" s="2"/>
    </row>
    <row r="597" spans="2:24" ht="15" thickBot="1">
      <c r="B597" s="2"/>
      <c r="D597" s="101" t="s">
        <v>43</v>
      </c>
      <c r="E597" s="279" t="s">
        <v>346</v>
      </c>
      <c r="F597" s="179">
        <v>0.3</v>
      </c>
      <c r="G597" s="313" t="s">
        <v>1754</v>
      </c>
      <c r="X597" s="2"/>
    </row>
    <row r="598" spans="2:24" ht="15" thickBot="1">
      <c r="B598" s="2"/>
      <c r="D598" s="101"/>
      <c r="F598" s="1"/>
      <c r="G598" s="101"/>
      <c r="X598" s="2"/>
    </row>
    <row r="599" spans="2:24" ht="15" thickBot="1">
      <c r="B599" s="2"/>
      <c r="D599" s="5" t="s">
        <v>42</v>
      </c>
      <c r="E599" s="279" t="s">
        <v>346</v>
      </c>
      <c r="F599" s="179">
        <v>0.9</v>
      </c>
      <c r="G599" s="313" t="s">
        <v>1754</v>
      </c>
      <c r="X599" s="2"/>
    </row>
    <row r="600" spans="2:24" ht="15" thickBot="1">
      <c r="B600" s="2"/>
      <c r="F600" s="1"/>
      <c r="X600" s="2"/>
    </row>
    <row r="601" spans="2:24" ht="15" thickBot="1">
      <c r="B601" s="2"/>
      <c r="D601" s="101" t="s">
        <v>47</v>
      </c>
      <c r="E601" s="279" t="s">
        <v>346</v>
      </c>
      <c r="F601" s="180">
        <f ca="1">'Parameter Inputs'!N1132/'Parameter Inputs'!N1129</f>
        <v>0.13117728188785979</v>
      </c>
      <c r="G601" s="101"/>
      <c r="X601" s="2"/>
    </row>
    <row r="602" spans="2:24" ht="15" thickBot="1">
      <c r="B602" s="2"/>
      <c r="D602" s="101"/>
      <c r="F602" s="1"/>
      <c r="G602" s="101"/>
      <c r="X602" s="2"/>
    </row>
    <row r="603" spans="2:24" ht="15" thickBot="1">
      <c r="B603" s="2"/>
      <c r="D603" s="5" t="s">
        <v>56</v>
      </c>
      <c r="E603" s="279" t="s">
        <v>346</v>
      </c>
      <c r="F603" s="179">
        <f>1-F597</f>
        <v>0.7</v>
      </c>
      <c r="X603" s="2"/>
    </row>
    <row r="604" spans="2:24" ht="15" thickBot="1">
      <c r="B604" s="2"/>
      <c r="F604" s="1"/>
      <c r="X604" s="2"/>
    </row>
    <row r="605" spans="2:24" ht="15" thickBot="1">
      <c r="B605" s="2"/>
      <c r="D605" s="101" t="s">
        <v>57</v>
      </c>
      <c r="E605" s="279" t="s">
        <v>346</v>
      </c>
      <c r="F605" s="179">
        <f>1-F599</f>
        <v>9.9999999999999978E-2</v>
      </c>
      <c r="G605" s="101"/>
      <c r="X605" s="2"/>
    </row>
    <row r="606" spans="2:24" ht="15" thickBot="1">
      <c r="B606" s="2"/>
      <c r="D606" s="101"/>
      <c r="F606" s="1"/>
      <c r="G606" s="101"/>
      <c r="X606" s="2"/>
    </row>
    <row r="607" spans="2:24" ht="15" thickBot="1">
      <c r="B607" s="2"/>
      <c r="D607" s="5" t="s">
        <v>106</v>
      </c>
      <c r="E607" s="176" t="s">
        <v>346</v>
      </c>
      <c r="F607" s="179">
        <v>0.30959999999999999</v>
      </c>
      <c r="G607" s="5" t="s">
        <v>924</v>
      </c>
      <c r="X607" s="2"/>
    </row>
    <row r="608" spans="2:24">
      <c r="B608" s="2"/>
      <c r="F608" s="1"/>
      <c r="X608" s="2"/>
    </row>
    <row r="609" spans="2:24">
      <c r="B609" s="2"/>
      <c r="D609" s="100" t="s">
        <v>44</v>
      </c>
      <c r="F609" s="105"/>
      <c r="G609" s="100" t="s">
        <v>347</v>
      </c>
      <c r="H609" s="100"/>
      <c r="X609" s="2"/>
    </row>
    <row r="610" spans="2:24" ht="15" thickBot="1">
      <c r="B610" s="2"/>
      <c r="D610" s="100"/>
      <c r="F610" s="1"/>
      <c r="G610" s="100"/>
      <c r="H610" s="100"/>
      <c r="X610" s="2"/>
    </row>
    <row r="611" spans="2:24" ht="15" thickBot="1">
      <c r="B611" s="2"/>
      <c r="D611" s="101" t="s">
        <v>770</v>
      </c>
      <c r="E611" s="279" t="s">
        <v>346</v>
      </c>
      <c r="F611" s="179">
        <v>21.4</v>
      </c>
      <c r="G611" s="193"/>
      <c r="H611" s="101"/>
      <c r="X611" s="2"/>
    </row>
    <row r="612" spans="2:24" ht="15" thickBot="1">
      <c r="B612" s="2"/>
      <c r="D612" s="101"/>
      <c r="F612" s="1"/>
      <c r="G612" s="193"/>
      <c r="H612" s="101"/>
      <c r="X612" s="2"/>
    </row>
    <row r="613" spans="2:24" ht="15" thickBot="1">
      <c r="B613" s="2"/>
      <c r="D613" s="5" t="s">
        <v>48</v>
      </c>
      <c r="E613" s="279" t="s">
        <v>346</v>
      </c>
      <c r="F613" s="179">
        <v>19</v>
      </c>
      <c r="G613" s="313" t="s">
        <v>1754</v>
      </c>
      <c r="X613" s="2"/>
    </row>
    <row r="614" spans="2:24" ht="15" thickBot="1">
      <c r="B614" s="2"/>
      <c r="F614" s="1"/>
      <c r="G614" s="131"/>
      <c r="X614" s="2"/>
    </row>
    <row r="615" spans="2:24" ht="15" thickBot="1">
      <c r="B615" s="2"/>
      <c r="D615" s="101" t="s">
        <v>59</v>
      </c>
      <c r="E615" s="279" t="s">
        <v>346</v>
      </c>
      <c r="F615" s="180">
        <v>0.75</v>
      </c>
      <c r="G615" s="193"/>
      <c r="H615" s="101"/>
      <c r="X615" s="2"/>
    </row>
    <row r="616" spans="2:24" ht="15" thickBot="1">
      <c r="B616" s="2"/>
      <c r="D616" s="101"/>
      <c r="F616" s="1"/>
      <c r="G616" s="193"/>
      <c r="H616" s="101"/>
      <c r="X616" s="2"/>
    </row>
    <row r="617" spans="2:24" ht="15" thickBot="1">
      <c r="B617" s="2"/>
      <c r="D617" s="5" t="s">
        <v>290</v>
      </c>
      <c r="E617" s="279" t="s">
        <v>346</v>
      </c>
      <c r="F617" s="179">
        <v>0.05</v>
      </c>
      <c r="G617" s="131" t="s">
        <v>291</v>
      </c>
      <c r="X617" s="2"/>
    </row>
    <row r="618" spans="2:24" ht="15" thickBot="1">
      <c r="B618" s="2"/>
      <c r="F618" s="1"/>
      <c r="G618" s="131"/>
      <c r="X618" s="2"/>
    </row>
    <row r="619" spans="2:24" ht="15" thickBot="1">
      <c r="B619" s="2"/>
      <c r="D619" s="101" t="s">
        <v>292</v>
      </c>
      <c r="E619" s="279" t="s">
        <v>346</v>
      </c>
      <c r="F619" s="179">
        <v>0.99</v>
      </c>
      <c r="G619" s="193" t="s">
        <v>156</v>
      </c>
      <c r="H619" s="101"/>
      <c r="X619" s="2"/>
    </row>
    <row r="620" spans="2:24" ht="15" thickBot="1">
      <c r="B620" s="2"/>
      <c r="D620" s="101"/>
      <c r="F620" s="1"/>
      <c r="G620" s="193"/>
      <c r="H620" s="101"/>
      <c r="X620" s="2"/>
    </row>
    <row r="621" spans="2:24" ht="15" thickBot="1">
      <c r="B621" s="2"/>
      <c r="D621" s="5" t="s">
        <v>293</v>
      </c>
      <c r="E621" s="279" t="s">
        <v>346</v>
      </c>
      <c r="F621" s="179">
        <v>1.07</v>
      </c>
      <c r="G621" s="131" t="s">
        <v>294</v>
      </c>
      <c r="X621" s="2"/>
    </row>
    <row r="622" spans="2:24" ht="15" thickBot="1">
      <c r="B622" s="2"/>
      <c r="F622" s="1"/>
      <c r="G622" s="131"/>
      <c r="X622" s="2"/>
    </row>
    <row r="623" spans="2:24" ht="15" thickBot="1">
      <c r="B623" s="2"/>
      <c r="D623" s="101" t="s">
        <v>479</v>
      </c>
      <c r="E623" s="279" t="s">
        <v>346</v>
      </c>
      <c r="F623" s="179">
        <v>21.3</v>
      </c>
      <c r="G623" s="193" t="s">
        <v>468</v>
      </c>
      <c r="H623" s="101"/>
      <c r="X623" s="2"/>
    </row>
    <row r="624" spans="2:24" ht="15" thickBot="1">
      <c r="B624" s="2"/>
      <c r="D624" s="101"/>
      <c r="F624" s="1"/>
      <c r="G624" s="193"/>
      <c r="H624" s="101"/>
      <c r="X624" s="2"/>
    </row>
    <row r="625" spans="2:24" ht="15" thickBot="1">
      <c r="B625" s="2"/>
      <c r="D625" s="5" t="s">
        <v>480</v>
      </c>
      <c r="E625" s="279" t="s">
        <v>346</v>
      </c>
      <c r="F625" s="179">
        <v>0.03</v>
      </c>
      <c r="G625" s="131" t="s">
        <v>468</v>
      </c>
      <c r="X625" s="2"/>
    </row>
    <row r="626" spans="2:24" ht="15" thickBot="1">
      <c r="B626" s="2"/>
      <c r="F626" s="1"/>
      <c r="G626" s="131"/>
      <c r="X626" s="2"/>
    </row>
    <row r="627" spans="2:24" ht="15" thickBot="1">
      <c r="B627" s="2"/>
      <c r="D627" s="101" t="s">
        <v>465</v>
      </c>
      <c r="E627" s="279" t="s">
        <v>346</v>
      </c>
      <c r="F627" s="179">
        <f>0.02/1000</f>
        <v>2.0000000000000002E-5</v>
      </c>
      <c r="G627" s="193" t="s">
        <v>468</v>
      </c>
      <c r="H627" s="101"/>
      <c r="X627" s="2"/>
    </row>
    <row r="628" spans="2:24" ht="15" thickBot="1">
      <c r="B628" s="2"/>
      <c r="D628" s="101"/>
      <c r="F628" s="1"/>
      <c r="G628" s="193"/>
      <c r="H628" s="101"/>
      <c r="X628" s="2"/>
    </row>
    <row r="629" spans="2:24" ht="15" thickBot="1">
      <c r="B629" s="2"/>
      <c r="D629" s="5" t="s">
        <v>466</v>
      </c>
      <c r="E629" s="279" t="s">
        <v>346</v>
      </c>
      <c r="F629" s="179">
        <f>0.74/1000</f>
        <v>7.3999999999999999E-4</v>
      </c>
      <c r="G629" s="131" t="s">
        <v>468</v>
      </c>
      <c r="X629" s="2"/>
    </row>
    <row r="630" spans="2:24" ht="15" thickBot="1">
      <c r="B630" s="2"/>
      <c r="F630" s="1"/>
      <c r="G630" s="131"/>
      <c r="X630" s="2"/>
    </row>
    <row r="631" spans="2:24" ht="15" thickBot="1">
      <c r="B631" s="2"/>
      <c r="D631" s="101" t="s">
        <v>1057</v>
      </c>
      <c r="E631" s="279" t="s">
        <v>346</v>
      </c>
      <c r="F631" s="179">
        <f ca="1">'Parameter Inputs'!K790/3</f>
        <v>1.5160386546256346</v>
      </c>
      <c r="G631" s="193" t="s">
        <v>468</v>
      </c>
      <c r="H631" s="101"/>
      <c r="X631" s="2"/>
    </row>
    <row r="632" spans="2:24" ht="15" thickBot="1">
      <c r="B632" s="2"/>
      <c r="D632" s="101"/>
      <c r="F632" s="1"/>
      <c r="G632" s="193"/>
      <c r="H632" s="101"/>
      <c r="X632" s="2"/>
    </row>
    <row r="633" spans="2:24" ht="15" thickBot="1">
      <c r="B633" s="2"/>
      <c r="D633" s="5" t="s">
        <v>1058</v>
      </c>
      <c r="E633" s="279" t="s">
        <v>346</v>
      </c>
      <c r="F633" s="179">
        <v>0.79</v>
      </c>
      <c r="G633" s="131" t="s">
        <v>468</v>
      </c>
      <c r="X633" s="2"/>
    </row>
    <row r="634" spans="2:24" ht="15" thickBot="1">
      <c r="B634" s="2"/>
      <c r="F634" s="1"/>
      <c r="G634" s="131"/>
      <c r="X634" s="2"/>
    </row>
    <row r="635" spans="2:24" ht="15" thickBot="1">
      <c r="B635" s="2"/>
      <c r="D635" s="101" t="s">
        <v>1059</v>
      </c>
      <c r="E635" s="279" t="s">
        <v>346</v>
      </c>
      <c r="F635" s="179">
        <v>1.66</v>
      </c>
      <c r="G635" s="193"/>
      <c r="H635" s="101"/>
      <c r="X635" s="2"/>
    </row>
    <row r="636" spans="2:24" ht="15" thickBot="1">
      <c r="B636" s="2"/>
      <c r="D636" s="101"/>
      <c r="F636" s="1"/>
      <c r="G636" s="193"/>
      <c r="H636" s="101"/>
      <c r="X636" s="2"/>
    </row>
    <row r="637" spans="2:24" ht="15" thickBot="1">
      <c r="B637" s="2"/>
      <c r="D637" s="5" t="s">
        <v>1060</v>
      </c>
      <c r="E637" s="279" t="s">
        <v>346</v>
      </c>
      <c r="F637" s="179">
        <f ca="1">F635/(PI()*F631)</f>
        <v>0.34853623913406906</v>
      </c>
      <c r="G637" s="131"/>
      <c r="X637" s="2"/>
    </row>
    <row r="638" spans="2:24" ht="15" thickBot="1">
      <c r="B638" s="2"/>
      <c r="F638" s="1"/>
      <c r="G638" s="131"/>
      <c r="X638" s="2"/>
    </row>
    <row r="639" spans="2:24" ht="15" thickBot="1">
      <c r="B639" s="2"/>
      <c r="D639" s="101" t="s">
        <v>1062</v>
      </c>
      <c r="E639" s="279" t="s">
        <v>346</v>
      </c>
      <c r="F639" s="179">
        <v>0.9</v>
      </c>
      <c r="G639" s="193"/>
      <c r="H639" s="101"/>
      <c r="X639" s="2"/>
    </row>
    <row r="640" spans="2:24" ht="15" thickBot="1">
      <c r="B640" s="2"/>
      <c r="D640" s="101"/>
      <c r="F640" s="1"/>
      <c r="G640" s="193"/>
      <c r="H640" s="101"/>
      <c r="X640" s="2"/>
    </row>
    <row r="641" spans="2:24" ht="15" thickBot="1">
      <c r="B641" s="2"/>
      <c r="D641" s="5" t="s">
        <v>1064</v>
      </c>
      <c r="E641" s="279" t="s">
        <v>346</v>
      </c>
      <c r="F641" s="179">
        <f ca="1">((F633*1000*(F637^3)*(F631^5))/F639)/1000</f>
        <v>0.2976321059434856</v>
      </c>
      <c r="G641" s="131"/>
      <c r="H641" s="88"/>
      <c r="I641" s="88"/>
      <c r="J641" s="194"/>
      <c r="K641" s="87"/>
      <c r="X641" s="2"/>
    </row>
    <row r="642" spans="2:24" ht="15" thickBot="1">
      <c r="B642" s="2"/>
      <c r="F642" s="1"/>
      <c r="G642" s="131"/>
      <c r="H642" s="88"/>
      <c r="I642" s="88"/>
      <c r="J642" s="194"/>
      <c r="K642" s="87"/>
      <c r="X642" s="2"/>
    </row>
    <row r="643" spans="2:24" ht="15" thickBot="1">
      <c r="B643" s="2"/>
      <c r="D643" s="101" t="s">
        <v>1499</v>
      </c>
      <c r="E643" s="279" t="s">
        <v>346</v>
      </c>
      <c r="F643" s="179">
        <f ca="1">F641*F645*F647</f>
        <v>0.59526421188697121</v>
      </c>
      <c r="G643" s="193"/>
      <c r="H643" s="101"/>
      <c r="K643" s="87"/>
      <c r="X643" s="2"/>
    </row>
    <row r="644" spans="2:24" ht="15" thickBot="1">
      <c r="B644" s="2"/>
      <c r="D644" s="101"/>
      <c r="F644" s="1"/>
      <c r="G644" s="193"/>
      <c r="H644" s="101"/>
      <c r="K644" s="87"/>
      <c r="X644" s="2"/>
    </row>
    <row r="645" spans="2:24" ht="15" thickBot="1">
      <c r="B645" s="2"/>
      <c r="D645" s="5" t="s">
        <v>1116</v>
      </c>
      <c r="E645" s="279" t="s">
        <v>346</v>
      </c>
      <c r="F645" s="179">
        <v>1</v>
      </c>
      <c r="G645" s="131" t="s">
        <v>1752</v>
      </c>
      <c r="K645" s="87"/>
      <c r="X645" s="2"/>
    </row>
    <row r="646" spans="2:24" ht="15" thickBot="1">
      <c r="B646" s="2"/>
      <c r="F646" s="1"/>
      <c r="G646" s="131"/>
      <c r="K646" s="87"/>
      <c r="X646" s="2"/>
    </row>
    <row r="647" spans="2:24" ht="15" thickBot="1">
      <c r="B647" s="2"/>
      <c r="D647" s="101" t="s">
        <v>1117</v>
      </c>
      <c r="E647" s="176" t="s">
        <v>346</v>
      </c>
      <c r="F647" s="179">
        <v>2</v>
      </c>
      <c r="G647" s="193"/>
      <c r="H647" s="101"/>
      <c r="K647" s="87"/>
      <c r="X647" s="2"/>
    </row>
    <row r="648" spans="2:24">
      <c r="B648" s="2"/>
      <c r="F648" s="1"/>
      <c r="X648" s="2"/>
    </row>
    <row r="649" spans="2:24">
      <c r="B649" s="2"/>
      <c r="D649" s="191" t="s">
        <v>297</v>
      </c>
      <c r="F649" s="105"/>
      <c r="G649" s="191" t="s">
        <v>347</v>
      </c>
      <c r="X649" s="2"/>
    </row>
    <row r="650" spans="2:24" ht="15" thickBot="1">
      <c r="B650" s="2"/>
      <c r="D650" s="191"/>
      <c r="F650" s="1"/>
      <c r="G650" s="191"/>
      <c r="X650" s="2"/>
    </row>
    <row r="651" spans="2:24" ht="15" thickBot="1">
      <c r="B651" s="2"/>
      <c r="D651" s="195" t="s">
        <v>456</v>
      </c>
      <c r="E651" s="279" t="s">
        <v>346</v>
      </c>
      <c r="F651" s="179">
        <v>0.93</v>
      </c>
      <c r="G651" s="312" t="s">
        <v>468</v>
      </c>
      <c r="X651" s="2"/>
    </row>
    <row r="652" spans="2:24" ht="15" thickBot="1">
      <c r="B652" s="2"/>
      <c r="D652" s="195"/>
      <c r="F652" s="1"/>
      <c r="G652" s="196"/>
      <c r="X652" s="2"/>
    </row>
    <row r="653" spans="2:24" ht="15" thickBot="1">
      <c r="B653" s="2"/>
      <c r="D653" s="187" t="s">
        <v>457</v>
      </c>
      <c r="E653" s="279" t="s">
        <v>346</v>
      </c>
      <c r="F653" s="179">
        <f>1-F651</f>
        <v>6.9999999999999951E-2</v>
      </c>
      <c r="G653" s="189" t="s">
        <v>468</v>
      </c>
      <c r="X653" s="2"/>
    </row>
    <row r="654" spans="2:24" ht="15" thickBot="1">
      <c r="B654" s="2"/>
      <c r="D654" s="187"/>
      <c r="F654" s="1"/>
      <c r="G654" s="189"/>
      <c r="X654" s="2"/>
    </row>
    <row r="655" spans="2:24" ht="15" thickBot="1">
      <c r="B655" s="2"/>
      <c r="D655" s="195" t="s">
        <v>495</v>
      </c>
      <c r="E655" s="176" t="s">
        <v>346</v>
      </c>
      <c r="F655" s="179">
        <f>0.001/1000</f>
        <v>9.9999999999999995E-7</v>
      </c>
      <c r="G655" s="196" t="s">
        <v>496</v>
      </c>
      <c r="X655" s="2"/>
    </row>
    <row r="656" spans="2:24">
      <c r="B656" s="2"/>
      <c r="F656" s="1"/>
      <c r="X656" s="2"/>
    </row>
    <row r="657" spans="2:24">
      <c r="B657" s="2"/>
      <c r="D657" s="191" t="s">
        <v>458</v>
      </c>
      <c r="F657" s="105"/>
      <c r="G657" s="191" t="s">
        <v>347</v>
      </c>
      <c r="X657" s="2"/>
    </row>
    <row r="658" spans="2:24" ht="15" thickBot="1">
      <c r="B658" s="2"/>
      <c r="D658" s="191"/>
      <c r="F658" s="1"/>
      <c r="G658" s="191"/>
      <c r="X658" s="2"/>
    </row>
    <row r="659" spans="2:24" ht="15" thickBot="1">
      <c r="B659" s="2"/>
      <c r="D659" s="195" t="s">
        <v>459</v>
      </c>
      <c r="E659" s="279" t="s">
        <v>346</v>
      </c>
      <c r="F659" s="179">
        <v>0.42</v>
      </c>
      <c r="G659" s="196" t="s">
        <v>468</v>
      </c>
      <c r="X659" s="2"/>
    </row>
    <row r="660" spans="2:24" ht="15" thickBot="1">
      <c r="B660" s="2"/>
      <c r="D660" s="195"/>
      <c r="F660" s="1"/>
      <c r="G660" s="196"/>
      <c r="X660" s="2"/>
    </row>
    <row r="661" spans="2:24" ht="15" thickBot="1">
      <c r="B661" s="2"/>
      <c r="D661" s="187" t="s">
        <v>460</v>
      </c>
      <c r="E661" s="279" t="s">
        <v>346</v>
      </c>
      <c r="F661" s="179">
        <v>0.57999999999999996</v>
      </c>
      <c r="G661" s="189" t="s">
        <v>468</v>
      </c>
      <c r="X661" s="2"/>
    </row>
    <row r="662" spans="2:24" ht="15" thickBot="1">
      <c r="B662" s="2"/>
      <c r="D662" s="187"/>
      <c r="F662" s="1"/>
      <c r="G662" s="189"/>
      <c r="X662" s="2"/>
    </row>
    <row r="663" spans="2:24" ht="15" thickBot="1">
      <c r="B663" s="2"/>
      <c r="D663" s="195" t="s">
        <v>461</v>
      </c>
      <c r="E663" s="279" t="s">
        <v>346</v>
      </c>
      <c r="F663" s="179">
        <f>0.005/1000</f>
        <v>5.0000000000000004E-6</v>
      </c>
      <c r="G663" s="196" t="s">
        <v>468</v>
      </c>
      <c r="X663" s="2"/>
    </row>
    <row r="664" spans="2:24" ht="15" thickBot="1">
      <c r="B664" s="2"/>
      <c r="D664" s="195"/>
      <c r="F664" s="1"/>
      <c r="G664" s="196"/>
      <c r="X664" s="2"/>
    </row>
    <row r="665" spans="2:24" ht="15" thickBot="1">
      <c r="B665" s="2"/>
      <c r="D665" s="187" t="s">
        <v>462</v>
      </c>
      <c r="E665" s="279" t="s">
        <v>346</v>
      </c>
      <c r="F665" s="179">
        <f>0.04/1000</f>
        <v>4.0000000000000003E-5</v>
      </c>
      <c r="G665" s="189" t="s">
        <v>468</v>
      </c>
      <c r="X665" s="2"/>
    </row>
    <row r="666" spans="2:24" ht="15" thickBot="1">
      <c r="B666" s="2"/>
      <c r="D666" s="187"/>
      <c r="F666" s="1"/>
      <c r="G666" s="189"/>
      <c r="X666" s="2"/>
    </row>
    <row r="667" spans="2:24" ht="15" thickBot="1">
      <c r="B667" s="2"/>
      <c r="D667" s="195" t="s">
        <v>981</v>
      </c>
      <c r="E667" s="176" t="s">
        <v>346</v>
      </c>
      <c r="F667" s="179">
        <f>0.002/1000</f>
        <v>1.9999999999999999E-6</v>
      </c>
      <c r="G667" s="196" t="s">
        <v>468</v>
      </c>
      <c r="X667" s="2"/>
    </row>
    <row r="668" spans="2:24">
      <c r="B668" s="2"/>
      <c r="F668" s="1"/>
      <c r="X668" s="2"/>
    </row>
    <row r="669" spans="2:24">
      <c r="B669" s="2"/>
      <c r="D669" s="100" t="s">
        <v>980</v>
      </c>
      <c r="F669" s="105"/>
      <c r="G669" s="100" t="s">
        <v>347</v>
      </c>
      <c r="X669" s="2"/>
    </row>
    <row r="670" spans="2:24" ht="15" thickBot="1">
      <c r="B670" s="2"/>
      <c r="D670" s="100"/>
      <c r="F670" s="1"/>
      <c r="G670" s="100"/>
      <c r="X670" s="2"/>
    </row>
    <row r="671" spans="2:24" ht="15" thickBot="1">
      <c r="B671" s="2"/>
      <c r="D671" s="195" t="s">
        <v>463</v>
      </c>
      <c r="E671" s="279" t="s">
        <v>346</v>
      </c>
      <c r="F671" s="179">
        <v>0.99</v>
      </c>
      <c r="G671" s="196" t="s">
        <v>468</v>
      </c>
      <c r="X671" s="2"/>
    </row>
    <row r="672" spans="2:24" ht="15" thickBot="1">
      <c r="B672" s="2"/>
      <c r="D672" s="195"/>
      <c r="F672" s="1"/>
      <c r="G672" s="196"/>
      <c r="X672" s="2"/>
    </row>
    <row r="673" spans="2:24" ht="15" thickBot="1">
      <c r="B673" s="2"/>
      <c r="D673" s="187" t="s">
        <v>464</v>
      </c>
      <c r="E673" s="279" t="s">
        <v>346</v>
      </c>
      <c r="F673" s="179">
        <v>0.01</v>
      </c>
      <c r="G673" s="189" t="s">
        <v>468</v>
      </c>
      <c r="X673" s="2"/>
    </row>
    <row r="674" spans="2:24" ht="15" thickBot="1">
      <c r="B674" s="2"/>
      <c r="D674" s="187"/>
      <c r="F674" s="1"/>
      <c r="G674" s="189"/>
      <c r="X674" s="2"/>
    </row>
    <row r="675" spans="2:24" ht="15" thickBot="1">
      <c r="B675" s="2"/>
      <c r="D675" s="195" t="s">
        <v>500</v>
      </c>
      <c r="E675" s="279" t="s">
        <v>346</v>
      </c>
      <c r="F675" s="179">
        <f>0.02/1000</f>
        <v>2.0000000000000002E-5</v>
      </c>
      <c r="G675" s="196" t="s">
        <v>496</v>
      </c>
      <c r="X675" s="2"/>
    </row>
    <row r="676" spans="2:24" ht="15" thickBot="1">
      <c r="B676" s="2"/>
      <c r="D676" s="195"/>
      <c r="F676" s="1"/>
      <c r="G676" s="196"/>
      <c r="X676" s="2"/>
    </row>
    <row r="677" spans="2:24" ht="15" thickBot="1">
      <c r="B677" s="2"/>
      <c r="D677" s="187" t="s">
        <v>499</v>
      </c>
      <c r="E677" s="279" t="s">
        <v>346</v>
      </c>
      <c r="F677" s="179">
        <f>0.14/1000</f>
        <v>1.4000000000000001E-4</v>
      </c>
      <c r="G677" s="189" t="s">
        <v>501</v>
      </c>
      <c r="X677" s="2"/>
    </row>
    <row r="678" spans="2:24" ht="15" thickBot="1">
      <c r="B678" s="2"/>
      <c r="D678" s="187"/>
      <c r="F678" s="1"/>
      <c r="G678" s="189"/>
      <c r="X678" s="2"/>
    </row>
    <row r="679" spans="2:24" ht="15" thickBot="1">
      <c r="B679" s="2"/>
      <c r="D679" s="195" t="s">
        <v>467</v>
      </c>
      <c r="E679" s="279" t="s">
        <v>346</v>
      </c>
      <c r="F679" s="179">
        <f>0.007/1000</f>
        <v>6.9999999999999999E-6</v>
      </c>
      <c r="G679" s="196" t="s">
        <v>468</v>
      </c>
      <c r="X679" s="2"/>
    </row>
    <row r="680" spans="2:24">
      <c r="B680" s="2"/>
      <c r="F680" s="1"/>
      <c r="G680" s="131"/>
      <c r="X680" s="2"/>
    </row>
    <row r="681" spans="2:24" ht="15" thickBot="1">
      <c r="B681" s="2"/>
      <c r="D681" s="197" t="s">
        <v>1449</v>
      </c>
      <c r="F681" s="105"/>
      <c r="G681" s="197" t="s">
        <v>347</v>
      </c>
      <c r="X681" s="2"/>
    </row>
    <row r="682" spans="2:24" ht="15" thickBot="1">
      <c r="B682" s="2"/>
      <c r="D682" s="187" t="s">
        <v>1450</v>
      </c>
      <c r="E682" s="176" t="s">
        <v>346</v>
      </c>
      <c r="F682" s="179">
        <f>441.7/1000</f>
        <v>0.44169999999999998</v>
      </c>
      <c r="G682" s="313" t="s">
        <v>1754</v>
      </c>
      <c r="X682" s="2"/>
    </row>
    <row r="683" spans="2:24">
      <c r="B683" s="2"/>
      <c r="F683" s="1"/>
      <c r="X683" s="2"/>
    </row>
    <row r="684" spans="2:24">
      <c r="B684" s="2"/>
      <c r="D684" s="16" t="s">
        <v>551</v>
      </c>
      <c r="F684" s="105"/>
      <c r="X684" s="2"/>
    </row>
    <row r="685" spans="2:24" ht="15" thickBot="1">
      <c r="B685" s="2"/>
      <c r="D685" s="16"/>
      <c r="F685" s="1"/>
      <c r="X685" s="2"/>
    </row>
    <row r="686" spans="2:24" ht="15" thickBot="1">
      <c r="B686" s="2"/>
      <c r="D686" s="5" t="s">
        <v>1275</v>
      </c>
      <c r="E686" s="279" t="s">
        <v>346</v>
      </c>
      <c r="F686" s="179" t="s">
        <v>1276</v>
      </c>
      <c r="X686" s="2"/>
    </row>
    <row r="687" spans="2:24" ht="15" thickBot="1">
      <c r="B687" s="2"/>
      <c r="F687" s="1"/>
      <c r="X687" s="2"/>
    </row>
    <row r="688" spans="2:24" ht="15" thickBot="1">
      <c r="B688" s="2"/>
      <c r="D688" s="5" t="s">
        <v>1277</v>
      </c>
      <c r="E688" s="279" t="s">
        <v>346</v>
      </c>
      <c r="F688" s="179">
        <v>116</v>
      </c>
      <c r="G688" s="5" t="s">
        <v>1751</v>
      </c>
      <c r="X688" s="2"/>
    </row>
    <row r="689" spans="2:24" ht="15" thickBot="1">
      <c r="B689" s="2"/>
      <c r="F689" s="1"/>
      <c r="X689" s="2"/>
    </row>
    <row r="690" spans="2:24" ht="15" thickBot="1">
      <c r="B690" s="2"/>
      <c r="D690" s="5" t="s">
        <v>1278</v>
      </c>
      <c r="E690" s="279" t="s">
        <v>346</v>
      </c>
      <c r="F690" s="179">
        <v>7.2</v>
      </c>
      <c r="G690" s="5" t="s">
        <v>1751</v>
      </c>
      <c r="X690" s="2"/>
    </row>
    <row r="691" spans="2:24" ht="15" thickBot="1">
      <c r="B691" s="2"/>
      <c r="F691" s="1"/>
      <c r="X691" s="2"/>
    </row>
    <row r="692" spans="2:24" ht="15" thickBot="1">
      <c r="B692" s="2"/>
      <c r="D692" s="5" t="s">
        <v>1280</v>
      </c>
      <c r="E692" s="279" t="s">
        <v>346</v>
      </c>
      <c r="F692" s="179">
        <v>0.16</v>
      </c>
      <c r="G692" s="5" t="s">
        <v>1751</v>
      </c>
      <c r="X692" s="2"/>
    </row>
    <row r="693" spans="2:24" ht="15" thickBot="1">
      <c r="B693" s="2"/>
      <c r="F693" s="1"/>
      <c r="X693" s="2"/>
    </row>
    <row r="694" spans="2:24" ht="15" thickBot="1">
      <c r="B694" s="2"/>
      <c r="D694" s="5" t="s">
        <v>1279</v>
      </c>
      <c r="E694" s="279" t="s">
        <v>346</v>
      </c>
      <c r="F694" s="179">
        <v>0.65</v>
      </c>
      <c r="G694" s="5" t="s">
        <v>1751</v>
      </c>
      <c r="X694" s="2"/>
    </row>
    <row r="695" spans="2:24" ht="15" thickBot="1">
      <c r="B695" s="2"/>
      <c r="F695" s="1"/>
      <c r="X695" s="2"/>
    </row>
    <row r="696" spans="2:24" ht="15" thickBot="1">
      <c r="B696" s="2"/>
      <c r="D696" s="5" t="s">
        <v>1281</v>
      </c>
      <c r="E696" s="279" t="s">
        <v>346</v>
      </c>
      <c r="F696" s="179">
        <v>0.04</v>
      </c>
      <c r="X696" s="2"/>
    </row>
    <row r="697" spans="2:24" ht="15" thickBot="1">
      <c r="B697" s="2"/>
      <c r="F697" s="1"/>
      <c r="X697" s="2"/>
    </row>
    <row r="698" spans="2:24" ht="15" thickBot="1">
      <c r="B698" s="2"/>
      <c r="D698" s="5" t="s">
        <v>1282</v>
      </c>
      <c r="E698" s="279" t="s">
        <v>346</v>
      </c>
      <c r="F698" s="179">
        <v>0.5</v>
      </c>
      <c r="X698" s="2"/>
    </row>
    <row r="699" spans="2:24" ht="15" thickBot="1">
      <c r="B699" s="2"/>
      <c r="F699" s="1"/>
      <c r="X699" s="2"/>
    </row>
    <row r="700" spans="2:24" ht="15" thickBot="1">
      <c r="B700" s="2"/>
      <c r="D700" s="5" t="s">
        <v>643</v>
      </c>
      <c r="E700" s="279" t="s">
        <v>346</v>
      </c>
      <c r="F700" s="179">
        <v>0.93</v>
      </c>
      <c r="G700" s="5" t="s">
        <v>644</v>
      </c>
      <c r="X700" s="2"/>
    </row>
    <row r="701" spans="2:24">
      <c r="B701" s="2"/>
      <c r="F701" s="105"/>
      <c r="X701" s="2"/>
    </row>
    <row r="702" spans="2:24" ht="15" thickBot="1">
      <c r="B702" s="2"/>
      <c r="D702" s="16" t="s">
        <v>49</v>
      </c>
      <c r="F702" s="105"/>
      <c r="X702" s="2"/>
    </row>
    <row r="703" spans="2:24" ht="15" thickBot="1">
      <c r="B703" s="2"/>
      <c r="D703" s="5" t="s">
        <v>50</v>
      </c>
      <c r="E703" s="279" t="s">
        <v>346</v>
      </c>
      <c r="F703" s="179">
        <v>0.7</v>
      </c>
      <c r="G703" s="132" t="s">
        <v>30</v>
      </c>
      <c r="X703" s="2"/>
    </row>
    <row r="704" spans="2:24" ht="15" thickBot="1">
      <c r="B704" s="2"/>
      <c r="F704" s="1"/>
      <c r="G704" s="132"/>
      <c r="X704" s="2"/>
    </row>
    <row r="705" spans="2:26" ht="15" thickBot="1">
      <c r="B705" s="2"/>
      <c r="D705" s="5" t="s">
        <v>51</v>
      </c>
      <c r="E705" s="279" t="s">
        <v>346</v>
      </c>
      <c r="F705" s="179">
        <f>1-F703</f>
        <v>0.30000000000000004</v>
      </c>
      <c r="X705" s="2"/>
    </row>
    <row r="706" spans="2:26">
      <c r="B706" s="2"/>
      <c r="X706" s="2"/>
    </row>
    <row r="707" spans="2:26" ht="21">
      <c r="B707" s="2"/>
      <c r="C707" s="314" t="s">
        <v>1661</v>
      </c>
      <c r="D707" s="314"/>
      <c r="E707" s="314"/>
      <c r="F707" s="314"/>
      <c r="G707" s="314"/>
      <c r="H707" s="314"/>
      <c r="I707" s="314"/>
      <c r="J707" s="314"/>
      <c r="K707" s="314"/>
      <c r="L707" s="314"/>
      <c r="M707" s="314"/>
      <c r="N707" s="314"/>
      <c r="O707" s="314"/>
      <c r="P707" s="314"/>
      <c r="Q707" s="314"/>
      <c r="R707" s="314"/>
      <c r="S707" s="314"/>
      <c r="T707" s="314"/>
      <c r="U707" s="314"/>
      <c r="V707" s="314"/>
      <c r="W707" s="314"/>
      <c r="X707" s="173"/>
      <c r="Y707" s="172"/>
      <c r="Z707" s="172"/>
    </row>
    <row r="708" spans="2:26" ht="21">
      <c r="B708" s="2"/>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73"/>
      <c r="Y708" s="172"/>
      <c r="Z708" s="172"/>
    </row>
    <row r="709" spans="2:26" ht="15" thickBot="1">
      <c r="B709" s="2"/>
      <c r="D709" s="16" t="s">
        <v>608</v>
      </c>
      <c r="E709" s="77" t="s">
        <v>1435</v>
      </c>
      <c r="F709" s="16" t="s">
        <v>609</v>
      </c>
      <c r="G709" s="16" t="s">
        <v>1298</v>
      </c>
      <c r="H709" s="77" t="s">
        <v>1724</v>
      </c>
      <c r="I709" s="77" t="s">
        <v>1725</v>
      </c>
      <c r="J709" s="16" t="s">
        <v>1295</v>
      </c>
      <c r="K709" s="77" t="s">
        <v>1726</v>
      </c>
      <c r="L709" s="77" t="s">
        <v>1727</v>
      </c>
      <c r="M709" s="16" t="s">
        <v>1728</v>
      </c>
      <c r="N709" s="77" t="s">
        <v>1729</v>
      </c>
      <c r="O709" s="77" t="s">
        <v>1730</v>
      </c>
      <c r="P709" s="77" t="s">
        <v>1731</v>
      </c>
      <c r="Q709" s="16" t="s">
        <v>1297</v>
      </c>
      <c r="R709" s="77" t="s">
        <v>1732</v>
      </c>
      <c r="S709" s="77" t="s">
        <v>1733</v>
      </c>
      <c r="T709" s="77" t="s">
        <v>1734</v>
      </c>
      <c r="U709" s="77" t="s">
        <v>1735</v>
      </c>
      <c r="V709" s="16" t="s">
        <v>1296</v>
      </c>
      <c r="W709" s="16" t="s">
        <v>705</v>
      </c>
      <c r="X709" s="2"/>
    </row>
    <row r="710" spans="2:26" ht="15" thickBot="1">
      <c r="B710" s="2"/>
      <c r="D710" s="208" t="s">
        <v>613</v>
      </c>
      <c r="E710" s="209">
        <v>5.4642999999999998E-4</v>
      </c>
      <c r="F710" s="209">
        <v>0.35409000000000002</v>
      </c>
      <c r="G710" s="209">
        <v>3.9876E-3</v>
      </c>
      <c r="H710" s="209">
        <v>5.1929999999999997E-3</v>
      </c>
      <c r="I710" s="209">
        <v>0.20794000000000001</v>
      </c>
      <c r="J710" s="209">
        <v>0.12214999999999999</v>
      </c>
      <c r="K710" s="209">
        <v>1.7187E-5</v>
      </c>
      <c r="L710" s="209">
        <v>2.3676999999999998E-6</v>
      </c>
      <c r="M710" s="209">
        <v>8.5442999999999995E-3</v>
      </c>
      <c r="N710" s="209">
        <v>6.3175999999999996E-2</v>
      </c>
      <c r="O710" s="209">
        <v>1.6202999999999999E-2</v>
      </c>
      <c r="P710" s="209">
        <v>7.6298E-3</v>
      </c>
      <c r="Q710" s="209">
        <v>1.9383E-3</v>
      </c>
      <c r="R710" s="209">
        <v>1.6847E-7</v>
      </c>
      <c r="S710" s="209">
        <v>1.9055E-4</v>
      </c>
      <c r="T710" s="209">
        <v>4.3326999999999998E-4</v>
      </c>
      <c r="U710" s="209">
        <v>4.4653E-4</v>
      </c>
      <c r="V710" s="209">
        <v>7.2738000000000002E-4</v>
      </c>
      <c r="W710" s="130" t="s">
        <v>612</v>
      </c>
      <c r="X710" s="2"/>
    </row>
    <row r="711" spans="2:26" ht="15" thickBot="1">
      <c r="B711" s="2"/>
      <c r="D711" s="208"/>
      <c r="E711" s="199"/>
      <c r="F711" s="199"/>
      <c r="G711" s="199"/>
      <c r="H711" s="199"/>
      <c r="I711" s="199"/>
      <c r="J711" s="199"/>
      <c r="K711" s="199"/>
      <c r="L711" s="199"/>
      <c r="M711" s="199"/>
      <c r="N711" s="199"/>
      <c r="O711" s="199"/>
      <c r="P711" s="199"/>
      <c r="Q711" s="199"/>
      <c r="R711" s="199"/>
      <c r="S711" s="199"/>
      <c r="T711" s="199"/>
      <c r="U711" s="199"/>
      <c r="V711" s="199"/>
      <c r="W711" s="130"/>
      <c r="X711" s="2"/>
    </row>
    <row r="712" spans="2:26" ht="15" thickBot="1">
      <c r="B712" s="2"/>
      <c r="D712" s="208" t="s">
        <v>984</v>
      </c>
      <c r="E712" s="209">
        <v>3.3822000000000002E-4</v>
      </c>
      <c r="F712" s="209">
        <v>0.75217999999999996</v>
      </c>
      <c r="G712" s="209">
        <v>3.2415999999999999E-3</v>
      </c>
      <c r="H712" s="209">
        <v>4.3923E-3</v>
      </c>
      <c r="I712" s="209">
        <v>0.27966000000000002</v>
      </c>
      <c r="J712" s="209">
        <v>0.24632999999999999</v>
      </c>
      <c r="K712" s="209">
        <v>1.4547E-6</v>
      </c>
      <c r="L712" s="209">
        <v>1.4547E-6</v>
      </c>
      <c r="M712" s="209">
        <v>1.4671999999999999E-2</v>
      </c>
      <c r="N712" s="209">
        <v>5.0428000000000001E-2</v>
      </c>
      <c r="O712" s="209">
        <v>1.7699E-3</v>
      </c>
      <c r="P712" s="209">
        <v>9.7278000000000002E-4</v>
      </c>
      <c r="Q712" s="209">
        <v>5.0457000000000002E-3</v>
      </c>
      <c r="R712" s="209">
        <v>1.5752E-7</v>
      </c>
      <c r="S712" s="209">
        <v>1.3401999999999999E-4</v>
      </c>
      <c r="T712" s="209">
        <v>7.0578999999999998E-4</v>
      </c>
      <c r="U712" s="209">
        <v>7.8474999999999997E-4</v>
      </c>
      <c r="V712" s="209">
        <v>4.3075999999999998E-4</v>
      </c>
      <c r="W712" s="131" t="s">
        <v>985</v>
      </c>
      <c r="X712" s="2"/>
    </row>
    <row r="713" spans="2:26" ht="15" thickBot="1">
      <c r="B713" s="2"/>
      <c r="D713" s="208"/>
      <c r="E713" s="199"/>
      <c r="F713" s="199"/>
      <c r="G713" s="199"/>
      <c r="H713" s="199"/>
      <c r="I713" s="199"/>
      <c r="J713" s="199"/>
      <c r="K713" s="199"/>
      <c r="L713" s="199"/>
      <c r="M713" s="199"/>
      <c r="N713" s="199"/>
      <c r="O713" s="199"/>
      <c r="P713" s="199"/>
      <c r="Q713" s="199"/>
      <c r="R713" s="199"/>
      <c r="S713" s="199"/>
      <c r="T713" s="199"/>
      <c r="U713" s="199"/>
      <c r="V713" s="199"/>
      <c r="W713" s="131"/>
      <c r="X713" s="2"/>
    </row>
    <row r="714" spans="2:26" ht="15" thickBot="1">
      <c r="B714" s="2"/>
      <c r="D714" s="268" t="s">
        <v>614</v>
      </c>
      <c r="E714" s="267">
        <v>3.4201000000000001E-4</v>
      </c>
      <c r="F714" s="209">
        <v>0.14424000000000001</v>
      </c>
      <c r="G714" s="209">
        <v>6.0337000000000003E-3</v>
      </c>
      <c r="H714" s="209">
        <v>7.7187000000000002E-3</v>
      </c>
      <c r="I714" s="209">
        <v>0.45595000000000002</v>
      </c>
      <c r="J714" s="209">
        <v>1.848E-2</v>
      </c>
      <c r="K714" s="209">
        <v>1.0555E-5</v>
      </c>
      <c r="L714" s="209">
        <v>2.3655999999999998E-6</v>
      </c>
      <c r="M714" s="209">
        <v>7.6149E-3</v>
      </c>
      <c r="N714" s="209">
        <v>8.5319999999999993E-2</v>
      </c>
      <c r="O714" s="209">
        <v>1.3299999999999999E-2</v>
      </c>
      <c r="P714" s="209">
        <v>1.2335E-2</v>
      </c>
      <c r="Q714" s="209">
        <v>1.8542000000000001E-3</v>
      </c>
      <c r="R714" s="209">
        <v>1.4779E-7</v>
      </c>
      <c r="S714" s="209">
        <v>1.1650999999999999E-4</v>
      </c>
      <c r="T714" s="209">
        <v>3.9934999999999998E-4</v>
      </c>
      <c r="U714" s="209">
        <v>4.0782999999999998E-4</v>
      </c>
      <c r="V714" s="209">
        <v>1.0104999999999999E-3</v>
      </c>
      <c r="W714" s="131" t="s">
        <v>615</v>
      </c>
      <c r="X714" s="2"/>
    </row>
    <row r="715" spans="2:26" ht="15" thickBot="1">
      <c r="B715" s="2"/>
      <c r="D715" s="208"/>
      <c r="E715" s="199"/>
      <c r="F715" s="199"/>
      <c r="G715" s="199"/>
      <c r="H715" s="199"/>
      <c r="I715" s="199"/>
      <c r="J715" s="199"/>
      <c r="K715" s="199"/>
      <c r="L715" s="199"/>
      <c r="M715" s="199"/>
      <c r="N715" s="199"/>
      <c r="O715" s="199"/>
      <c r="P715" s="199"/>
      <c r="Q715" s="199"/>
      <c r="R715" s="199"/>
      <c r="S715" s="199"/>
      <c r="T715" s="199"/>
      <c r="U715" s="199"/>
      <c r="V715" s="199"/>
      <c r="W715" s="131"/>
      <c r="X715" s="2"/>
    </row>
    <row r="716" spans="2:26" ht="29.5" thickBot="1">
      <c r="B716" s="2"/>
      <c r="D716" s="208" t="s">
        <v>617</v>
      </c>
      <c r="E716" s="209">
        <v>1.3064000000000001E-3</v>
      </c>
      <c r="F716" s="209">
        <v>0.25767000000000001</v>
      </c>
      <c r="G716" s="209">
        <v>3.9779999999999998E-3</v>
      </c>
      <c r="H716" s="209">
        <v>5.2801000000000002E-3</v>
      </c>
      <c r="I716" s="209">
        <v>0.32427</v>
      </c>
      <c r="J716" s="209">
        <v>2.3644999999999999E-2</v>
      </c>
      <c r="K716" s="209">
        <v>4.1539999999999999E-5</v>
      </c>
      <c r="L716" s="209">
        <v>3.1613999999999999E-6</v>
      </c>
      <c r="M716" s="209">
        <v>7.1038999999999998E-3</v>
      </c>
      <c r="N716" s="209">
        <v>0.10342</v>
      </c>
      <c r="O716" s="209">
        <v>3.3362000000000001E-3</v>
      </c>
      <c r="P716" s="209">
        <v>8.3312999999999998E-3</v>
      </c>
      <c r="Q716" s="209">
        <v>1.387E-3</v>
      </c>
      <c r="R716" s="209">
        <v>7.2256999999999999E-7</v>
      </c>
      <c r="S716" s="209">
        <v>3.3236000000000002E-4</v>
      </c>
      <c r="T716" s="209">
        <v>3.0639000000000003E-4</v>
      </c>
      <c r="U716" s="209">
        <v>3.1634000000000002E-4</v>
      </c>
      <c r="V716" s="209">
        <v>2.5088999999999998E-4</v>
      </c>
      <c r="W716" s="130" t="s">
        <v>616</v>
      </c>
      <c r="X716" s="2"/>
    </row>
    <row r="717" spans="2:26" ht="15" thickBot="1">
      <c r="B717" s="2"/>
      <c r="D717" s="208"/>
      <c r="E717" s="199"/>
      <c r="F717" s="199"/>
      <c r="G717" s="199"/>
      <c r="H717" s="199"/>
      <c r="I717" s="199"/>
      <c r="J717" s="199"/>
      <c r="K717" s="199"/>
      <c r="L717" s="199"/>
      <c r="M717" s="199"/>
      <c r="N717" s="199"/>
      <c r="O717" s="199"/>
      <c r="P717" s="199"/>
      <c r="Q717" s="199"/>
      <c r="R717" s="199"/>
      <c r="S717" s="199"/>
      <c r="T717" s="199"/>
      <c r="U717" s="199"/>
      <c r="V717" s="199"/>
      <c r="W717" s="130"/>
      <c r="X717" s="2"/>
    </row>
    <row r="718" spans="2:26" ht="29.5" thickBot="1">
      <c r="B718" s="2"/>
      <c r="D718" s="208" t="s">
        <v>618</v>
      </c>
      <c r="E718" s="209">
        <v>4.4383999999999998E-4</v>
      </c>
      <c r="F718" s="209">
        <v>0.66852</v>
      </c>
      <c r="G718" s="209">
        <v>2.4648000000000001E-3</v>
      </c>
      <c r="H718" s="209">
        <v>3.3443000000000001E-3</v>
      </c>
      <c r="I718" s="209">
        <v>0.2021</v>
      </c>
      <c r="J718" s="209">
        <v>0.21231</v>
      </c>
      <c r="K718" s="209">
        <v>1.1331999999999999E-5</v>
      </c>
      <c r="L718" s="209">
        <v>1.4909E-6</v>
      </c>
      <c r="M718" s="209">
        <v>1.0626E-2</v>
      </c>
      <c r="N718" s="209">
        <v>4.1935E-2</v>
      </c>
      <c r="O718" s="209">
        <v>1.6856E-3</v>
      </c>
      <c r="P718" s="209">
        <v>9.7294999999999999E-4</v>
      </c>
      <c r="Q718" s="209">
        <v>3.9039000000000001E-3</v>
      </c>
      <c r="R718" s="209">
        <v>5.0096999999999997E-7</v>
      </c>
      <c r="S718" s="209">
        <v>1.6433999999999999E-4</v>
      </c>
      <c r="T718" s="209">
        <v>9.6336000000000002E-4</v>
      </c>
      <c r="U718" s="209">
        <v>1.0510999999999999E-3</v>
      </c>
      <c r="V718" s="209">
        <v>3.0864999999999999E-4</v>
      </c>
      <c r="W718" s="131" t="s">
        <v>1011</v>
      </c>
      <c r="X718" s="2"/>
    </row>
    <row r="719" spans="2:26" ht="15" thickBot="1">
      <c r="B719" s="2"/>
      <c r="D719" s="208"/>
      <c r="E719" s="199"/>
      <c r="F719" s="199"/>
      <c r="G719" s="199"/>
      <c r="H719" s="199"/>
      <c r="I719" s="199"/>
      <c r="J719" s="199"/>
      <c r="K719" s="199"/>
      <c r="L719" s="199"/>
      <c r="M719" s="199"/>
      <c r="N719" s="199"/>
      <c r="O719" s="199"/>
      <c r="P719" s="199"/>
      <c r="Q719" s="199"/>
      <c r="R719" s="199"/>
      <c r="S719" s="199"/>
      <c r="T719" s="199"/>
      <c r="U719" s="199"/>
      <c r="V719" s="199"/>
      <c r="W719" s="131"/>
      <c r="X719" s="2"/>
    </row>
    <row r="720" spans="2:26" ht="29.5" thickBot="1">
      <c r="B720" s="2"/>
      <c r="D720" s="208" t="s">
        <v>619</v>
      </c>
      <c r="E720" s="209">
        <v>2.7563E-5</v>
      </c>
      <c r="F720" s="209">
        <v>7.2011000000000006E-2</v>
      </c>
      <c r="G720" s="209">
        <v>1.8264E-4</v>
      </c>
      <c r="H720" s="209">
        <v>2.5453999999999999E-4</v>
      </c>
      <c r="I720" s="209">
        <v>1.29E-2</v>
      </c>
      <c r="J720" s="209">
        <v>2.4597999999999998E-2</v>
      </c>
      <c r="K720" s="209">
        <v>1.2613000000000001E-6</v>
      </c>
      <c r="L720" s="209">
        <v>1.5054E-7</v>
      </c>
      <c r="M720" s="209">
        <v>1.0361000000000001E-3</v>
      </c>
      <c r="N720" s="209">
        <v>3.0769999999999999E-3</v>
      </c>
      <c r="O720" s="209">
        <v>3.9402000000000003E-4</v>
      </c>
      <c r="P720" s="209">
        <v>7.3955999999999995E-5</v>
      </c>
      <c r="Q720" s="209">
        <v>4.0701000000000002E-4</v>
      </c>
      <c r="R720" s="209">
        <v>1.0500999999999999E-8</v>
      </c>
      <c r="S720" s="209">
        <v>1.0813E-5</v>
      </c>
      <c r="T720" s="209">
        <v>5.2497999999999998E-5</v>
      </c>
      <c r="U720" s="209">
        <v>6.0510999999999997E-5</v>
      </c>
      <c r="V720" s="209">
        <v>4.0878999999999999E-5</v>
      </c>
      <c r="W720" s="131" t="s">
        <v>620</v>
      </c>
      <c r="X720" s="2"/>
    </row>
    <row r="721" spans="2:24" ht="15" thickBot="1">
      <c r="B721" s="2"/>
      <c r="D721" s="208"/>
      <c r="E721" s="199"/>
      <c r="F721" s="199"/>
      <c r="G721" s="199"/>
      <c r="H721" s="199"/>
      <c r="I721" s="199"/>
      <c r="J721" s="199"/>
      <c r="K721" s="199"/>
      <c r="L721" s="199"/>
      <c r="M721" s="199"/>
      <c r="N721" s="199"/>
      <c r="O721" s="199"/>
      <c r="P721" s="199"/>
      <c r="Q721" s="199"/>
      <c r="R721" s="199"/>
      <c r="S721" s="199"/>
      <c r="T721" s="199"/>
      <c r="U721" s="199"/>
      <c r="V721" s="199"/>
      <c r="W721" s="131"/>
      <c r="X721" s="2"/>
    </row>
    <row r="722" spans="2:24" ht="29.5" thickBot="1">
      <c r="B722" s="2"/>
      <c r="D722" s="208" t="s">
        <v>1149</v>
      </c>
      <c r="E722" s="209">
        <v>4.4406999999999997E-5</v>
      </c>
      <c r="F722" s="209">
        <v>1.4798E-2</v>
      </c>
      <c r="G722" s="209">
        <v>7.4728999999999996E-4</v>
      </c>
      <c r="H722" s="209">
        <v>9.6071999999999998E-4</v>
      </c>
      <c r="I722" s="209">
        <v>4.8884999999999998E-2</v>
      </c>
      <c r="J722" s="209">
        <v>3.2547000000000001E-3</v>
      </c>
      <c r="K722" s="209">
        <v>4.0825999999999997E-6</v>
      </c>
      <c r="L722" s="209">
        <v>3.6694999999999999E-7</v>
      </c>
      <c r="M722" s="209">
        <v>8.2142999999999995E-4</v>
      </c>
      <c r="N722" s="209">
        <v>1.2404E-2</v>
      </c>
      <c r="O722" s="209">
        <v>1.2416E-3</v>
      </c>
      <c r="P722" s="209">
        <v>1.1406000000000001E-3</v>
      </c>
      <c r="Q722" s="209">
        <v>1.5714E-4</v>
      </c>
      <c r="R722" s="209">
        <v>1.0509E-8</v>
      </c>
      <c r="S722" s="209">
        <v>1.9802000000000001E-5</v>
      </c>
      <c r="T722" s="209">
        <v>3.0861000000000001E-5</v>
      </c>
      <c r="U722" s="209">
        <v>3.2064000000000003E-5</v>
      </c>
      <c r="V722" s="209">
        <v>5.5578999999999998E-5</v>
      </c>
      <c r="W722" s="131" t="s">
        <v>1150</v>
      </c>
      <c r="X722" s="2"/>
    </row>
    <row r="723" spans="2:24" ht="15" thickBot="1">
      <c r="B723" s="2"/>
      <c r="D723" s="208"/>
      <c r="E723" s="199"/>
      <c r="F723" s="199"/>
      <c r="G723" s="199"/>
      <c r="H723" s="199"/>
      <c r="I723" s="199"/>
      <c r="J723" s="199"/>
      <c r="K723" s="199"/>
      <c r="L723" s="199"/>
      <c r="M723" s="199"/>
      <c r="N723" s="199"/>
      <c r="O723" s="199"/>
      <c r="P723" s="199"/>
      <c r="Q723" s="199"/>
      <c r="R723" s="199"/>
      <c r="S723" s="199"/>
      <c r="T723" s="199"/>
      <c r="U723" s="199"/>
      <c r="V723" s="199"/>
      <c r="W723" s="131"/>
      <c r="X723" s="2"/>
    </row>
    <row r="724" spans="2:24" ht="29.5" thickBot="1">
      <c r="B724" s="2"/>
      <c r="D724" s="208" t="s">
        <v>1718</v>
      </c>
      <c r="E724" s="209">
        <v>1.0688E-3</v>
      </c>
      <c r="F724" s="209">
        <v>0.22276000000000001</v>
      </c>
      <c r="G724" s="209">
        <v>2.7483E-2</v>
      </c>
      <c r="H724" s="209">
        <v>3.6977000000000003E-2</v>
      </c>
      <c r="I724" s="209">
        <v>1.6497999999999999</v>
      </c>
      <c r="J724" s="209">
        <v>7.659E-3</v>
      </c>
      <c r="K724" s="209">
        <v>1.2872999999999999E-3</v>
      </c>
      <c r="L724" s="209">
        <v>5.3052000000000004E-3</v>
      </c>
      <c r="M724" s="209">
        <v>2.912E-2</v>
      </c>
      <c r="N724" s="209">
        <v>3.4866000000000001</v>
      </c>
      <c r="O724" s="209">
        <v>5.8527999999999997E-2</v>
      </c>
      <c r="P724" s="209">
        <v>8.1040999999999995E-3</v>
      </c>
      <c r="Q724" s="209">
        <v>6.4301000000000002E-3</v>
      </c>
      <c r="R724" s="209">
        <v>1.8225999999999999E-6</v>
      </c>
      <c r="S724" s="209">
        <v>3.5438000000000001E-4</v>
      </c>
      <c r="T724" s="209">
        <v>7.9107999999999999E-4</v>
      </c>
      <c r="U724" s="209">
        <v>8.1484000000000005E-4</v>
      </c>
      <c r="V724" s="209">
        <v>3.4751000000000001E-3</v>
      </c>
      <c r="W724" s="131" t="s">
        <v>1009</v>
      </c>
      <c r="X724" s="2"/>
    </row>
    <row r="725" spans="2:24">
      <c r="B725" s="2"/>
      <c r="D725" s="208"/>
      <c r="E725" s="199"/>
      <c r="F725" s="199"/>
      <c r="G725" s="199"/>
      <c r="H725" s="199"/>
      <c r="I725" s="199"/>
      <c r="J725" s="199"/>
      <c r="K725" s="199"/>
      <c r="L725" s="199"/>
      <c r="M725" s="199"/>
      <c r="N725" s="199"/>
      <c r="O725" s="199"/>
      <c r="P725" s="199"/>
      <c r="Q725" s="199"/>
      <c r="R725" s="199"/>
      <c r="S725" s="199"/>
      <c r="T725" s="199"/>
      <c r="U725" s="199"/>
      <c r="V725" s="199"/>
      <c r="W725" s="131"/>
      <c r="X725" s="2"/>
    </row>
    <row r="726" spans="2:24" ht="15" thickBot="1">
      <c r="B726" s="2"/>
      <c r="D726" s="198" t="s">
        <v>607</v>
      </c>
      <c r="E726" s="199"/>
      <c r="F726" s="199"/>
      <c r="G726" s="199"/>
      <c r="H726" s="199"/>
      <c r="I726" s="199"/>
      <c r="J726" s="199"/>
      <c r="K726" s="199"/>
      <c r="L726" s="199"/>
      <c r="M726" s="199"/>
      <c r="N726" s="199"/>
      <c r="O726" s="199"/>
      <c r="P726" s="199"/>
      <c r="Q726" s="199"/>
      <c r="R726" s="199"/>
      <c r="S726" s="199"/>
      <c r="T726" s="199"/>
      <c r="U726" s="199"/>
      <c r="V726" s="199"/>
      <c r="W726" s="131"/>
      <c r="X726" s="2"/>
    </row>
    <row r="727" spans="2:24" ht="15" thickBot="1">
      <c r="B727" s="2"/>
      <c r="D727" s="198" t="s">
        <v>1719</v>
      </c>
      <c r="E727" s="209">
        <v>8.3286000000000002E-3</v>
      </c>
      <c r="F727" s="209">
        <v>3.0937000000000001</v>
      </c>
      <c r="G727" s="209">
        <v>0.11600000000000001</v>
      </c>
      <c r="H727" s="209">
        <v>0.15397</v>
      </c>
      <c r="I727" s="209">
        <v>12.936999999999999</v>
      </c>
      <c r="J727" s="209">
        <v>1.5660000000000001</v>
      </c>
      <c r="K727" s="209">
        <v>6.2721000000000001E-4</v>
      </c>
      <c r="L727" s="209">
        <v>9.8713000000000002E-5</v>
      </c>
      <c r="M727" s="209">
        <v>0.15786</v>
      </c>
      <c r="N727" s="209">
        <v>2.3117000000000001</v>
      </c>
      <c r="O727" s="209">
        <v>0.14334</v>
      </c>
      <c r="P727" s="209">
        <v>4.0545999999999999E-2</v>
      </c>
      <c r="Q727" s="209">
        <v>2.9277000000000001E-2</v>
      </c>
      <c r="R727" s="209">
        <v>1.9803999999999999E-5</v>
      </c>
      <c r="S727" s="209">
        <v>3.4451E-3</v>
      </c>
      <c r="T727" s="209">
        <v>6.1492999999999999E-3</v>
      </c>
      <c r="U727" s="209">
        <v>6.5592999999999997E-3</v>
      </c>
      <c r="V727" s="209">
        <v>3.533E-2</v>
      </c>
      <c r="W727" s="130" t="s">
        <v>611</v>
      </c>
      <c r="X727" s="2"/>
    </row>
    <row r="728" spans="2:24" ht="15" thickBot="1">
      <c r="B728" s="2"/>
      <c r="D728" s="198"/>
      <c r="E728" s="199"/>
      <c r="F728" s="199"/>
      <c r="G728" s="199"/>
      <c r="H728" s="199"/>
      <c r="I728" s="199"/>
      <c r="J728" s="199"/>
      <c r="K728" s="199"/>
      <c r="L728" s="199"/>
      <c r="M728" s="199"/>
      <c r="N728" s="199"/>
      <c r="O728" s="199"/>
      <c r="P728" s="199"/>
      <c r="Q728" s="199"/>
      <c r="R728" s="199"/>
      <c r="S728" s="199"/>
      <c r="T728" s="199"/>
      <c r="U728" s="199"/>
      <c r="V728" s="199"/>
      <c r="W728" s="130"/>
      <c r="X728" s="2"/>
    </row>
    <row r="729" spans="2:24" ht="29.5" thickBot="1">
      <c r="B729" s="2"/>
      <c r="D729" s="198" t="s">
        <v>1720</v>
      </c>
      <c r="E729" s="209">
        <v>0.67669999999999997</v>
      </c>
      <c r="F729" s="209">
        <v>335.73</v>
      </c>
      <c r="G729" s="209">
        <v>5.3898999999999999</v>
      </c>
      <c r="H729" s="209">
        <v>7.4093</v>
      </c>
      <c r="I729" s="209">
        <v>746.66</v>
      </c>
      <c r="J729" s="209">
        <v>43.918999999999997</v>
      </c>
      <c r="K729" s="209">
        <v>3.8290999999999999E-2</v>
      </c>
      <c r="L729" s="209">
        <v>3.9619E-3</v>
      </c>
      <c r="M729" s="209">
        <v>8.0268999999999995</v>
      </c>
      <c r="N729" s="209">
        <v>140.13999999999999</v>
      </c>
      <c r="O729" s="209">
        <v>3.3677999999999999</v>
      </c>
      <c r="P729" s="209">
        <v>7.0578000000000003</v>
      </c>
      <c r="Q729" s="209">
        <v>2.718</v>
      </c>
      <c r="R729" s="209">
        <v>2.9468999999999999E-5</v>
      </c>
      <c r="S729" s="209">
        <v>0.28377999999999998</v>
      </c>
      <c r="T729" s="209">
        <v>0.83023999999999998</v>
      </c>
      <c r="U729" s="209">
        <v>0.84855999999999998</v>
      </c>
      <c r="V729" s="209">
        <v>0.63897000000000004</v>
      </c>
      <c r="W729" s="130" t="s">
        <v>1436</v>
      </c>
      <c r="X729" s="2"/>
    </row>
    <row r="730" spans="2:24" ht="15" thickBot="1">
      <c r="B730" s="2"/>
      <c r="D730" s="198"/>
      <c r="E730" s="199"/>
      <c r="F730" s="199"/>
      <c r="G730" s="199"/>
      <c r="H730" s="199"/>
      <c r="I730" s="199"/>
      <c r="J730" s="199"/>
      <c r="K730" s="199"/>
      <c r="L730" s="199"/>
      <c r="M730" s="199"/>
      <c r="N730" s="199"/>
      <c r="O730" s="199"/>
      <c r="P730" s="199"/>
      <c r="Q730" s="199"/>
      <c r="R730" s="199"/>
      <c r="S730" s="199"/>
      <c r="T730" s="199"/>
      <c r="U730" s="199"/>
      <c r="V730" s="199"/>
      <c r="W730" s="130"/>
      <c r="X730" s="2"/>
    </row>
    <row r="731" spans="2:24" ht="15" thickBot="1">
      <c r="B731" s="2"/>
      <c r="D731" s="198" t="s">
        <v>626</v>
      </c>
      <c r="E731" s="209">
        <v>1.8054000000000001E-2</v>
      </c>
      <c r="F731" s="209">
        <v>5.1087999999999996</v>
      </c>
      <c r="G731" s="209">
        <v>0.27542</v>
      </c>
      <c r="H731" s="209">
        <v>0.35966999999999999</v>
      </c>
      <c r="I731" s="209">
        <v>23.198</v>
      </c>
      <c r="J731" s="209">
        <v>1.9450000000000001</v>
      </c>
      <c r="K731" s="209">
        <v>1.2887E-3</v>
      </c>
      <c r="L731" s="209">
        <v>8.3723000000000001E-4</v>
      </c>
      <c r="M731" s="209">
        <v>0.28861999999999999</v>
      </c>
      <c r="N731" s="209">
        <v>4.9627999999999997</v>
      </c>
      <c r="O731" s="209">
        <v>0.32650000000000001</v>
      </c>
      <c r="P731" s="209">
        <v>6.4434000000000005E-2</v>
      </c>
      <c r="Q731" s="209">
        <v>7.3955999999999994E-2</v>
      </c>
      <c r="R731" s="209">
        <v>1.4044E-5</v>
      </c>
      <c r="S731" s="209">
        <v>7.0715999999999999E-3</v>
      </c>
      <c r="T731" s="209">
        <v>9.5344999999999996E-3</v>
      </c>
      <c r="U731" s="209">
        <v>1.0059E-2</v>
      </c>
      <c r="V731" s="209">
        <v>0.12569</v>
      </c>
      <c r="W731" s="131" t="s">
        <v>621</v>
      </c>
      <c r="X731" s="2"/>
    </row>
    <row r="732" spans="2:24" ht="15" thickBot="1">
      <c r="B732" s="2"/>
      <c r="D732" s="198"/>
      <c r="E732" s="199"/>
      <c r="F732" s="199"/>
      <c r="G732" s="199"/>
      <c r="H732" s="199"/>
      <c r="I732" s="199"/>
      <c r="J732" s="199"/>
      <c r="K732" s="199"/>
      <c r="L732" s="199"/>
      <c r="M732" s="199"/>
      <c r="N732" s="199"/>
      <c r="O732" s="199"/>
      <c r="P732" s="199"/>
      <c r="Q732" s="199"/>
      <c r="R732" s="199"/>
      <c r="S732" s="199"/>
      <c r="T732" s="199"/>
      <c r="U732" s="199"/>
      <c r="V732" s="199"/>
      <c r="W732" s="131"/>
      <c r="X732" s="2"/>
    </row>
    <row r="733" spans="2:24" ht="29.5" thickBot="1">
      <c r="B733" s="2"/>
      <c r="D733" s="198" t="s">
        <v>622</v>
      </c>
      <c r="E733" s="209">
        <v>1.7451000000000001E-2</v>
      </c>
      <c r="F733" s="209">
        <v>4.9592999999999998</v>
      </c>
      <c r="G733" s="209">
        <v>0.23737</v>
      </c>
      <c r="H733" s="209">
        <v>0.31035000000000001</v>
      </c>
      <c r="I733" s="209">
        <v>20.062000000000001</v>
      </c>
      <c r="J733" s="209">
        <v>1.9501999999999999</v>
      </c>
      <c r="K733" s="209">
        <v>1.1941E-3</v>
      </c>
      <c r="L733" s="209">
        <v>9.9262000000000005E-4</v>
      </c>
      <c r="M733" s="209">
        <v>0.29952000000000001</v>
      </c>
      <c r="N733" s="209">
        <v>4.3262999999999998</v>
      </c>
      <c r="O733" s="209">
        <v>0.29071000000000002</v>
      </c>
      <c r="P733" s="209">
        <v>5.8013000000000002E-2</v>
      </c>
      <c r="Q733" s="209">
        <v>6.5161999999999998E-2</v>
      </c>
      <c r="R733" s="209">
        <v>1.0637E-5</v>
      </c>
      <c r="S733" s="209">
        <v>6.9034999999999999E-3</v>
      </c>
      <c r="T733" s="209">
        <v>9.7023999999999999E-3</v>
      </c>
      <c r="U733" s="209">
        <v>1.0343E-2</v>
      </c>
      <c r="V733" s="209">
        <v>0.12526999999999999</v>
      </c>
      <c r="W733" s="131" t="s">
        <v>623</v>
      </c>
      <c r="X733" s="2"/>
    </row>
    <row r="734" spans="2:24" ht="15" thickBot="1">
      <c r="B734" s="2"/>
      <c r="D734" s="198"/>
      <c r="E734" s="199"/>
      <c r="F734" s="199"/>
      <c r="G734" s="199"/>
      <c r="H734" s="199"/>
      <c r="I734" s="199"/>
      <c r="J734" s="199"/>
      <c r="K734" s="199"/>
      <c r="L734" s="199"/>
      <c r="M734" s="199"/>
      <c r="N734" s="199"/>
      <c r="O734" s="199"/>
      <c r="P734" s="199"/>
      <c r="Q734" s="199"/>
      <c r="R734" s="199"/>
      <c r="S734" s="199"/>
      <c r="T734" s="199"/>
      <c r="U734" s="199"/>
      <c r="V734" s="199"/>
      <c r="W734" s="131"/>
      <c r="X734" s="2"/>
    </row>
    <row r="735" spans="2:24" ht="15" thickBot="1">
      <c r="B735" s="2"/>
      <c r="D735" s="266" t="s">
        <v>625</v>
      </c>
      <c r="E735" s="209">
        <v>4.5152999999999999E-3</v>
      </c>
      <c r="F735" s="209">
        <v>1.7648999999999999</v>
      </c>
      <c r="G735" s="209">
        <v>8.6372000000000004E-2</v>
      </c>
      <c r="H735" s="209">
        <v>0.11375</v>
      </c>
      <c r="I735" s="209">
        <v>6.7503000000000002</v>
      </c>
      <c r="J735" s="209">
        <v>0.98736000000000002</v>
      </c>
      <c r="K735" s="209">
        <v>7.8228E-4</v>
      </c>
      <c r="L735" s="209">
        <v>8.4215000000000006E-5</v>
      </c>
      <c r="M735" s="209">
        <v>8.4215000000000006E-5</v>
      </c>
      <c r="N735" s="209">
        <v>0.11297</v>
      </c>
      <c r="O735" s="209">
        <v>0.43758999999999998</v>
      </c>
      <c r="P735" s="209">
        <v>3.6339000000000003E-2</v>
      </c>
      <c r="Q735" s="209">
        <v>2.3071000000000001E-2</v>
      </c>
      <c r="R735" s="209">
        <v>5.1771999999999995E-7</v>
      </c>
      <c r="S735" s="209">
        <v>1.7887999999999999E-3</v>
      </c>
      <c r="T735" s="209">
        <v>3.6235E-3</v>
      </c>
      <c r="U735" s="209">
        <v>4.1980000000000003E-3</v>
      </c>
      <c r="V735" s="209">
        <v>5.4705999999999998E-2</v>
      </c>
      <c r="W735" s="131" t="s">
        <v>624</v>
      </c>
      <c r="X735" s="2"/>
    </row>
    <row r="736" spans="2:24" ht="15" thickBot="1">
      <c r="B736" s="2"/>
      <c r="D736" s="198"/>
      <c r="E736" s="199"/>
      <c r="F736" s="199"/>
      <c r="G736" s="199"/>
      <c r="H736" s="199"/>
      <c r="I736" s="199"/>
      <c r="J736" s="199"/>
      <c r="K736" s="199"/>
      <c r="L736" s="199"/>
      <c r="M736" s="199"/>
      <c r="N736" s="199"/>
      <c r="O736" s="199"/>
      <c r="P736" s="199"/>
      <c r="Q736" s="199"/>
      <c r="R736" s="199"/>
      <c r="S736" s="199"/>
      <c r="T736" s="199"/>
      <c r="U736" s="199"/>
      <c r="V736" s="199"/>
      <c r="W736" s="131"/>
      <c r="X736" s="2"/>
    </row>
    <row r="737" spans="2:24" ht="29.5" thickBot="1">
      <c r="B737" s="2"/>
      <c r="D737" s="198" t="s">
        <v>627</v>
      </c>
      <c r="E737" s="209">
        <v>8.3009999999999994E-3</v>
      </c>
      <c r="F737" s="209">
        <v>2.3165</v>
      </c>
      <c r="G737" s="209">
        <v>0.11811000000000001</v>
      </c>
      <c r="H737" s="209">
        <v>0.15525</v>
      </c>
      <c r="I737" s="209">
        <v>11.243</v>
      </c>
      <c r="J737" s="209">
        <v>0.60516999999999999</v>
      </c>
      <c r="K737" s="209">
        <v>6.7135999999999997E-4</v>
      </c>
      <c r="L737" s="209">
        <v>4.0013000000000002E-3</v>
      </c>
      <c r="M737" s="209">
        <v>0.1196</v>
      </c>
      <c r="N737" s="209">
        <v>2.3628</v>
      </c>
      <c r="O737" s="209">
        <v>9.8003000000000007E-2</v>
      </c>
      <c r="P737" s="209">
        <v>3.8053999999999998E-2</v>
      </c>
      <c r="Q737" s="209">
        <v>7.6587000000000002E-2</v>
      </c>
      <c r="R737" s="209">
        <v>9.5502000000000009E-7</v>
      </c>
      <c r="S737" s="209">
        <v>3.307E-3</v>
      </c>
      <c r="T737" s="209">
        <v>4.0336E-3</v>
      </c>
      <c r="U737" s="209">
        <v>4.2332999999999997E-3</v>
      </c>
      <c r="V737" s="209">
        <v>4.2784000000000003E-2</v>
      </c>
      <c r="W737" s="131" t="s">
        <v>628</v>
      </c>
      <c r="X737" s="2"/>
    </row>
    <row r="738" spans="2:24" ht="15" thickBot="1">
      <c r="B738" s="2"/>
      <c r="D738" s="198"/>
      <c r="E738" s="199"/>
      <c r="F738" s="199"/>
      <c r="G738" s="199"/>
      <c r="H738" s="199"/>
      <c r="I738" s="199"/>
      <c r="J738" s="199"/>
      <c r="K738" s="199"/>
      <c r="L738" s="199"/>
      <c r="M738" s="199"/>
      <c r="N738" s="199"/>
      <c r="O738" s="199"/>
      <c r="P738" s="199"/>
      <c r="Q738" s="199"/>
      <c r="R738" s="199"/>
      <c r="S738" s="199"/>
      <c r="T738" s="199"/>
      <c r="U738" s="199"/>
      <c r="V738" s="199"/>
      <c r="W738" s="131"/>
      <c r="X738" s="2"/>
    </row>
    <row r="739" spans="2:24" ht="15" thickBot="1">
      <c r="B739" s="2"/>
      <c r="D739" s="198" t="s">
        <v>1316</v>
      </c>
      <c r="E739" s="209">
        <v>5.8070999999999999E-3</v>
      </c>
      <c r="F739" s="209">
        <v>2.2692999999999999</v>
      </c>
      <c r="G739" s="209">
        <v>0.11627</v>
      </c>
      <c r="H739" s="209">
        <v>0.15159</v>
      </c>
      <c r="I739" s="209">
        <v>11.558999999999999</v>
      </c>
      <c r="J739" s="209">
        <v>1.1060000000000001</v>
      </c>
      <c r="K739" s="209">
        <v>5.9770000000000005E-4</v>
      </c>
      <c r="L739" s="209">
        <v>5.9718E-5</v>
      </c>
      <c r="M739" s="209">
        <v>0.13074</v>
      </c>
      <c r="N739" s="209">
        <v>2.1374</v>
      </c>
      <c r="O739" s="209">
        <v>0.16631000000000001</v>
      </c>
      <c r="P739" s="209">
        <v>3.4231999999999999E-2</v>
      </c>
      <c r="Q739" s="209">
        <v>2.6877000000000002E-2</v>
      </c>
      <c r="R739" s="209">
        <v>4.2212000000000002E-7</v>
      </c>
      <c r="S739" s="209">
        <v>2.5490000000000001E-3</v>
      </c>
      <c r="T739" s="209">
        <v>4.8113000000000001E-3</v>
      </c>
      <c r="U739" s="209">
        <v>5.3666E-3</v>
      </c>
      <c r="V739" s="209">
        <v>1.9016000000000002E-2</v>
      </c>
      <c r="W739" s="131" t="s">
        <v>1315</v>
      </c>
      <c r="X739" s="2"/>
    </row>
    <row r="740" spans="2:24" ht="15" thickBot="1">
      <c r="B740" s="2"/>
      <c r="D740" s="198"/>
      <c r="E740" s="199"/>
      <c r="F740" s="199"/>
      <c r="G740" s="199"/>
      <c r="H740" s="199"/>
      <c r="I740" s="199"/>
      <c r="J740" s="199"/>
      <c r="K740" s="199"/>
      <c r="L740" s="199"/>
      <c r="M740" s="199"/>
      <c r="N740" s="199"/>
      <c r="O740" s="199"/>
      <c r="P740" s="199"/>
      <c r="Q740" s="199"/>
      <c r="R740" s="199"/>
      <c r="S740" s="199"/>
      <c r="T740" s="199"/>
      <c r="U740" s="199"/>
      <c r="V740" s="199"/>
      <c r="W740" s="131"/>
      <c r="X740" s="2"/>
    </row>
    <row r="741" spans="2:24" ht="15" thickBot="1">
      <c r="B741" s="2"/>
      <c r="D741" s="198" t="s">
        <v>892</v>
      </c>
      <c r="E741" s="209">
        <v>1.7826000000000002E-2</v>
      </c>
      <c r="F741" s="209">
        <v>4.6966000000000001</v>
      </c>
      <c r="G741" s="209">
        <v>0.42438999999999999</v>
      </c>
      <c r="H741" s="209">
        <v>0.62209000000000003</v>
      </c>
      <c r="I741" s="209">
        <v>159</v>
      </c>
      <c r="J741" s="209">
        <v>1.0919000000000001</v>
      </c>
      <c r="K741" s="209">
        <v>1.6887E-3</v>
      </c>
      <c r="L741" s="209">
        <v>1.7742999999999999E-4</v>
      </c>
      <c r="M741" s="209">
        <v>8.4543999999999997</v>
      </c>
      <c r="N741" s="209">
        <v>6.5590999999999999</v>
      </c>
      <c r="O741" s="209">
        <v>0.36183999999999999</v>
      </c>
      <c r="P741" s="209">
        <v>0.16661999999999999</v>
      </c>
      <c r="Q741" s="209">
        <v>0.51624000000000003</v>
      </c>
      <c r="R741" s="209">
        <v>1.1997999999999999E-6</v>
      </c>
      <c r="S741" s="209">
        <v>1.7118000000000001E-2</v>
      </c>
      <c r="T741" s="209">
        <v>1.1572000000000001E-2</v>
      </c>
      <c r="U741" s="209">
        <v>1.2054E-2</v>
      </c>
      <c r="V741" s="209">
        <v>3.0735999999999999E-2</v>
      </c>
      <c r="W741" s="131" t="s">
        <v>891</v>
      </c>
      <c r="X741" s="2"/>
    </row>
    <row r="742" spans="2:24" ht="15" thickBot="1">
      <c r="B742" s="2"/>
      <c r="D742" s="198"/>
      <c r="E742" s="199"/>
      <c r="F742" s="199"/>
      <c r="G742" s="199"/>
      <c r="H742" s="199"/>
      <c r="I742" s="199"/>
      <c r="J742" s="199"/>
      <c r="K742" s="199"/>
      <c r="L742" s="199"/>
      <c r="M742" s="199"/>
      <c r="N742" s="199"/>
      <c r="O742" s="199"/>
      <c r="P742" s="199"/>
      <c r="Q742" s="199"/>
      <c r="R742" s="199"/>
      <c r="S742" s="199"/>
      <c r="T742" s="199"/>
      <c r="U742" s="199"/>
      <c r="V742" s="199"/>
      <c r="W742" s="131"/>
      <c r="X742" s="2"/>
    </row>
    <row r="743" spans="2:24" ht="15" thickBot="1">
      <c r="B743" s="2"/>
      <c r="D743" s="198" t="s">
        <v>893</v>
      </c>
      <c r="E743" s="209">
        <v>4.3046999999999998E-3</v>
      </c>
      <c r="F743" s="209">
        <v>1.6947000000000001</v>
      </c>
      <c r="G743" s="209">
        <v>0.15765999999999999</v>
      </c>
      <c r="H743" s="209">
        <v>0.20979999999999999</v>
      </c>
      <c r="I743" s="209">
        <v>8.8718000000000004</v>
      </c>
      <c r="J743" s="209">
        <v>0.42360999999999999</v>
      </c>
      <c r="K743" s="209">
        <v>7.3957999999999999E-4</v>
      </c>
      <c r="L743" s="209">
        <v>2.0872999999999999E-4</v>
      </c>
      <c r="M743" s="209">
        <v>0.74822</v>
      </c>
      <c r="N743" s="209">
        <v>2.6553</v>
      </c>
      <c r="O743" s="209">
        <v>0.28655999999999998</v>
      </c>
      <c r="P743" s="209">
        <v>5.2422999999999997E-2</v>
      </c>
      <c r="Q743" s="209">
        <v>0.15745000000000001</v>
      </c>
      <c r="R743" s="209">
        <v>4.6156000000000001E-7</v>
      </c>
      <c r="S743" s="209">
        <v>2.0278000000000002E-3</v>
      </c>
      <c r="T743" s="209">
        <v>3.1319999999999998E-3</v>
      </c>
      <c r="U743" s="209">
        <v>3.3866E-3</v>
      </c>
      <c r="V743" s="209">
        <v>1.5403E-2</v>
      </c>
      <c r="W743" s="131" t="s">
        <v>894</v>
      </c>
      <c r="X743" s="2"/>
    </row>
    <row r="744" spans="2:24" ht="15" thickBot="1">
      <c r="B744" s="2"/>
      <c r="D744" s="198"/>
      <c r="E744" s="199"/>
      <c r="F744" s="199"/>
      <c r="G744" s="199"/>
      <c r="H744" s="199"/>
      <c r="I744" s="199"/>
      <c r="J744" s="199"/>
      <c r="K744" s="199"/>
      <c r="L744" s="199"/>
      <c r="M744" s="199"/>
      <c r="N744" s="199"/>
      <c r="O744" s="199"/>
      <c r="P744" s="199"/>
      <c r="Q744" s="199"/>
      <c r="R744" s="199"/>
      <c r="S744" s="199"/>
      <c r="T744" s="199"/>
      <c r="U744" s="199"/>
      <c r="V744" s="199"/>
      <c r="W744" s="131"/>
      <c r="X744" s="2"/>
    </row>
    <row r="745" spans="2:24" ht="15" thickBot="1">
      <c r="B745" s="2"/>
      <c r="D745" s="198" t="s">
        <v>889</v>
      </c>
      <c r="E745" s="209">
        <v>1.9823E-2</v>
      </c>
      <c r="F745" s="209">
        <v>5.4461000000000004</v>
      </c>
      <c r="G745" s="209">
        <v>0.44940999999999998</v>
      </c>
      <c r="H745" s="209">
        <v>0.65673000000000004</v>
      </c>
      <c r="I745" s="209">
        <v>160.94999999999999</v>
      </c>
      <c r="J745" s="209">
        <v>1.2375</v>
      </c>
      <c r="K745" s="209">
        <v>1.9312999999999999E-3</v>
      </c>
      <c r="L745" s="209">
        <v>2.0581000000000001E-4</v>
      </c>
      <c r="M745" s="209">
        <v>8.8236000000000008</v>
      </c>
      <c r="N745" s="209">
        <v>7.0762</v>
      </c>
      <c r="O745" s="209">
        <v>0.28387000000000001</v>
      </c>
      <c r="P745" s="209">
        <v>0.18387999999999999</v>
      </c>
      <c r="Q745" s="209">
        <v>0.55489999999999995</v>
      </c>
      <c r="R745" s="209">
        <v>1.3827999999999999E-6</v>
      </c>
      <c r="S745" s="209">
        <v>1.8446000000000001E-2</v>
      </c>
      <c r="T745" s="209">
        <v>1.3396999999999999E-2</v>
      </c>
      <c r="U745" s="209">
        <v>1.3934999999999999E-2</v>
      </c>
      <c r="V745" s="209">
        <v>4.8052999999999998E-2</v>
      </c>
      <c r="W745" s="131" t="s">
        <v>890</v>
      </c>
      <c r="X745" s="2"/>
    </row>
    <row r="746" spans="2:24" ht="15" thickBot="1">
      <c r="B746" s="2"/>
      <c r="D746" s="198"/>
      <c r="E746" s="199"/>
      <c r="F746" s="199"/>
      <c r="G746" s="199"/>
      <c r="H746" s="199"/>
      <c r="I746" s="199"/>
      <c r="J746" s="199"/>
      <c r="K746" s="199"/>
      <c r="L746" s="199"/>
      <c r="M746" s="199"/>
      <c r="N746" s="199"/>
      <c r="O746" s="199"/>
      <c r="P746" s="199"/>
      <c r="Q746" s="199"/>
      <c r="R746" s="199"/>
      <c r="S746" s="199"/>
      <c r="T746" s="199"/>
      <c r="U746" s="199"/>
      <c r="V746" s="199"/>
      <c r="W746" s="131"/>
      <c r="X746" s="2"/>
    </row>
    <row r="747" spans="2:24" ht="15" thickBot="1">
      <c r="B747" s="2"/>
      <c r="D747" s="198" t="s">
        <v>1317</v>
      </c>
      <c r="E747" s="209">
        <v>1.1361E-6</v>
      </c>
      <c r="F747" s="209">
        <v>3.1449000000000001E-4</v>
      </c>
      <c r="G747" s="209">
        <v>1.6345E-5</v>
      </c>
      <c r="H747" s="209">
        <v>2.2484E-5</v>
      </c>
      <c r="I747" s="209">
        <v>1.1552999999999999E-3</v>
      </c>
      <c r="J747" s="209">
        <v>8.2797E-5</v>
      </c>
      <c r="K747" s="209">
        <v>2.0366000000000001E-7</v>
      </c>
      <c r="L747" s="209">
        <v>2.1222E-8</v>
      </c>
      <c r="M747" s="209">
        <v>2.5997999999999999E-4</v>
      </c>
      <c r="N747" s="209">
        <v>3.7706000000000003E-4</v>
      </c>
      <c r="O747" s="209">
        <v>1.082E-4</v>
      </c>
      <c r="P747" s="209">
        <v>8.2753000000000002E-6</v>
      </c>
      <c r="Q747" s="209">
        <v>3.4751E-5</v>
      </c>
      <c r="R747" s="209">
        <v>1.2082E-10</v>
      </c>
      <c r="S747" s="209">
        <v>5.1620999999999999E-7</v>
      </c>
      <c r="T747" s="209">
        <v>7.4931999999999999E-7</v>
      </c>
      <c r="U747" s="209">
        <v>7.8395999999999999E-7</v>
      </c>
      <c r="V747" s="209">
        <v>3.4526000000000002E-6</v>
      </c>
      <c r="W747" s="131" t="s">
        <v>1012</v>
      </c>
      <c r="X747" s="2"/>
    </row>
    <row r="748" spans="2:24" ht="15" thickBot="1">
      <c r="B748" s="2"/>
      <c r="D748" s="198"/>
      <c r="E748" s="199"/>
      <c r="F748" s="199"/>
      <c r="G748" s="199"/>
      <c r="H748" s="199"/>
      <c r="I748" s="199"/>
      <c r="J748" s="199"/>
      <c r="K748" s="199"/>
      <c r="L748" s="199"/>
      <c r="M748" s="199"/>
      <c r="N748" s="199"/>
      <c r="O748" s="199"/>
      <c r="P748" s="199"/>
      <c r="Q748" s="199"/>
      <c r="R748" s="199"/>
      <c r="S748" s="199"/>
      <c r="T748" s="199"/>
      <c r="U748" s="199"/>
      <c r="V748" s="199"/>
      <c r="W748" s="131"/>
      <c r="X748" s="2"/>
    </row>
    <row r="749" spans="2:24" ht="15" thickBot="1">
      <c r="B749" s="2"/>
      <c r="D749" s="200" t="s">
        <v>1157</v>
      </c>
      <c r="E749" s="209">
        <v>3.4393E-2</v>
      </c>
      <c r="F749" s="209">
        <v>11.315</v>
      </c>
      <c r="G749" s="209">
        <v>0.80081999999999998</v>
      </c>
      <c r="H749" s="209">
        <v>1.0477000000000001</v>
      </c>
      <c r="I749" s="209">
        <v>80.872</v>
      </c>
      <c r="J749" s="209">
        <v>3.2370000000000001</v>
      </c>
      <c r="K749" s="209">
        <v>3.5691999999999998E-3</v>
      </c>
      <c r="L749" s="209">
        <v>6.5253000000000002E-4</v>
      </c>
      <c r="M749" s="209">
        <v>0.74124000000000001</v>
      </c>
      <c r="N749" s="209">
        <v>13.135</v>
      </c>
      <c r="O749" s="209">
        <v>1.1785000000000001</v>
      </c>
      <c r="P749" s="209">
        <v>0.93317000000000005</v>
      </c>
      <c r="Q749" s="209">
        <v>0.62097999999999998</v>
      </c>
      <c r="R749" s="209">
        <v>2.4551999999999998E-6</v>
      </c>
      <c r="S749" s="209">
        <v>1.1173000000000001E-2</v>
      </c>
      <c r="T749" s="209">
        <v>1.8703000000000001E-2</v>
      </c>
      <c r="U749" s="209">
        <v>2.0013E-2</v>
      </c>
      <c r="V749" s="209">
        <v>0.13042999999999999</v>
      </c>
      <c r="W749" s="131" t="s">
        <v>1172</v>
      </c>
      <c r="X749" s="2"/>
    </row>
    <row r="750" spans="2:24" ht="15" thickBot="1">
      <c r="B750" s="2"/>
      <c r="D750" s="200"/>
      <c r="E750" s="199"/>
      <c r="F750" s="199"/>
      <c r="G750" s="199"/>
      <c r="H750" s="199"/>
      <c r="I750" s="199"/>
      <c r="J750" s="199"/>
      <c r="K750" s="199"/>
      <c r="L750" s="199"/>
      <c r="M750" s="199"/>
      <c r="N750" s="199"/>
      <c r="O750" s="199"/>
      <c r="P750" s="199"/>
      <c r="Q750" s="199"/>
      <c r="R750" s="199"/>
      <c r="S750" s="199"/>
      <c r="T750" s="199"/>
      <c r="U750" s="199"/>
      <c r="V750" s="199"/>
      <c r="W750" s="131"/>
      <c r="X750" s="2"/>
    </row>
    <row r="751" spans="2:24" ht="15" thickBot="1">
      <c r="B751" s="2"/>
      <c r="D751" s="198" t="s">
        <v>1481</v>
      </c>
      <c r="E751" s="209">
        <f>E710*G1280</f>
        <v>4.5311875361764438E-5</v>
      </c>
      <c r="F751" s="209">
        <f>F710*'Parameter Inputs'!J1280</f>
        <v>7.9685136292474312E-2</v>
      </c>
      <c r="G751" s="209">
        <f>'Parameter Inputs'!M1280*G710</f>
        <v>6.438486660479522E-3</v>
      </c>
      <c r="H751" s="209">
        <f>H710*'Parameter Inputs'!P1280</f>
        <v>8.0547278616105999E-3</v>
      </c>
      <c r="I751" s="209">
        <f>I710*'Parameter Inputs'!S1280</f>
        <v>0.28620261892127691</v>
      </c>
      <c r="J751" s="209">
        <f>J710*'Parameter Inputs'!V1280</f>
        <v>3.0928680977257598E-2</v>
      </c>
      <c r="K751" s="209">
        <f>Y1280</f>
        <v>0.18661248620947724</v>
      </c>
      <c r="L751" s="209">
        <f>L710*AB1280</f>
        <v>5.2120027099798661E-7</v>
      </c>
      <c r="M751" s="209">
        <f>M710*'Parameter Inputs'!AE1280</f>
        <v>6.8951517078480297E-3</v>
      </c>
      <c r="N751" s="209">
        <f>N710*'Parameter Inputs'!AH1280</f>
        <v>3.4734583542450674E-2</v>
      </c>
      <c r="O751" s="209">
        <f>O710*AK1280</f>
        <v>1.1938471803761116E-2</v>
      </c>
      <c r="P751" s="209">
        <f>P710*AN1280</f>
        <v>9.6201822622925693E-3</v>
      </c>
      <c r="Q751" s="209">
        <f>Q710*'Parameter Inputs'!AQ1280</f>
        <v>2.5186318698041943E-3</v>
      </c>
      <c r="R751" s="209">
        <f>R710*AT1280</f>
        <v>5.6361860983193421E-8</v>
      </c>
      <c r="S751" s="209">
        <f>S710*AW1280</f>
        <v>2.2401108835388514E-5</v>
      </c>
      <c r="T751" s="209">
        <f>T710*AZ1280</f>
        <v>8.6184208278366884E-5</v>
      </c>
      <c r="U751" s="209">
        <f>U710*BC1280</f>
        <v>9.0149808175803562E-5</v>
      </c>
      <c r="V751" s="209">
        <f>V710*'Parameter Inputs'!BF1280</f>
        <v>5.7852546306217246E-4</v>
      </c>
      <c r="X751" s="2"/>
    </row>
    <row r="752" spans="2:24" ht="15" thickBot="1">
      <c r="B752" s="2"/>
      <c r="D752" s="198"/>
      <c r="E752" s="199"/>
      <c r="F752" s="199"/>
      <c r="G752" s="199"/>
      <c r="H752" s="199"/>
      <c r="I752" s="199"/>
      <c r="J752" s="199"/>
      <c r="K752" s="199"/>
      <c r="L752" s="199"/>
      <c r="M752" s="199"/>
      <c r="N752" s="199"/>
      <c r="O752" s="199"/>
      <c r="P752" s="199"/>
      <c r="Q752" s="199"/>
      <c r="R752" s="199"/>
      <c r="S752" s="199"/>
      <c r="T752" s="199"/>
      <c r="U752" s="199"/>
      <c r="V752" s="199"/>
      <c r="X752" s="2"/>
    </row>
    <row r="753" spans="2:34" ht="15" thickBot="1">
      <c r="B753" s="2"/>
      <c r="D753" s="97" t="s">
        <v>1579</v>
      </c>
      <c r="E753" s="209">
        <v>5.5038999999999999E-3</v>
      </c>
      <c r="F753" s="209">
        <v>2.1107999999999998</v>
      </c>
      <c r="G753" s="209">
        <v>0.14909</v>
      </c>
      <c r="H753" s="209">
        <v>0.20946999999999999</v>
      </c>
      <c r="I753" s="209">
        <v>7.1990999999999996</v>
      </c>
      <c r="J753" s="209">
        <v>0.48483999999999999</v>
      </c>
      <c r="K753" s="209">
        <v>9.6557000000000001E-4</v>
      </c>
      <c r="L753" s="209">
        <v>9.8833999999999996E-5</v>
      </c>
      <c r="M753" s="209">
        <v>1.7805</v>
      </c>
      <c r="N753" s="209">
        <v>1.8136000000000001</v>
      </c>
      <c r="O753" s="209">
        <v>7.0640999999999995E-2</v>
      </c>
      <c r="P753" s="209">
        <v>3.5209999999999998E-2</v>
      </c>
      <c r="Q753" s="209">
        <v>0.70682</v>
      </c>
      <c r="R753" s="209">
        <v>3.2712999999999999E-7</v>
      </c>
      <c r="S753" s="209">
        <v>3.6288000000000002E-3</v>
      </c>
      <c r="T753" s="209">
        <v>5.3315999999999997E-3</v>
      </c>
      <c r="U753" s="209">
        <v>5.7884E-3</v>
      </c>
      <c r="V753" s="209">
        <v>2.1451000000000001E-2</v>
      </c>
      <c r="W753" s="5" t="s">
        <v>1581</v>
      </c>
      <c r="X753" s="2"/>
    </row>
    <row r="754" spans="2:34" ht="15" thickBot="1">
      <c r="B754" s="2"/>
      <c r="D754" s="97"/>
      <c r="E754" s="199"/>
      <c r="F754" s="199"/>
      <c r="G754" s="199"/>
      <c r="H754" s="199"/>
      <c r="I754" s="199"/>
      <c r="J754" s="199"/>
      <c r="K754" s="199"/>
      <c r="L754" s="199"/>
      <c r="M754" s="199"/>
      <c r="N754" s="199"/>
      <c r="O754" s="199"/>
      <c r="P754" s="199"/>
      <c r="Q754" s="199"/>
      <c r="R754" s="199"/>
      <c r="S754" s="199"/>
      <c r="T754" s="199"/>
      <c r="U754" s="199"/>
      <c r="V754" s="199"/>
      <c r="X754" s="2"/>
    </row>
    <row r="755" spans="2:34" ht="15" thickBot="1">
      <c r="B755" s="2"/>
      <c r="D755" s="97" t="s">
        <v>1583</v>
      </c>
      <c r="E755" s="209">
        <v>2.6809999999999998E-3</v>
      </c>
      <c r="F755" s="209">
        <v>0.59326000000000001</v>
      </c>
      <c r="G755" s="209">
        <v>3.8899999999999998E-3</v>
      </c>
      <c r="H755" s="209">
        <v>5.9715999999999997E-3</v>
      </c>
      <c r="I755" s="209">
        <v>0.70209999999999995</v>
      </c>
      <c r="J755" s="209">
        <v>0.17316999999999999</v>
      </c>
      <c r="K755" s="209">
        <v>2.7257999999999999E-5</v>
      </c>
      <c r="L755" s="209">
        <v>1.4809E-5</v>
      </c>
      <c r="M755" s="209">
        <v>3.7346999999999998E-2</v>
      </c>
      <c r="N755" s="209">
        <v>7.3114999999999999E-2</v>
      </c>
      <c r="O755" s="209">
        <v>5.2811000000000004E-3</v>
      </c>
      <c r="P755" s="209">
        <v>1.8844000000000001E-3</v>
      </c>
      <c r="Q755" s="209">
        <v>1.2697E-2</v>
      </c>
      <c r="R755" s="209">
        <v>2.1262999999999999E-7</v>
      </c>
      <c r="S755" s="209">
        <v>1.4011E-3</v>
      </c>
      <c r="T755" s="209">
        <v>6.3540000000000003E-3</v>
      </c>
      <c r="U755" s="209">
        <v>6.5298999999999999E-3</v>
      </c>
      <c r="V755" s="209">
        <v>6.3064000000000002E-4</v>
      </c>
      <c r="W755" s="5" t="s">
        <v>1582</v>
      </c>
      <c r="X755" s="2"/>
    </row>
    <row r="756" spans="2:34" ht="15" thickBot="1">
      <c r="B756" s="2"/>
      <c r="D756" s="97"/>
      <c r="E756" s="199"/>
      <c r="F756" s="199"/>
      <c r="G756" s="199"/>
      <c r="H756" s="199"/>
      <c r="I756" s="199"/>
      <c r="J756" s="199"/>
      <c r="K756" s="199"/>
      <c r="L756" s="199"/>
      <c r="M756" s="199"/>
      <c r="N756" s="199"/>
      <c r="O756" s="199"/>
      <c r="P756" s="199"/>
      <c r="Q756" s="199"/>
      <c r="R756" s="199"/>
      <c r="S756" s="199"/>
      <c r="T756" s="199"/>
      <c r="U756" s="199"/>
      <c r="V756" s="199"/>
      <c r="X756" s="2"/>
    </row>
    <row r="757" spans="2:34" ht="15" thickBot="1">
      <c r="B757" s="2"/>
      <c r="D757" s="97" t="s">
        <v>1586</v>
      </c>
      <c r="E757" s="209">
        <v>2.988</v>
      </c>
      <c r="F757" s="209">
        <v>1003.4</v>
      </c>
      <c r="G757" s="209">
        <v>28.172999999999998</v>
      </c>
      <c r="H757" s="209">
        <v>38.978999999999999</v>
      </c>
      <c r="I757" s="209">
        <v>2410.9</v>
      </c>
      <c r="J757" s="209">
        <v>214.44</v>
      </c>
      <c r="K757" s="209">
        <v>0.30997999999999998</v>
      </c>
      <c r="L757" s="209">
        <v>2.7338000000000001E-2</v>
      </c>
      <c r="M757" s="209">
        <v>173.56</v>
      </c>
      <c r="N757" s="209">
        <v>628.14</v>
      </c>
      <c r="O757" s="209">
        <v>67.709999999999994</v>
      </c>
      <c r="P757" s="209">
        <v>21.254000000000001</v>
      </c>
      <c r="Q757" s="209">
        <v>61.457999999999998</v>
      </c>
      <c r="R757" s="209">
        <v>2.3871E-4</v>
      </c>
      <c r="S757" s="209">
        <v>1.6328</v>
      </c>
      <c r="T757" s="209">
        <v>2.5306999999999999</v>
      </c>
      <c r="U757" s="209">
        <v>2.6202000000000001</v>
      </c>
      <c r="V757" s="209">
        <v>6.0583</v>
      </c>
      <c r="W757" s="5" t="s">
        <v>1587</v>
      </c>
      <c r="X757" s="2"/>
    </row>
    <row r="758" spans="2:34" ht="15" thickBot="1">
      <c r="B758" s="2"/>
      <c r="D758" s="97"/>
      <c r="E758" s="199"/>
      <c r="F758" s="199"/>
      <c r="G758" s="199"/>
      <c r="H758" s="199"/>
      <c r="I758" s="199"/>
      <c r="J758" s="199"/>
      <c r="K758" s="199"/>
      <c r="L758" s="199"/>
      <c r="M758" s="199"/>
      <c r="N758" s="199"/>
      <c r="O758" s="199"/>
      <c r="P758" s="199"/>
      <c r="Q758" s="199"/>
      <c r="R758" s="199"/>
      <c r="S758" s="199"/>
      <c r="T758" s="199"/>
      <c r="U758" s="199"/>
      <c r="V758" s="199"/>
      <c r="X758" s="2"/>
    </row>
    <row r="759" spans="2:34" ht="15" thickBot="1">
      <c r="B759" s="2"/>
      <c r="D759" s="97" t="s">
        <v>1590</v>
      </c>
      <c r="E759" s="209">
        <v>3.5180999999999998E-4</v>
      </c>
      <c r="F759" s="209">
        <v>0.14534</v>
      </c>
      <c r="G759" s="209">
        <v>4.6988000000000004E-3</v>
      </c>
      <c r="H759" s="209">
        <v>6.4059E-3</v>
      </c>
      <c r="I759" s="209">
        <v>0.69567999999999997</v>
      </c>
      <c r="J759" s="209">
        <v>2.3643999999999998E-2</v>
      </c>
      <c r="K759" s="209">
        <v>2.2467999999999999E-5</v>
      </c>
      <c r="L759" s="209">
        <v>3.0378E-6</v>
      </c>
      <c r="M759" s="209">
        <v>1.1783E-2</v>
      </c>
      <c r="N759" s="209">
        <v>0.10088999999999999</v>
      </c>
      <c r="O759" s="209">
        <v>2.3559000000000002E-3</v>
      </c>
      <c r="P759" s="209">
        <v>6.5078000000000002E-3</v>
      </c>
      <c r="Q759" s="209">
        <v>2.9784999999999998E-3</v>
      </c>
      <c r="R759" s="209">
        <v>1.9977999999999999E-8</v>
      </c>
      <c r="S759" s="209">
        <v>1.5648999999999999E-4</v>
      </c>
      <c r="T759" s="209">
        <v>4.2377000000000002E-4</v>
      </c>
      <c r="U759" s="209">
        <v>4.3581000000000002E-4</v>
      </c>
      <c r="V759" s="209">
        <v>4.4245999999999999E-4</v>
      </c>
      <c r="W759" s="5" t="s">
        <v>1577</v>
      </c>
      <c r="X759" s="2"/>
    </row>
    <row r="760" spans="2:34" ht="15" thickBot="1">
      <c r="B760" s="2"/>
      <c r="D760" s="97"/>
      <c r="E760" s="199"/>
      <c r="F760" s="199"/>
      <c r="G760" s="199"/>
      <c r="H760" s="199"/>
      <c r="I760" s="199"/>
      <c r="J760" s="199"/>
      <c r="K760" s="199"/>
      <c r="L760" s="199"/>
      <c r="M760" s="199"/>
      <c r="N760" s="199"/>
      <c r="O760" s="199"/>
      <c r="P760" s="199"/>
      <c r="Q760" s="199"/>
      <c r="R760" s="199"/>
      <c r="S760" s="199"/>
      <c r="T760" s="199"/>
      <c r="U760" s="199"/>
      <c r="V760" s="199"/>
      <c r="X760" s="2"/>
    </row>
    <row r="761" spans="2:34" ht="15" thickBot="1">
      <c r="B761" s="2"/>
      <c r="D761" s="97" t="s">
        <v>1591</v>
      </c>
      <c r="E761" s="209">
        <v>5.2579000000000005E-4</v>
      </c>
      <c r="F761" s="209">
        <v>0.13038</v>
      </c>
      <c r="G761" s="209">
        <v>2.8652999999999999E-3</v>
      </c>
      <c r="H761" s="209">
        <v>4.2052000000000001E-3</v>
      </c>
      <c r="I761" s="209">
        <v>0.35099999999999998</v>
      </c>
      <c r="J761" s="209">
        <v>0.10262</v>
      </c>
      <c r="K761" s="209">
        <v>2.2759E-5</v>
      </c>
      <c r="L761" s="209">
        <v>9.6536000000000002E-6</v>
      </c>
      <c r="M761" s="209">
        <v>5.3658999999999998E-3</v>
      </c>
      <c r="N761" s="209">
        <v>0.10105</v>
      </c>
      <c r="O761" s="209">
        <v>2.2512000000000001E-3</v>
      </c>
      <c r="P761" s="209">
        <v>9.2461999999999996E-3</v>
      </c>
      <c r="Q761" s="209">
        <v>1.5958000000000001E-3</v>
      </c>
      <c r="R761" s="209">
        <v>3.2201999999999999E-8</v>
      </c>
      <c r="S761" s="209">
        <v>2.0734E-4</v>
      </c>
      <c r="T761" s="209">
        <v>4.5835E-4</v>
      </c>
      <c r="U761" s="209">
        <v>5.2663000000000005E-4</v>
      </c>
      <c r="V761" s="209">
        <v>4.9987999999999996E-4</v>
      </c>
      <c r="W761" s="5" t="s">
        <v>1592</v>
      </c>
      <c r="X761" s="2"/>
    </row>
    <row r="762" spans="2:34">
      <c r="B762" s="2"/>
      <c r="X762" s="2"/>
    </row>
    <row r="763" spans="2:34">
      <c r="B763" s="2"/>
      <c r="C763" s="2"/>
      <c r="D763" s="2"/>
      <c r="E763" s="2"/>
      <c r="F763" s="2"/>
      <c r="G763" s="2"/>
      <c r="H763" s="2"/>
      <c r="I763" s="2"/>
      <c r="J763" s="2"/>
      <c r="K763" s="2"/>
      <c r="L763" s="2"/>
      <c r="M763" s="2"/>
      <c r="N763" s="2"/>
      <c r="O763" s="2"/>
      <c r="P763" s="2"/>
      <c r="Q763" s="2"/>
      <c r="R763" s="2"/>
      <c r="S763" s="2"/>
      <c r="T763" s="2"/>
      <c r="U763" s="2"/>
      <c r="V763" s="2"/>
      <c r="W763" s="2"/>
      <c r="X763" s="2"/>
    </row>
    <row r="764" spans="2:34">
      <c r="D764" s="324" t="s">
        <v>1027</v>
      </c>
      <c r="E764" s="324"/>
      <c r="F764" s="324"/>
      <c r="G764" s="324"/>
      <c r="H764" s="324"/>
      <c r="I764" s="324"/>
      <c r="J764" s="324"/>
      <c r="K764" s="324"/>
      <c r="L764" s="324"/>
      <c r="M764" s="324"/>
      <c r="N764" s="324"/>
      <c r="O764" s="324"/>
      <c r="P764" s="324"/>
      <c r="Q764" s="324"/>
      <c r="R764" s="324"/>
      <c r="S764" s="324"/>
      <c r="T764" s="324"/>
      <c r="U764" s="324"/>
      <c r="V764" s="324"/>
      <c r="W764" s="324"/>
      <c r="X764" s="324"/>
      <c r="Y764" s="324"/>
      <c r="Z764" s="324"/>
      <c r="AA764" s="324"/>
      <c r="AB764" s="324"/>
      <c r="AC764" s="324"/>
      <c r="AD764" s="324"/>
      <c r="AE764" s="324"/>
      <c r="AF764" s="324"/>
      <c r="AG764" s="324"/>
      <c r="AH764" s="324"/>
    </row>
    <row r="765" spans="2:34">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row>
    <row r="766" spans="2:34">
      <c r="B766" s="2"/>
      <c r="C766" s="2"/>
      <c r="D766" s="230"/>
      <c r="E766" s="230"/>
      <c r="F766" s="230"/>
      <c r="G766" s="230"/>
      <c r="H766" s="230"/>
      <c r="I766" s="230"/>
      <c r="J766" s="230"/>
      <c r="K766" s="230"/>
      <c r="L766" s="230"/>
      <c r="M766" s="230"/>
      <c r="N766" s="230"/>
      <c r="O766" s="230"/>
      <c r="P766" s="230"/>
      <c r="Q766" s="230"/>
      <c r="R766" s="230"/>
      <c r="S766" s="230"/>
      <c r="T766" s="230"/>
      <c r="U766" s="230"/>
      <c r="V766" s="230"/>
      <c r="W766" s="230"/>
      <c r="X766" s="230"/>
      <c r="Y766" s="128"/>
      <c r="Z766" s="128"/>
      <c r="AA766" s="128"/>
      <c r="AB766" s="128"/>
      <c r="AC766" s="128"/>
      <c r="AD766" s="128"/>
      <c r="AE766" s="128"/>
      <c r="AF766" s="128"/>
      <c r="AG766" s="128"/>
      <c r="AH766" s="128"/>
    </row>
    <row r="767" spans="2:34">
      <c r="B767" s="2"/>
      <c r="C767" s="325" t="s">
        <v>1705</v>
      </c>
      <c r="D767" s="325"/>
      <c r="E767" s="325"/>
      <c r="F767" s="325"/>
      <c r="G767" s="325"/>
      <c r="H767" s="325"/>
      <c r="I767" s="325"/>
      <c r="J767" s="325"/>
      <c r="K767" s="325"/>
      <c r="L767" s="325"/>
      <c r="M767" s="325"/>
      <c r="N767" s="325"/>
      <c r="O767" s="325"/>
      <c r="P767" s="325"/>
      <c r="Q767" s="325"/>
      <c r="R767" s="325"/>
      <c r="S767" s="325"/>
      <c r="T767" s="325"/>
      <c r="U767" s="325"/>
      <c r="V767" s="325"/>
      <c r="W767" s="325"/>
      <c r="X767" s="230"/>
      <c r="Y767" s="128"/>
      <c r="Z767" s="128"/>
      <c r="AA767" s="128"/>
      <c r="AB767" s="128"/>
      <c r="AC767" s="128"/>
      <c r="AD767" s="128"/>
      <c r="AE767" s="128"/>
      <c r="AF767" s="128"/>
      <c r="AG767" s="128"/>
      <c r="AH767" s="128"/>
    </row>
    <row r="768" spans="2:34" ht="15" thickBot="1">
      <c r="B768" s="2"/>
      <c r="C768" s="5" t="s">
        <v>1748</v>
      </c>
      <c r="D768" s="128"/>
      <c r="E768" s="128"/>
      <c r="F768" s="128"/>
      <c r="G768" s="128"/>
      <c r="H768" s="128"/>
      <c r="I768" s="128"/>
      <c r="J768" s="128"/>
      <c r="K768" s="128"/>
      <c r="L768" s="128"/>
      <c r="M768" s="128"/>
      <c r="N768" s="128"/>
      <c r="O768" s="128"/>
      <c r="P768" s="128"/>
      <c r="Q768" s="128"/>
      <c r="R768" s="128"/>
      <c r="S768" s="128"/>
      <c r="T768" s="128"/>
      <c r="U768" s="128"/>
      <c r="V768" s="128"/>
      <c r="W768" s="128"/>
      <c r="X768" s="230"/>
      <c r="Y768" s="128"/>
      <c r="Z768" s="128"/>
      <c r="AA768" s="128"/>
      <c r="AB768" s="128"/>
      <c r="AC768" s="128"/>
      <c r="AD768" s="128"/>
      <c r="AE768" s="128"/>
      <c r="AF768" s="128"/>
      <c r="AG768" s="128"/>
      <c r="AH768" s="128"/>
    </row>
    <row r="769" spans="2:62" ht="15" thickBot="1">
      <c r="B769" s="2"/>
      <c r="D769" s="5" t="s">
        <v>1736</v>
      </c>
      <c r="E769" s="231">
        <f ca="1">J1571</f>
        <v>5.9722589442580762</v>
      </c>
      <c r="F769" s="128"/>
      <c r="G769" s="128"/>
      <c r="H769" s="128"/>
      <c r="I769" s="128"/>
      <c r="J769" s="128"/>
      <c r="K769" s="128"/>
      <c r="L769" s="128"/>
      <c r="M769" s="128"/>
      <c r="N769" s="128"/>
      <c r="O769" s="128"/>
      <c r="P769" s="128"/>
      <c r="Q769" s="128"/>
      <c r="R769" s="128"/>
      <c r="S769" s="128"/>
      <c r="T769" s="128"/>
      <c r="U769" s="128"/>
      <c r="V769" s="128"/>
      <c r="W769" s="128"/>
      <c r="X769" s="230"/>
      <c r="Y769" s="128"/>
      <c r="Z769" s="128"/>
      <c r="AA769" s="128"/>
      <c r="AB769" s="128"/>
      <c r="AC769" s="128"/>
      <c r="AD769" s="128"/>
      <c r="AE769" s="128"/>
      <c r="AF769" s="128"/>
      <c r="AG769" s="128"/>
      <c r="AH769" s="128"/>
    </row>
    <row r="770" spans="2:62">
      <c r="B770" s="2"/>
      <c r="D770" s="128"/>
      <c r="E770" s="128"/>
      <c r="F770" s="128"/>
      <c r="G770" s="128"/>
      <c r="H770" s="128"/>
      <c r="I770" s="128"/>
      <c r="J770" s="128"/>
      <c r="K770" s="128"/>
      <c r="L770" s="128"/>
      <c r="M770" s="128"/>
      <c r="N770" s="128"/>
      <c r="O770" s="128"/>
      <c r="P770" s="128"/>
      <c r="Q770" s="128"/>
      <c r="R770" s="128"/>
      <c r="S770" s="128"/>
      <c r="T770" s="128"/>
      <c r="U770" s="128"/>
      <c r="V770" s="128"/>
      <c r="W770" s="128"/>
      <c r="X770" s="230"/>
      <c r="Y770" s="128"/>
      <c r="Z770" s="128"/>
      <c r="AA770" s="128"/>
      <c r="AB770" s="128"/>
      <c r="AC770" s="128"/>
      <c r="AD770" s="128"/>
      <c r="AE770" s="128"/>
      <c r="AF770" s="128"/>
      <c r="AG770" s="128"/>
      <c r="AH770" s="128"/>
    </row>
    <row r="771" spans="2:62" ht="15" thickBot="1">
      <c r="B771" s="2"/>
      <c r="D771" s="128"/>
      <c r="E771" s="249" t="str">
        <f>E709</f>
        <v>terrestrial acidification potential (TAP) kg SO2-Eq</v>
      </c>
      <c r="F771" s="249" t="str">
        <f t="shared" ref="F771:V771" si="0">F709</f>
        <v>GWP (kg CO2 eq)</v>
      </c>
      <c r="G771" s="249" t="str">
        <f t="shared" si="0"/>
        <v>Freshewater Ecotoxicity (kg 1,4-DCB-Eq)</v>
      </c>
      <c r="H771" s="249" t="str">
        <f t="shared" si="0"/>
        <v>Marine Ecotoxicity Potential (METP) (kg 1,4-DCB-Eq)</v>
      </c>
      <c r="I771" s="249" t="str">
        <f t="shared" si="0"/>
        <v>Terrestrial Ecotoxicity Potential (TETP) (kg 1,4-DCB-Eq)</v>
      </c>
      <c r="J771" s="249" t="str">
        <f t="shared" si="0"/>
        <v>Fossil Fuel Potential  (kg oil-Eq)</v>
      </c>
      <c r="K771" s="249" t="str">
        <f t="shared" si="0"/>
        <v>Freshwater Eutrophication Potential (FEP) kg P-Eq</v>
      </c>
      <c r="L771" s="249" t="str">
        <f t="shared" si="0"/>
        <v>Marine Eutrophication Potential (MEP) kg N-Eq</v>
      </c>
      <c r="M771" s="249" t="str">
        <f t="shared" si="0"/>
        <v>Human Toxicity Potential (HTPc) (kg 1,4-DCB-Eq)</v>
      </c>
      <c r="N771" s="249" t="str">
        <f t="shared" si="0"/>
        <v>Human Toxicity Potential (HTPnc) (kg 1,4-DCB-Eq)</v>
      </c>
      <c r="O771" s="249" t="str">
        <f t="shared" si="0"/>
        <v>Ionising Radiation Potential (IRP) kBq Co-60-Eq</v>
      </c>
      <c r="P771" s="249" t="str">
        <f t="shared" si="0"/>
        <v>Agricultural Land Occupation (LOP) m2*a crop-Eq</v>
      </c>
      <c r="Q771" s="249" t="str">
        <f t="shared" si="0"/>
        <v>Resource Depletion (metals/minerals) (kg Cu-Eq)</v>
      </c>
      <c r="R771" s="249" t="str">
        <f t="shared" si="0"/>
        <v>Ozone Depletion Potential (ODPinfinite) kg CFC-11-Eq</v>
      </c>
      <c r="S771" s="249" t="str">
        <f t="shared" si="0"/>
        <v>Particulate Matter Formation Potential (PMFP) kg PM2.5-Eq</v>
      </c>
      <c r="T771" s="249" t="str">
        <f t="shared" si="0"/>
        <v>Photochemical Oxidant Formation Potential: Humans (HOFP) kg NOx-Eq</v>
      </c>
      <c r="U771" s="249" t="str">
        <f t="shared" si="0"/>
        <v>Photochemical Oxidant Formation Potential: Ecosystems (EOFP) kg NOx-Eq</v>
      </c>
      <c r="V771" s="249" t="str">
        <f t="shared" si="0"/>
        <v>Water Use (m^3)</v>
      </c>
      <c r="W771" s="128"/>
      <c r="X771" s="230"/>
      <c r="Y771" s="128"/>
      <c r="Z771" s="128"/>
      <c r="AA771" s="128"/>
      <c r="AB771" s="128"/>
      <c r="AC771" s="128"/>
      <c r="AD771" s="128"/>
      <c r="AE771" s="128"/>
      <c r="AF771" s="128"/>
      <c r="AG771" s="128"/>
      <c r="AH771" s="128"/>
    </row>
    <row r="772" spans="2:62" ht="15" thickBot="1">
      <c r="B772" s="2"/>
      <c r="D772" s="5" t="s">
        <v>1737</v>
      </c>
      <c r="E772" s="231">
        <f ca="1">E1648</f>
        <v>1.22594666478557E-2</v>
      </c>
      <c r="F772" s="231">
        <f t="shared" ref="F772:V772" ca="1" si="1">F1648</f>
        <v>5.5022540531409518</v>
      </c>
      <c r="G772" s="231">
        <f t="shared" ca="1" si="1"/>
        <v>0.10088221240805564</v>
      </c>
      <c r="H772" s="231">
        <f t="shared" ca="1" si="1"/>
        <v>0.13256934494992267</v>
      </c>
      <c r="I772" s="231">
        <f t="shared" ca="1" si="1"/>
        <v>8.4741456970376898</v>
      </c>
      <c r="J772" s="231">
        <f t="shared" ca="1" si="1"/>
        <v>1.7748084410951455</v>
      </c>
      <c r="K772" s="231">
        <f t="shared" ca="1" si="1"/>
        <v>5.6712638588189311E-4</v>
      </c>
      <c r="L772" s="231">
        <f t="shared" ca="1" si="1"/>
        <v>6.1195859671453977E-5</v>
      </c>
      <c r="M772" s="231">
        <f t="shared" ca="1" si="1"/>
        <v>0.25452402741279323</v>
      </c>
      <c r="N772" s="231">
        <f t="shared" ca="1" si="1"/>
        <v>1.8472870525647274</v>
      </c>
      <c r="O772" s="231">
        <f t="shared" ca="1" si="1"/>
        <v>0.24680353358134824</v>
      </c>
      <c r="P772" s="231">
        <f t="shared" ca="1" si="1"/>
        <v>0.11948085344546203</v>
      </c>
      <c r="Q772" s="231">
        <f t="shared" ca="1" si="1"/>
        <v>4.8717945654754284E-2</v>
      </c>
      <c r="R772" s="231">
        <f t="shared" ca="1" si="1"/>
        <v>4.284298493478722E-6</v>
      </c>
      <c r="S772" s="231">
        <f t="shared" ca="1" si="1"/>
        <v>4.1567976722138023E-3</v>
      </c>
      <c r="T772" s="231">
        <f t="shared" ca="1" si="1"/>
        <v>7.4728190214788052E-3</v>
      </c>
      <c r="U772" s="231">
        <f t="shared" ca="1" si="1"/>
        <v>7.8648424749456804E-3</v>
      </c>
      <c r="V772" s="231">
        <f t="shared" ca="1" si="1"/>
        <v>1.5717662892638696E-2</v>
      </c>
      <c r="W772" s="128"/>
      <c r="X772" s="230"/>
      <c r="Y772" s="128"/>
      <c r="Z772" s="128"/>
      <c r="AA772" s="128"/>
      <c r="AB772" s="128"/>
      <c r="AC772" s="128"/>
      <c r="AD772" s="128"/>
      <c r="AE772" s="128"/>
      <c r="AF772" s="128"/>
      <c r="AG772" s="128"/>
      <c r="AH772" s="128"/>
    </row>
    <row r="773" spans="2:62">
      <c r="B773" s="2"/>
      <c r="D773" s="128"/>
      <c r="E773" s="128"/>
      <c r="F773" s="128"/>
      <c r="G773" s="128"/>
      <c r="H773" s="128"/>
      <c r="I773" s="128"/>
      <c r="J773" s="128"/>
      <c r="K773" s="128"/>
      <c r="L773" s="128"/>
      <c r="M773" s="128"/>
      <c r="N773" s="128"/>
      <c r="O773" s="128"/>
      <c r="P773" s="128"/>
      <c r="Q773" s="128"/>
      <c r="R773" s="128"/>
      <c r="S773" s="128"/>
      <c r="T773" s="128"/>
      <c r="U773" s="128"/>
      <c r="V773" s="128"/>
      <c r="W773" s="128"/>
      <c r="X773" s="230"/>
      <c r="Y773" s="128"/>
      <c r="Z773" s="128"/>
      <c r="AA773" s="128"/>
      <c r="AB773" s="128"/>
      <c r="AC773" s="128"/>
      <c r="AD773" s="128"/>
      <c r="AE773" s="128"/>
      <c r="AF773" s="128"/>
      <c r="AG773" s="128"/>
      <c r="AH773" s="128"/>
    </row>
    <row r="774" spans="2:62">
      <c r="B774" s="2"/>
      <c r="C774" s="2"/>
      <c r="D774" s="230"/>
      <c r="E774" s="230"/>
      <c r="F774" s="230"/>
      <c r="G774" s="230"/>
      <c r="H774" s="230"/>
      <c r="I774" s="230"/>
      <c r="J774" s="230"/>
      <c r="K774" s="230"/>
      <c r="L774" s="230"/>
      <c r="M774" s="230"/>
      <c r="N774" s="230"/>
      <c r="O774" s="230"/>
      <c r="P774" s="230"/>
      <c r="Q774" s="230"/>
      <c r="R774" s="230"/>
      <c r="S774" s="230"/>
      <c r="T774" s="230"/>
      <c r="U774" s="230"/>
      <c r="V774" s="230"/>
      <c r="W774" s="230"/>
      <c r="X774" s="230"/>
      <c r="Z774" s="128"/>
      <c r="AA774" s="128"/>
      <c r="AB774" s="128"/>
      <c r="AC774" s="128"/>
      <c r="AD774" s="128"/>
      <c r="AE774" s="128"/>
      <c r="AF774" s="128"/>
      <c r="AG774" s="128"/>
      <c r="AH774" s="128"/>
    </row>
    <row r="775" spans="2:62">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row>
    <row r="776" spans="2:62">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row>
    <row r="777" spans="2:62">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row>
    <row r="778" spans="2:62">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row>
    <row r="779" spans="2:62">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row>
    <row r="780" spans="2:62">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row>
    <row r="781" spans="2:62">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row>
    <row r="782" spans="2:62" s="214" customFormat="1">
      <c r="D782" s="216" t="s">
        <v>1702</v>
      </c>
      <c r="E782" s="215"/>
      <c r="F782" s="215"/>
      <c r="G782" s="215"/>
      <c r="H782" s="215"/>
      <c r="I782" s="215"/>
      <c r="J782" s="215"/>
      <c r="K782" s="215"/>
      <c r="L782" s="215"/>
      <c r="M782" s="215"/>
      <c r="N782" s="215"/>
      <c r="O782" s="215"/>
      <c r="P782" s="215"/>
      <c r="Q782" s="215"/>
      <c r="R782" s="215"/>
      <c r="S782" s="215"/>
      <c r="T782" s="215"/>
      <c r="U782" s="215"/>
      <c r="V782" s="215"/>
      <c r="W782" s="215"/>
      <c r="X782" s="215"/>
      <c r="Y782" s="215"/>
      <c r="Z782" s="215"/>
      <c r="AA782" s="215"/>
      <c r="AB782" s="215"/>
      <c r="AC782" s="215"/>
      <c r="AD782" s="215"/>
      <c r="AE782" s="215"/>
      <c r="AF782" s="215"/>
      <c r="AG782" s="215"/>
      <c r="AH782" s="215"/>
    </row>
    <row r="783" spans="2:62">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row>
    <row r="784" spans="2:62">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BG784" s="5" t="s">
        <v>128</v>
      </c>
      <c r="BH784" s="5" t="s">
        <v>129</v>
      </c>
      <c r="BI784" s="5" t="s">
        <v>130</v>
      </c>
      <c r="BJ784" s="5" t="s">
        <v>131</v>
      </c>
    </row>
    <row r="785" spans="4:131" ht="16.5">
      <c r="D785" s="42" t="s">
        <v>1023</v>
      </c>
      <c r="E785" s="42" t="s">
        <v>107</v>
      </c>
      <c r="F785" s="42" t="s">
        <v>911</v>
      </c>
      <c r="G785" s="42" t="s">
        <v>116</v>
      </c>
      <c r="H785" s="42" t="s">
        <v>115</v>
      </c>
      <c r="I785" s="42" t="s">
        <v>112</v>
      </c>
      <c r="J785" s="42" t="s">
        <v>108</v>
      </c>
      <c r="K785" s="42" t="s">
        <v>114</v>
      </c>
      <c r="L785" s="42" t="s">
        <v>113</v>
      </c>
      <c r="M785" s="42" t="s">
        <v>1619</v>
      </c>
      <c r="N785" s="42" t="s">
        <v>883</v>
      </c>
      <c r="O785" s="42" t="s">
        <v>884</v>
      </c>
      <c r="P785" s="42" t="s">
        <v>885</v>
      </c>
      <c r="Q785" s="70" t="s">
        <v>886</v>
      </c>
      <c r="R785" s="70" t="s">
        <v>887</v>
      </c>
      <c r="S785" s="70" t="s">
        <v>888</v>
      </c>
      <c r="T785" s="70" t="s">
        <v>1575</v>
      </c>
      <c r="U785" s="70" t="s">
        <v>1576</v>
      </c>
      <c r="V785" s="70" t="s">
        <v>1322</v>
      </c>
      <c r="W785" s="70" t="s">
        <v>1323</v>
      </c>
      <c r="X785" s="70" t="s">
        <v>1324</v>
      </c>
      <c r="Y785" s="71" t="s">
        <v>1578</v>
      </c>
      <c r="Z785" s="42" t="s">
        <v>895</v>
      </c>
      <c r="AA785" s="42" t="s">
        <v>898</v>
      </c>
      <c r="AB785" s="42" t="s">
        <v>896</v>
      </c>
      <c r="AC785" s="42" t="s">
        <v>897</v>
      </c>
      <c r="AD785" s="46" t="s">
        <v>1298</v>
      </c>
      <c r="AE785" s="72" t="s">
        <v>1299</v>
      </c>
      <c r="AF785" s="72" t="s">
        <v>1300</v>
      </c>
      <c r="AG785" s="46" t="s">
        <v>1301</v>
      </c>
      <c r="AH785" s="72" t="s">
        <v>1302</v>
      </c>
      <c r="AI785" s="72" t="s">
        <v>1435</v>
      </c>
      <c r="AJ785" s="72" t="s">
        <v>1434</v>
      </c>
      <c r="AK785" s="72" t="s">
        <v>1433</v>
      </c>
      <c r="AL785" s="72" t="s">
        <v>1432</v>
      </c>
      <c r="AM785" s="72" t="s">
        <v>1431</v>
      </c>
      <c r="AN785" s="72" t="s">
        <v>1430</v>
      </c>
      <c r="AO785" s="72" t="s">
        <v>1429</v>
      </c>
      <c r="AP785" s="72" t="s">
        <v>1428</v>
      </c>
      <c r="AQ785" s="73" t="s">
        <v>1427</v>
      </c>
      <c r="BG785" s="5" t="s">
        <v>127</v>
      </c>
    </row>
    <row r="786" spans="4:131" ht="26.25" customHeight="1">
      <c r="D786" s="8" t="s">
        <v>711</v>
      </c>
      <c r="E786" s="8">
        <f ca="1">'Parameter Inputs'!H1065</f>
        <v>1247.6965896061465</v>
      </c>
      <c r="F786" s="8">
        <f ca="1">E786/1</f>
        <v>1247.6965896061465</v>
      </c>
      <c r="G786" s="49">
        <f ca="1">E786</f>
        <v>1247.6965896061465</v>
      </c>
      <c r="H786" s="8">
        <f ca="1">G786*1.1</f>
        <v>1372.4662485667614</v>
      </c>
      <c r="I786" s="8">
        <v>5</v>
      </c>
      <c r="J786" s="8">
        <v>1</v>
      </c>
      <c r="K786" s="47">
        <f ca="1">((4*H786)/(J786*PI()))^(1/3)</f>
        <v>12.044920298270299</v>
      </c>
      <c r="L786" s="47">
        <f ca="1">K786*J786</f>
        <v>12.044920298270299</v>
      </c>
      <c r="M786" s="47">
        <f ca="1">(2*PI()*(K786/2)*L786)+(2*PI()*(K786/2)^2)</f>
        <v>683.67388803586482</v>
      </c>
      <c r="N786" s="47">
        <v>0.3</v>
      </c>
      <c r="O786" s="47">
        <f ca="1">K786+(N786*2)</f>
        <v>12.644920298270298</v>
      </c>
      <c r="P786" s="47">
        <f ca="1">L786+N786</f>
        <v>12.344920298270299</v>
      </c>
      <c r="Q786" s="8">
        <f ca="1">(PI()*((O786/2)^2)*P786)</f>
        <v>1550.2807855393555</v>
      </c>
      <c r="R786" s="47">
        <f ca="1">Q786-H786+E885</f>
        <v>227.49610923791278</v>
      </c>
      <c r="S786" s="47">
        <v>2400</v>
      </c>
      <c r="T786" s="47">
        <f ca="1">S786*(Q786-H786)</f>
        <v>426754.888734226</v>
      </c>
      <c r="U786" s="47">
        <v>0.05</v>
      </c>
      <c r="V786" s="47">
        <f ca="1">(PI()*(((O786+U786+U786)/2)^2)*(P786+U786))-Q786</f>
        <v>30.99589993780819</v>
      </c>
      <c r="W786" s="47">
        <v>25</v>
      </c>
      <c r="X786" s="47">
        <f ca="1">W786*V786</f>
        <v>774.89749844520475</v>
      </c>
      <c r="Y786" s="8">
        <f ca="1">R786*0.01*8000</f>
        <v>18199.688739033023</v>
      </c>
      <c r="Z786" s="47">
        <f ca="1">(($R786*'Parameter Inputs'!F$729)+($X786*'Parameter Inputs'!F$731)+($Y786*'Parameter Inputs'!F$753))*$I786</f>
        <v>593759.84042426106</v>
      </c>
      <c r="AA786" s="47">
        <f ca="1">(($R786*'Parameter Inputs'!J$729)+($X786*'Parameter Inputs'!J$731)+($Y786*'Parameter Inputs'!J$753))*$I786</f>
        <v>101612.57172164292</v>
      </c>
      <c r="AB786" s="47">
        <f ca="1">(($R786*'Parameter Inputs'!V$729)+($X786*'Parameter Inputs'!V$731)+($Y786*'Parameter Inputs'!V$753))*$I786</f>
        <v>3165.8078932016219</v>
      </c>
      <c r="AC786" s="47">
        <f ca="1">(($R786*'Parameter Inputs'!Q$729)+($X786*'Parameter Inputs'!Q$731)+($Y786*'Parameter Inputs'!Q$753))*$I786</f>
        <v>67697.73369413492</v>
      </c>
      <c r="AD786" s="47">
        <f ca="1">(($R786*'Parameter Inputs'!G$729)+($X786*'Parameter Inputs'!G$731)+($Y786*'Parameter Inputs'!G$753))*$I786</f>
        <v>20764.975711528186</v>
      </c>
      <c r="AE786" s="47">
        <f ca="1">(($R786*'Parameter Inputs'!H$729)+($X786*'Parameter Inputs'!H$731)+($Y786*'Parameter Inputs'!H$753))*$I786</f>
        <v>28882.915528037505</v>
      </c>
      <c r="AF786" s="47">
        <f ca="1">(($R786*'Parameter Inputs'!I$729)+($X786*'Parameter Inputs'!I$731)+($Y786*'Parameter Inputs'!I$753))*$I786</f>
        <v>1594298.4814684221</v>
      </c>
      <c r="AG786" s="47">
        <f ca="1">(($R786*'Parameter Inputs'!M$729)+($X786*'Parameter Inputs'!M$731)+($Y786*'Parameter Inputs'!M$753))*$I786</f>
        <v>172271.42617545676</v>
      </c>
      <c r="AH786" s="47">
        <f ca="1">(($R786*'Parameter Inputs'!N$729)+($X786*'Parameter Inputs'!N$731)+($Y786*'Parameter Inputs'!N$753))*$I786</f>
        <v>343669.60775497626</v>
      </c>
      <c r="AI786" s="47">
        <f ca="1">(($R786*'Parameter Inputs'!E$729)+($X786*'Parameter Inputs'!E$731)+($Y786*'Parameter Inputs'!E$753))*$I786</f>
        <v>1340.5294170449456</v>
      </c>
      <c r="AJ786" s="47">
        <f ca="1">(($R786*'Parameter Inputs'!K$729)+($X786*'Parameter Inputs'!K$731)+($Y786*'Parameter Inputs'!K$753))*$I786</f>
        <v>136.41368690411684</v>
      </c>
      <c r="AK786" s="47">
        <f ca="1">(($R786*'Parameter Inputs'!L$729)+($X786*'Parameter Inputs'!L$731)+($Y786*'Parameter Inputs'!L$753))*$I786</f>
        <v>16.744161523232776</v>
      </c>
      <c r="AL786" s="47">
        <f ca="1">(($R786*'Parameter Inputs'!O$729)+($X786*'Parameter Inputs'!O$731)+($Y786*'Parameter Inputs'!O$753))*$I786</f>
        <v>11524.048210739169</v>
      </c>
      <c r="AM786" s="47">
        <f ca="1">(($R786*'Parameter Inputs'!P$729)+($X786*'Parameter Inputs'!P$731)+($Y786*'Parameter Inputs'!P$753))*$I786</f>
        <v>11481.814128477561</v>
      </c>
      <c r="AN786" s="47">
        <f ca="1">(($R786*'Parameter Inputs'!R$729)+($X786*'Parameter Inputs'!R$731)+($Y786*'Parameter Inputs'!R$753))*$I786</f>
        <v>0.11770203744248191</v>
      </c>
      <c r="AO786" s="47">
        <f ca="1">(($R786*'Parameter Inputs'!S$729)+($X786*'Parameter Inputs'!S$731)+($Y786*'Parameter Inputs'!S$753))*$I786</f>
        <v>680.40820762871499</v>
      </c>
      <c r="AP786" s="47">
        <f ca="1">(($R786*'Parameter Inputs'!T$729)+($X786*'Parameter Inputs'!T$731)+($Y786*'Parameter Inputs'!T$753))*$I786</f>
        <v>1466.4904520681946</v>
      </c>
      <c r="AQ786" s="47">
        <f ca="1">(($R786*'Parameter Inputs'!U$729)+($X786*'Parameter Inputs'!U$731)+($Y786*'Parameter Inputs'!U$753))*$I786</f>
        <v>1530.9293534440117</v>
      </c>
      <c r="BG786" s="5" t="s">
        <v>132</v>
      </c>
      <c r="BH786" s="5">
        <v>4.7</v>
      </c>
      <c r="BI786" s="5">
        <v>5.0999999999999996</v>
      </c>
      <c r="BJ786" s="5">
        <f>(BH786+BI786)/2</f>
        <v>4.9000000000000004</v>
      </c>
    </row>
    <row r="787" spans="4:131" ht="24" customHeight="1">
      <c r="D787" s="8" t="s">
        <v>13</v>
      </c>
      <c r="E787" s="49">
        <f ca="1">'Parameter Inputs'!E1106</f>
        <v>409.52294533443421</v>
      </c>
      <c r="F787" s="49">
        <f ca="1">E787/2</f>
        <v>204.76147266721711</v>
      </c>
      <c r="G787" s="50">
        <f ca="1">(F787*2)/I787</f>
        <v>409.52294533443421</v>
      </c>
      <c r="H787" s="49">
        <f ca="1">G787*1.1</f>
        <v>450.47523986787769</v>
      </c>
      <c r="I787" s="8">
        <v>1</v>
      </c>
      <c r="J787" s="8">
        <v>1</v>
      </c>
      <c r="K787" s="47">
        <f ca="1">((4*H787)/(J787*PI()))^(1/3)</f>
        <v>8.308583993497912</v>
      </c>
      <c r="L787" s="47">
        <f ca="1">K787*J787</f>
        <v>8.308583993497912</v>
      </c>
      <c r="M787" s="47">
        <f ca="1">(2*PI()*(K787/2)*L787)+(2*PI()*(K787/2)^2)</f>
        <v>325.30831262251752</v>
      </c>
      <c r="N787" s="47">
        <v>0.3</v>
      </c>
      <c r="O787" s="47">
        <f ca="1">K787+(N787*2)</f>
        <v>8.9085839934979116</v>
      </c>
      <c r="P787" s="47">
        <f ca="1">L787+N787</f>
        <v>8.6085839934979127</v>
      </c>
      <c r="Q787" s="8">
        <f ca="1">PI()*((O787/2)^2)*P787</f>
        <v>536.58553458358097</v>
      </c>
      <c r="R787" s="47">
        <f ca="1">Q787-H787+G885</f>
        <v>104.44146494898889</v>
      </c>
      <c r="S787" s="47">
        <v>2400</v>
      </c>
      <c r="T787" s="47">
        <f t="shared" ref="T787:T790" ca="1" si="2">S787*(Q787-H787)</f>
        <v>206664.70731768786</v>
      </c>
      <c r="U787" s="47">
        <v>0.05</v>
      </c>
      <c r="V787" s="47">
        <f ca="1">(PI()*(((O787+U787+U787)/2)^2)*(P787+U787))-Q787</f>
        <v>15.301027927635118</v>
      </c>
      <c r="W787" s="47">
        <v>25</v>
      </c>
      <c r="X787" s="47">
        <f ca="1">W787*V787</f>
        <v>382.52569819087796</v>
      </c>
      <c r="Y787" s="8">
        <f t="shared" ref="Y787:Y790" ca="1" si="3">R787*0.01*8000</f>
        <v>8355.3171959191113</v>
      </c>
      <c r="Z787" s="47">
        <f ca="1">(($R787*'Parameter Inputs'!F$729)+($X787*'Parameter Inputs'!F$731)+($Y787*'Parameter Inputs'!F$753))*$I787</f>
        <v>54654.783851387663</v>
      </c>
      <c r="AA787" s="47">
        <f ca="1">(($R787*'Parameter Inputs'!J$729)+($X787*'Parameter Inputs'!J$731)+($Y787*'Parameter Inputs'!J$753))*$I787</f>
        <v>9381.969171345323</v>
      </c>
      <c r="AB787" s="47">
        <f ca="1">(($R787*'Parameter Inputs'!V$729)+($X787*'Parameter Inputs'!V$731)+($Y787*'Parameter Inputs'!V$753))*$I787</f>
        <v>294.04452703372772</v>
      </c>
      <c r="AC787" s="47">
        <f ca="1">(($R787*'Parameter Inputs'!Q$729)+($X787*'Parameter Inputs'!Q$731)+($Y787*'Parameter Inputs'!Q$753))*$I787</f>
        <v>6217.8672726863024</v>
      </c>
      <c r="AD787" s="47">
        <f ca="1">(($R787*'Parameter Inputs'!G$729)+($X787*'Parameter Inputs'!G$731)+($Y787*'Parameter Inputs'!G$753))*$I787</f>
        <v>1913.978520463867</v>
      </c>
      <c r="AE787" s="47">
        <f ca="1">(($R787*'Parameter Inputs'!H$729)+($X787*'Parameter Inputs'!H$731)+($Y787*'Parameter Inputs'!H$753))*$I787</f>
        <v>2661.6094571440326</v>
      </c>
      <c r="AF787" s="47">
        <f ca="1">(($R787*'Parameter Inputs'!I$729)+($X787*'Parameter Inputs'!I$731)+($Y787*'Parameter Inputs'!I$753))*$I787</f>
        <v>147006.8593905853</v>
      </c>
      <c r="AG787" s="47">
        <f ca="1">(($R787*'Parameter Inputs'!M$729)+($X787*'Parameter Inputs'!M$731)+($Y787*'Parameter Inputs'!M$753))*$I787</f>
        <v>15825.388029344867</v>
      </c>
      <c r="AH787" s="47">
        <f ca="1">(($R787*'Parameter Inputs'!N$729)+($X787*'Parameter Inputs'!N$731)+($Y787*'Parameter Inputs'!N$753))*$I787</f>
        <v>31688.02869945189</v>
      </c>
      <c r="AI787" s="47">
        <f ca="1">(($R787*'Parameter Inputs'!E$729)+($X787*'Parameter Inputs'!E$731)+($Y787*'Parameter Inputs'!E$753))*$I787</f>
        <v>123.56848860073809</v>
      </c>
      <c r="AJ787" s="47">
        <f ca="1">(($R787*'Parameter Inputs'!K$729)+($X787*'Parameter Inputs'!K$731)+($Y787*'Parameter Inputs'!K$753))*$I787</f>
        <v>12.559772626483936</v>
      </c>
      <c r="AK787" s="47">
        <f ca="1">(($R787*'Parameter Inputs'!L$729)+($X787*'Parameter Inputs'!L$731)+($Y787*'Parameter Inputs'!L$753))*$I787</f>
        <v>1.5598380500192173</v>
      </c>
      <c r="AL787" s="47">
        <f ca="1">(($R787*'Parameter Inputs'!O$729)+($X787*'Parameter Inputs'!O$731)+($Y787*'Parameter Inputs'!O$753))*$I787</f>
        <v>1066.8605681514482</v>
      </c>
      <c r="AM787" s="47">
        <f ca="1">(($R787*'Parameter Inputs'!P$729)+($X787*'Parameter Inputs'!P$731)+($Y787*'Parameter Inputs'!P$753))*$I787</f>
        <v>1055.9653506225168</v>
      </c>
      <c r="AN787" s="47">
        <f ca="1">(($R787*'Parameter Inputs'!R$729)+($X787*'Parameter Inputs'!R$731)+($Y787*'Parameter Inputs'!R$753))*$I787</f>
        <v>1.1183251350275463E-2</v>
      </c>
      <c r="AO787" s="47">
        <f ca="1">(($R787*'Parameter Inputs'!S$729)+($X787*'Parameter Inputs'!S$731)+($Y787*'Parameter Inputs'!S$753))*$I787</f>
        <v>62.663242691101956</v>
      </c>
      <c r="AP787" s="47">
        <f ca="1">(($R787*'Parameter Inputs'!T$729)+($X787*'Parameter Inputs'!T$731)+($Y787*'Parameter Inputs'!T$753))*$I787</f>
        <v>134.9058822904118</v>
      </c>
      <c r="AQ787" s="47">
        <f ca="1">(($R787*'Parameter Inputs'!U$729)+($X787*'Parameter Inputs'!U$731)+($Y787*'Parameter Inputs'!U$753))*$I787</f>
        <v>140.83659355207425</v>
      </c>
      <c r="BG787" s="5" t="s">
        <v>133</v>
      </c>
      <c r="BH787" s="5">
        <v>1.8</v>
      </c>
      <c r="BI787" s="5">
        <v>2.4</v>
      </c>
      <c r="BJ787" s="5">
        <f>(BH787+BI787)/2</f>
        <v>2.1</v>
      </c>
    </row>
    <row r="788" spans="4:131" ht="22.5" customHeight="1">
      <c r="D788" s="8" t="s">
        <v>25</v>
      </c>
      <c r="E788" s="49">
        <f ca="1">'Parameter Inputs'!K1106+'Parameter Inputs'!K1114+'Parameter Inputs'!F583+'Parameter Inputs'!G583+'Parameter Inputs'!H583</f>
        <v>1015.5656733318957</v>
      </c>
      <c r="F788" s="49">
        <f ca="1">E788/2</f>
        <v>507.78283666594785</v>
      </c>
      <c r="G788" s="50">
        <f ca="1">F788/I788</f>
        <v>507.78283666594785</v>
      </c>
      <c r="H788" s="49">
        <f ca="1">G788*1.1</f>
        <v>558.56112033254271</v>
      </c>
      <c r="I788" s="8">
        <v>1</v>
      </c>
      <c r="J788" s="8">
        <v>1</v>
      </c>
      <c r="K788" s="47">
        <f ca="1">((4*H788)/(J788*PI()))^(1/3)</f>
        <v>8.9260696997031559</v>
      </c>
      <c r="L788" s="47">
        <f ca="1">K788*J788</f>
        <v>8.9260696997031559</v>
      </c>
      <c r="M788" s="47">
        <f ca="1">(2*PI()*(K788/2)*L788)+(2*PI()*(K788/2)^2)</f>
        <v>375.4582738813599</v>
      </c>
      <c r="N788" s="47">
        <v>0.3</v>
      </c>
      <c r="O788" s="47">
        <f ca="1">K788+(N788*2)</f>
        <v>9.5260696997031555</v>
      </c>
      <c r="P788" s="47">
        <f ca="1">L788+N788</f>
        <v>9.2260696997031566</v>
      </c>
      <c r="Q788" s="8">
        <f ca="1">PI()*((O788/2)^2)*P788</f>
        <v>657.5580853034528</v>
      </c>
      <c r="R788" s="47">
        <f ca="1">Q788-H788+I885</f>
        <v>167.00970746951432</v>
      </c>
      <c r="S788" s="47">
        <v>2400</v>
      </c>
      <c r="T788" s="47">
        <f t="shared" ca="1" si="2"/>
        <v>237592.7159301842</v>
      </c>
      <c r="U788" s="47">
        <v>0.05</v>
      </c>
      <c r="V788" s="47">
        <f ca="1">(PI()*(((O788+U788+U788)/2)^2)*(P788+U788))-Q788</f>
        <v>17.516702403043723</v>
      </c>
      <c r="W788" s="47">
        <v>25</v>
      </c>
      <c r="X788" s="47">
        <f ca="1">W788*V788</f>
        <v>437.91756007609308</v>
      </c>
      <c r="Y788" s="8">
        <f t="shared" ca="1" si="3"/>
        <v>13360.776597561147</v>
      </c>
      <c r="Z788" s="47">
        <f ca="1">(($R788*'Parameter Inputs'!F$729)+($X788*'Parameter Inputs'!F$731)+($Y788*'Parameter Inputs'!F$753))*$I788</f>
        <v>86509.329561788865</v>
      </c>
      <c r="AA788" s="47">
        <f ca="1">(($R788*'Parameter Inputs'!J$729)+($X788*'Parameter Inputs'!J$731)+($Y788*'Parameter Inputs'!J$753))*$I788</f>
        <v>14664.487922263146</v>
      </c>
      <c r="AB788" s="47">
        <f ca="1">(($R788*'Parameter Inputs'!V$729)+($X788*'Parameter Inputs'!V$731)+($Y788*'Parameter Inputs'!V$753))*$I788</f>
        <v>448.35806970204385</v>
      </c>
      <c r="AC788" s="47">
        <f ca="1">(($R788*'Parameter Inputs'!Q$729)+($X788*'Parameter Inputs'!Q$731)+($Y788*'Parameter Inputs'!Q$753))*$I788</f>
        <v>9929.9831306632968</v>
      </c>
      <c r="AD788" s="47">
        <f ca="1">(($R788*'Parameter Inputs'!G$729)+($X788*'Parameter Inputs'!G$731)+($Y788*'Parameter Inputs'!G$753))*$I788</f>
        <v>3012.7350596164843</v>
      </c>
      <c r="AE788" s="47">
        <f ca="1">(($R788*'Parameter Inputs'!H$729)+($X788*'Parameter Inputs'!H$731)+($Y788*'Parameter Inputs'!H$753))*$I788</f>
        <v>4193.6127082775747</v>
      </c>
      <c r="AF788" s="47">
        <f ca="1">(($R788*'Parameter Inputs'!I$729)+($X788*'Parameter Inputs'!I$731)+($Y788*'Parameter Inputs'!I$753))*$I788</f>
        <v>231043.84654133522</v>
      </c>
      <c r="AG788" s="47">
        <f ca="1">(($R788*'Parameter Inputs'!M$729)+($X788*'Parameter Inputs'!M$731)+($Y788*'Parameter Inputs'!M$753))*$I788</f>
        <v>25255.82471903383</v>
      </c>
      <c r="AH788" s="47">
        <f ca="1">(($R788*'Parameter Inputs'!N$729)+($X788*'Parameter Inputs'!N$731)+($Y788*'Parameter Inputs'!N$753))*$I788</f>
        <v>49809.142109260269</v>
      </c>
      <c r="AI788" s="47">
        <f ca="1">(($R788*'Parameter Inputs'!E$729)+($X788*'Parameter Inputs'!E$731)+($Y788*'Parameter Inputs'!E$753))*$I788</f>
        <v>194.45801098955093</v>
      </c>
      <c r="AJ788" s="47">
        <f ca="1">(($R788*'Parameter Inputs'!K$729)+($X788*'Parameter Inputs'!K$731)+($Y788*'Parameter Inputs'!K$753))*$I788</f>
        <v>19.860078127692351</v>
      </c>
      <c r="AK788" s="47">
        <f ca="1">(($R788*'Parameter Inputs'!L$729)+($X788*'Parameter Inputs'!L$731)+($Y788*'Parameter Inputs'!L$753))*$I788</f>
        <v>2.3488124730893345</v>
      </c>
      <c r="AL788" s="47">
        <f ca="1">(($R788*'Parameter Inputs'!O$729)+($X788*'Parameter Inputs'!O$731)+($Y788*'Parameter Inputs'!O$753))*$I788</f>
        <v>1649.2539958089917</v>
      </c>
      <c r="AM788" s="47">
        <f ca="1">(($R788*'Parameter Inputs'!P$729)+($X788*'Parameter Inputs'!P$731)+($Y788*'Parameter Inputs'!P$753))*$I788</f>
        <v>1677.3708374444091</v>
      </c>
      <c r="AN788" s="47">
        <f ca="1">(($R788*'Parameter Inputs'!R$729)+($X788*'Parameter Inputs'!R$731)+($Y788*'Parameter Inputs'!R$753))*$I788</f>
        <v>1.5442434131487947E-2</v>
      </c>
      <c r="AO788" s="47">
        <f ca="1">(($R788*'Parameter Inputs'!S$729)+($X788*'Parameter Inputs'!S$731)+($Y788*'Parameter Inputs'!S$753))*$I788</f>
        <v>98.974378720762758</v>
      </c>
      <c r="AP788" s="47">
        <f ca="1">(($R788*'Parameter Inputs'!T$729)+($X788*'Parameter Inputs'!T$731)+($Y788*'Parameter Inputs'!T$753))*$I788</f>
        <v>214.06778101359208</v>
      </c>
      <c r="AQ788" s="47">
        <f ca="1">(($R788*'Parameter Inputs'!U$729)+($X788*'Parameter Inputs'!U$731)+($Y788*'Parameter Inputs'!U$753))*$I788</f>
        <v>223.46028936445941</v>
      </c>
      <c r="BC788" s="5" t="s">
        <v>441</v>
      </c>
      <c r="BG788" s="5" t="s">
        <v>134</v>
      </c>
      <c r="BH788" s="5">
        <v>0.6</v>
      </c>
      <c r="BI788" s="5">
        <v>0.8</v>
      </c>
      <c r="BJ788" s="5">
        <f>(BH788+BI788)/2</f>
        <v>0.7</v>
      </c>
    </row>
    <row r="789" spans="4:131" ht="22.5" customHeight="1">
      <c r="D789" s="8" t="s">
        <v>935</v>
      </c>
      <c r="E789" s="49">
        <f ca="1">E786</f>
        <v>1247.6965896061465</v>
      </c>
      <c r="F789" s="49">
        <f ca="1">E789/2</f>
        <v>623.84829480307326</v>
      </c>
      <c r="G789" s="50">
        <f ca="1">F789/I789</f>
        <v>623.84829480307326</v>
      </c>
      <c r="H789" s="49">
        <f ca="1">G789*1.1</f>
        <v>686.23312428338068</v>
      </c>
      <c r="I789" s="8">
        <v>1</v>
      </c>
      <c r="J789" s="8">
        <v>1</v>
      </c>
      <c r="K789" s="47">
        <f ca="1">((4*H789)/(J789*PI()))^(1/3)</f>
        <v>9.5600595761736926</v>
      </c>
      <c r="L789" s="47">
        <f ca="1">K789*J789</f>
        <v>9.5600595761736926</v>
      </c>
      <c r="M789" s="47">
        <f ca="1">(2*PI()*(K789/2)*L789)+(2*PI()*(K789/2)^2)</f>
        <v>430.68756139992814</v>
      </c>
      <c r="N789" s="47">
        <v>0.3</v>
      </c>
      <c r="O789" s="47">
        <f ca="1">K789+(N789*2)</f>
        <v>10.160059576173692</v>
      </c>
      <c r="P789" s="47">
        <f ca="1">L789+N789</f>
        <v>9.8600595761736933</v>
      </c>
      <c r="Q789" s="8">
        <f ca="1">PI()*((O789/2)^2)*P789</f>
        <v>799.39592396283854</v>
      </c>
      <c r="R789" s="47">
        <f ca="1">Q789-H789+K885</f>
        <v>138.21716087277727</v>
      </c>
      <c r="S789" s="47">
        <v>2400</v>
      </c>
      <c r="T789" s="47">
        <f t="shared" ca="1" si="2"/>
        <v>271590.71923069889</v>
      </c>
      <c r="U789" s="47">
        <v>0.05</v>
      </c>
      <c r="V789" s="47">
        <f ca="1">(PI()*(((O789+U789+U789)/2)^2)*(P789+U789))-Q789</f>
        <v>19.947385682311506</v>
      </c>
      <c r="W789" s="47">
        <v>25</v>
      </c>
      <c r="X789" s="47">
        <f ca="1">W789*V789</f>
        <v>498.68464205778764</v>
      </c>
      <c r="Y789" s="8">
        <f t="shared" ca="1" si="3"/>
        <v>11057.372869822182</v>
      </c>
      <c r="Z789" s="47">
        <f ca="1">(($R789*'Parameter Inputs'!F$729)+($X789*'Parameter Inputs'!F$731)+($Y789*'Parameter Inputs'!F$753))*$I789</f>
        <v>72291.230172782991</v>
      </c>
      <c r="AA789" s="47">
        <f ca="1">(($R789*'Parameter Inputs'!J$729)+($X789*'Parameter Inputs'!J$731)+($Y789*'Parameter Inputs'!J$753))*$I789</f>
        <v>12401.357779378486</v>
      </c>
      <c r="AB789" s="47">
        <f ca="1">(($R789*'Parameter Inputs'!V$729)+($X789*'Parameter Inputs'!V$731)+($Y789*'Parameter Inputs'!V$753))*$I789</f>
        <v>388.18799737367749</v>
      </c>
      <c r="AC789" s="47">
        <f ca="1">(($R789*'Parameter Inputs'!Q$729)+($X789*'Parameter Inputs'!Q$731)+($Y789*'Parameter Inputs'!Q$753))*$I789</f>
        <v>8228.1272564879491</v>
      </c>
      <c r="AD789" s="47">
        <f ca="1">(($R789*'Parameter Inputs'!G$729)+($X789*'Parameter Inputs'!G$731)+($Y789*'Parameter Inputs'!G$753))*$I789</f>
        <v>2530.8681206655274</v>
      </c>
      <c r="AE789" s="47">
        <f ca="1">(($R789*'Parameter Inputs'!H$729)+($X789*'Parameter Inputs'!H$731)+($Y789*'Parameter Inputs'!H$753))*$I789</f>
        <v>3519.6422103052455</v>
      </c>
      <c r="AF789" s="47">
        <f ca="1">(($R789*'Parameter Inputs'!I$729)+($X789*'Parameter Inputs'!I$731)+($Y789*'Parameter Inputs'!I$753))*$I789</f>
        <v>194372.8446908613</v>
      </c>
      <c r="AG789" s="47">
        <f ca="1">(($R789*'Parameter Inputs'!M$729)+($X789*'Parameter Inputs'!M$731)+($Y789*'Parameter Inputs'!M$753))*$I789</f>
        <v>20941.03808471881</v>
      </c>
      <c r="AH789" s="47">
        <f ca="1">(($R789*'Parameter Inputs'!N$729)+($X789*'Parameter Inputs'!N$731)+($Y789*'Parameter Inputs'!N$753))*$I789</f>
        <v>41898.276503024899</v>
      </c>
      <c r="AI789" s="47">
        <f ca="1">(($R789*'Parameter Inputs'!E$729)+($X789*'Parameter Inputs'!E$731)+($Y789*'Parameter Inputs'!E$753))*$I789</f>
        <v>163.39347982853397</v>
      </c>
      <c r="AJ789" s="47">
        <f ca="1">(($R789*'Parameter Inputs'!K$729)+($X789*'Parameter Inputs'!K$731)+($Y789*'Parameter Inputs'!K$753))*$I789</f>
        <v>16.611795727113588</v>
      </c>
      <c r="AK789" s="47">
        <f ca="1">(($R789*'Parameter Inputs'!L$729)+($X789*'Parameter Inputs'!L$731)+($Y789*'Parameter Inputs'!L$753))*$I789</f>
        <v>2.057960702747903</v>
      </c>
      <c r="AL789" s="47">
        <f ca="1">(($R789*'Parameter Inputs'!O$729)+($X789*'Parameter Inputs'!O$731)+($Y789*'Parameter Inputs'!O$753))*$I789</f>
        <v>1409.4121669163158</v>
      </c>
      <c r="AM789" s="47">
        <f ca="1">(($R789*'Parameter Inputs'!P$729)+($X789*'Parameter Inputs'!P$731)+($Y789*'Parameter Inputs'!P$753))*$I789</f>
        <v>1396.971422980678</v>
      </c>
      <c r="AN789" s="47">
        <f ca="1">(($R789*'Parameter Inputs'!R$729)+($X789*'Parameter Inputs'!R$731)+($Y789*'Parameter Inputs'!R$753))*$I789</f>
        <v>1.4693847013724372E-2</v>
      </c>
      <c r="AO789" s="47">
        <f ca="1">(($R789*'Parameter Inputs'!S$729)+($X789*'Parameter Inputs'!S$731)+($Y789*'Parameter Inputs'!S$753))*$I789</f>
        <v>82.87475889726332</v>
      </c>
      <c r="AP789" s="47">
        <f ca="1">(($R789*'Parameter Inputs'!T$729)+($X789*'Parameter Inputs'!T$731)+($Y789*'Parameter Inputs'!T$753))*$I789</f>
        <v>178.46161355545851</v>
      </c>
      <c r="AQ789" s="47">
        <f ca="1">(($R789*'Parameter Inputs'!U$729)+($X789*'Parameter Inputs'!U$731)+($Y789*'Parameter Inputs'!U$753))*$I789</f>
        <v>186.30631996434187</v>
      </c>
      <c r="BG789" s="5" t="s">
        <v>135</v>
      </c>
      <c r="BH789" s="5">
        <v>0.56999999999999995</v>
      </c>
      <c r="BI789" s="5">
        <v>0.68</v>
      </c>
      <c r="BJ789" s="5">
        <f>(BH789+BI789)/2</f>
        <v>0.625</v>
      </c>
    </row>
    <row r="790" spans="4:131" ht="24" customHeight="1">
      <c r="D790" s="8" t="s">
        <v>650</v>
      </c>
      <c r="E790" s="49">
        <f ca="1">'Parameter Inputs'!K1159*'Parameter Inputs'!F647</f>
        <v>134.34508428198296</v>
      </c>
      <c r="F790" s="49">
        <f ca="1">E790/2</f>
        <v>67.172542140991482</v>
      </c>
      <c r="G790" s="50">
        <f ca="1">F790/I790</f>
        <v>67.172542140991482</v>
      </c>
      <c r="H790" s="49">
        <f ca="1">G790*1.1</f>
        <v>73.889796355090638</v>
      </c>
      <c r="I790" s="8">
        <v>1</v>
      </c>
      <c r="J790" s="8">
        <v>1</v>
      </c>
      <c r="K790" s="47">
        <f ca="1">((4*H790)/(J790*PI()))^(1/3)</f>
        <v>4.5481159638769029</v>
      </c>
      <c r="L790" s="47">
        <f ca="1">K790*J790</f>
        <v>4.5481159638769029</v>
      </c>
      <c r="M790" s="47">
        <f ca="1">(2*PI()*(K790/2)*L790)+(2*PI()*(K790/2)^2)</f>
        <v>97.47745696278011</v>
      </c>
      <c r="N790" s="47">
        <v>0.3</v>
      </c>
      <c r="O790" s="47">
        <f ca="1">K790+(N790*2)</f>
        <v>5.1481159638769025</v>
      </c>
      <c r="P790" s="47">
        <f ca="1">L790+N790</f>
        <v>4.8481159638769027</v>
      </c>
      <c r="Q790" s="8">
        <f ca="1">PI()*((O790/2)^2)*P790</f>
        <v>100.91588258339483</v>
      </c>
      <c r="R790" s="47">
        <f ca="1">Q790-H790</f>
        <v>27.026086228304194</v>
      </c>
      <c r="S790" s="47">
        <v>2400</v>
      </c>
      <c r="T790" s="47">
        <f t="shared" ca="1" si="2"/>
        <v>64862.606947930064</v>
      </c>
      <c r="U790" s="47">
        <v>0.05</v>
      </c>
      <c r="V790" s="47">
        <f ca="1">(PI()*(((O790+U790+U790)/2)^2)*(P790+U790))-Q790</f>
        <v>5.0401747906445848</v>
      </c>
      <c r="W790" s="47">
        <v>25</v>
      </c>
      <c r="X790" s="47">
        <f ca="1">W790*V790</f>
        <v>126.00436976611462</v>
      </c>
      <c r="Y790" s="8">
        <f t="shared" ca="1" si="3"/>
        <v>2162.0868982643356</v>
      </c>
      <c r="Z790" s="47">
        <f ca="1">(($R790*'Parameter Inputs'!F$729)+($X790*'Parameter Inputs'!F$731)+($Y790*'Parameter Inputs'!F$753))*$I790</f>
        <v>14280.932078546053</v>
      </c>
      <c r="AA790" s="47">
        <f ca="1">(($R790*'Parameter Inputs'!J$729)+($X790*'Parameter Inputs'!J$731)+($Y790*'Parameter Inputs'!J$753))*$I790</f>
        <v>2480.3033920104654</v>
      </c>
      <c r="AB790" s="47">
        <f ca="1">(($R790*'Parameter Inputs'!V$729)+($X790*'Parameter Inputs'!V$731)+($Y790*'Parameter Inputs'!V$753))*$I790</f>
        <v>79.485273607870738</v>
      </c>
      <c r="AC790" s="47">
        <f ca="1">(($R790*'Parameter Inputs'!Q$729)+($X790*'Parameter Inputs'!Q$731)+($Y790*'Parameter Inputs'!Q$753))*$I790</f>
        <v>1610.9819429701513</v>
      </c>
      <c r="AD790" s="47">
        <f ca="1">(($R790*'Parameter Inputs'!G$729)+($X790*'Parameter Inputs'!G$731)+($Y790*'Parameter Inputs'!G$753))*$I790</f>
        <v>502.71756134514987</v>
      </c>
      <c r="AE790" s="47">
        <f ca="1">(($R790*'Parameter Inputs'!H$729)+($X790*'Parameter Inputs'!H$731)+($Y790*'Parameter Inputs'!H$753))*$I790</f>
        <v>698.45671494458304</v>
      </c>
      <c r="AF790" s="47">
        <f ca="1">(($R790*'Parameter Inputs'!I$729)+($X790*'Parameter Inputs'!I$731)+($Y790*'Parameter Inputs'!I$753))*$I790</f>
        <v>38667.426702354715</v>
      </c>
      <c r="AG790" s="47">
        <f ca="1">(($R790*'Parameter Inputs'!M$729)+($X790*'Parameter Inputs'!M$731)+($Y790*'Parameter Inputs'!M$753))*$I790</f>
        <v>4102.8987951075205</v>
      </c>
      <c r="AH790" s="47">
        <f ca="1">(($R790*'Parameter Inputs'!N$729)+($X790*'Parameter Inputs'!N$731)+($Y790*'Parameter Inputs'!N$753))*$I790</f>
        <v>8333.9310090020226</v>
      </c>
      <c r="AI790" s="47">
        <f ca="1">(($R790*'Parameter Inputs'!E$729)+($X790*'Parameter Inputs'!E$731)+($Y790*'Parameter Inputs'!E$753))*$I790</f>
        <v>32.463345521807959</v>
      </c>
      <c r="AJ790" s="47">
        <f ca="1">(($R790*'Parameter Inputs'!K$729)+($X790*'Parameter Inputs'!K$731)+($Y790*'Parameter Inputs'!K$753))*$I790</f>
        <v>3.2848839454426826</v>
      </c>
      <c r="AK790" s="47">
        <f ca="1">(($R790*'Parameter Inputs'!L$729)+($X790*'Parameter Inputs'!L$731)+($Y790*'Parameter Inputs'!L$753))*$I790</f>
        <v>0.42625698603025985</v>
      </c>
      <c r="AL790" s="47">
        <f ca="1">(($R790*'Parameter Inputs'!O$729)+($X790*'Parameter Inputs'!O$731)+($Y790*'Parameter Inputs'!O$753))*$I790</f>
        <v>284.89086050861022</v>
      </c>
      <c r="AM790" s="47">
        <f ca="1">(($R790*'Parameter Inputs'!P$729)+($X790*'Parameter Inputs'!P$731)+($Y790*'Parameter Inputs'!P$753))*$I790</f>
        <v>274.99075663152246</v>
      </c>
      <c r="AN790" s="47">
        <f ca="1">(($R790*'Parameter Inputs'!R$729)+($X790*'Parameter Inputs'!R$731)+($Y790*'Parameter Inputs'!R$753))*$I790</f>
        <v>3.2733205910864221E-3</v>
      </c>
      <c r="AO790" s="47">
        <f ca="1">(($R790*'Parameter Inputs'!S$729)+($X790*'Parameter Inputs'!S$731)+($Y790*'Parameter Inputs'!S$753))*$I790</f>
        <v>16.40629618752784</v>
      </c>
      <c r="AP790" s="47">
        <f ca="1">(($R790*'Parameter Inputs'!T$729)+($X790*'Parameter Inputs'!T$731)+($Y790*'Parameter Inputs'!T$753))*$I790</f>
        <v>35.166909000508426</v>
      </c>
      <c r="AQ790" s="47">
        <f ca="1">(($R790*'Parameter Inputs'!U$729)+($X790*'Parameter Inputs'!U$731)+($Y790*'Parameter Inputs'!U$753))*$I790</f>
        <v>36.715757487280435</v>
      </c>
      <c r="BG790" s="5" t="s">
        <v>136</v>
      </c>
      <c r="BH790" s="5">
        <v>1.1000000000000001</v>
      </c>
      <c r="BI790" s="5">
        <v>1.4</v>
      </c>
      <c r="BJ790" s="5">
        <f>(BH790+BI790)/2</f>
        <v>1.25</v>
      </c>
    </row>
    <row r="791" spans="4:131">
      <c r="D791" s="8" t="s">
        <v>987</v>
      </c>
      <c r="E791" s="8"/>
      <c r="F791" s="8"/>
      <c r="G791" s="8"/>
      <c r="H791" s="49"/>
      <c r="I791" s="8"/>
      <c r="J791" s="8"/>
      <c r="K791" s="8"/>
      <c r="L791" s="8"/>
      <c r="M791" s="47"/>
      <c r="N791" s="8"/>
      <c r="O791" s="47"/>
      <c r="P791" s="8"/>
      <c r="Q791" s="8"/>
      <c r="R791" s="8"/>
      <c r="S791" s="8"/>
      <c r="T791" s="8"/>
      <c r="U791" s="47"/>
      <c r="V791" s="47"/>
      <c r="W791" s="47"/>
      <c r="X791" s="47"/>
      <c r="Y791" s="8"/>
      <c r="Z791" s="50">
        <f t="shared" ref="Z791:AQ791" ca="1" si="4">SUM(Z786:Z790)</f>
        <v>821496.1160887666</v>
      </c>
      <c r="AA791" s="50">
        <f t="shared" ca="1" si="4"/>
        <v>140540.68998664035</v>
      </c>
      <c r="AB791" s="50">
        <f t="shared" ca="1" si="4"/>
        <v>4375.8837609189422</v>
      </c>
      <c r="AC791" s="50">
        <f t="shared" ca="1" si="4"/>
        <v>93684.693296942613</v>
      </c>
      <c r="AD791" s="50">
        <f t="shared" ca="1" si="4"/>
        <v>28725.274973619216</v>
      </c>
      <c r="AE791" s="50">
        <f t="shared" ca="1" si="4"/>
        <v>39956.236618708943</v>
      </c>
      <c r="AF791" s="50">
        <f t="shared" ca="1" si="4"/>
        <v>2205389.4587935582</v>
      </c>
      <c r="AG791" s="50">
        <f t="shared" ca="1" si="4"/>
        <v>238396.57580366181</v>
      </c>
      <c r="AH791" s="50">
        <f t="shared" ca="1" si="4"/>
        <v>475398.98607571534</v>
      </c>
      <c r="AI791" s="50">
        <f t="shared" ca="1" si="4"/>
        <v>1854.4127419855768</v>
      </c>
      <c r="AJ791" s="50">
        <f t="shared" ca="1" si="4"/>
        <v>188.73021733084943</v>
      </c>
      <c r="AK791" s="50">
        <f t="shared" ca="1" si="4"/>
        <v>23.137029735119491</v>
      </c>
      <c r="AL791" s="50">
        <f t="shared" ca="1" si="4"/>
        <v>15934.465802124536</v>
      </c>
      <c r="AM791" s="50">
        <f t="shared" ca="1" si="4"/>
        <v>15887.112496156687</v>
      </c>
      <c r="AN791" s="50">
        <f t="shared" ca="1" si="4"/>
        <v>0.1622948905290561</v>
      </c>
      <c r="AO791" s="50">
        <f t="shared" ca="1" si="4"/>
        <v>941.32688412537073</v>
      </c>
      <c r="AP791" s="50">
        <f t="shared" ca="1" si="4"/>
        <v>2029.0926379281657</v>
      </c>
      <c r="AQ791" s="50">
        <f t="shared" ca="1" si="4"/>
        <v>2118.2483138121675</v>
      </c>
      <c r="BC791" s="5" t="s">
        <v>440</v>
      </c>
      <c r="BG791" s="5" t="s">
        <v>449</v>
      </c>
      <c r="BJ791" s="5">
        <f>BD809</f>
        <v>2.8432472876917321</v>
      </c>
    </row>
    <row r="792" spans="4:131" ht="30.75" customHeight="1">
      <c r="D792" s="13" t="s">
        <v>1002</v>
      </c>
      <c r="E792" s="51">
        <f ca="1">'Parameter Inputs'!L907</f>
        <v>25.283801978745334</v>
      </c>
      <c r="F792" s="51">
        <f ca="1">E792</f>
        <v>25.283801978745334</v>
      </c>
      <c r="G792" s="51">
        <f ca="1">F792*'Parameter Inputs'!F360</f>
        <v>379.25702968118003</v>
      </c>
      <c r="H792" s="51">
        <f ca="1">G792*1.1</f>
        <v>417.18273264929809</v>
      </c>
      <c r="I792" s="13">
        <v>1</v>
      </c>
      <c r="J792" s="13">
        <v>1</v>
      </c>
      <c r="K792" s="48">
        <f ca="1">((4*H792)/(J792*PI()))^(1/3)</f>
        <v>8.0986409983892624</v>
      </c>
      <c r="L792" s="48">
        <f ca="1">K792*J792</f>
        <v>8.0986409983892624</v>
      </c>
      <c r="M792" s="48">
        <f ca="1">(2*PI()*(K792/2)*L792)+(2*PI()*(K792/2)^2)</f>
        <v>309.0761025700026</v>
      </c>
      <c r="N792" s="48">
        <v>0.3</v>
      </c>
      <c r="O792" s="48">
        <f ca="1">K792+(N792*2)</f>
        <v>8.6986409983892621</v>
      </c>
      <c r="P792" s="48">
        <f ca="1">L792+N792+N792</f>
        <v>8.6986409983892639</v>
      </c>
      <c r="Q792" s="13">
        <f ca="1">PI()*((O792/2)^2)*P792</f>
        <v>516.94471981103493</v>
      </c>
      <c r="R792" s="48">
        <f ca="1">Q792-H792</f>
        <v>99.76198716173684</v>
      </c>
      <c r="S792" s="48">
        <v>2400</v>
      </c>
      <c r="T792" s="48">
        <f ca="1">S792*R792</f>
        <v>239428.76918816843</v>
      </c>
      <c r="U792" s="48">
        <v>0.05</v>
      </c>
      <c r="V792" s="48">
        <f ca="1">(PI()*(((O792+U792+U792)/2)^2)*(P792+U792))-Q792</f>
        <v>14.99408473733331</v>
      </c>
      <c r="W792" s="48">
        <v>25</v>
      </c>
      <c r="X792" s="48">
        <f ca="1">W792*V792</f>
        <v>374.85211843333275</v>
      </c>
      <c r="AE792" s="13"/>
      <c r="AF792" s="13"/>
      <c r="AG792" s="13"/>
      <c r="AH792" s="13"/>
      <c r="AQ792" s="36"/>
      <c r="BG792" s="5" t="s">
        <v>144</v>
      </c>
      <c r="BJ792" s="5" t="s">
        <v>148</v>
      </c>
    </row>
    <row r="793" spans="4:131" ht="21.75" customHeight="1">
      <c r="D793" s="8" t="s">
        <v>1257</v>
      </c>
      <c r="E793" s="49">
        <f ca="1">'Parameter Inputs'!L907</f>
        <v>25.283801978745334</v>
      </c>
      <c r="F793" s="49">
        <f ca="1">E793</f>
        <v>25.283801978745334</v>
      </c>
      <c r="G793" s="50">
        <f ca="1">F793/I793</f>
        <v>25.283801978745334</v>
      </c>
      <c r="H793" s="49">
        <f ca="1">G793*1.1</f>
        <v>27.812182176619871</v>
      </c>
      <c r="I793" s="8">
        <v>1</v>
      </c>
      <c r="J793" s="8">
        <v>1</v>
      </c>
      <c r="K793" s="47">
        <f ca="1">((4*H793)/(J793*PI()))^(1/3)</f>
        <v>3.2838380294557146</v>
      </c>
      <c r="L793" s="47">
        <f ca="1">K793*J793</f>
        <v>3.2838380294557146</v>
      </c>
      <c r="M793" s="47">
        <f ca="1">(2*PI()*(K793/2)*L793)+(2*PI()*(K793/2)^2)</f>
        <v>50.8164810696762</v>
      </c>
      <c r="N793" s="47">
        <v>0.3</v>
      </c>
      <c r="O793" s="47">
        <f ca="1">K793+(N793*2)</f>
        <v>3.8838380294557147</v>
      </c>
      <c r="P793" s="47">
        <f ca="1">L793+N793+N793</f>
        <v>3.8838380294557142</v>
      </c>
      <c r="Q793" s="8">
        <f ca="1">PI()*((O793/2)^2)*P793</f>
        <v>46.012222486624111</v>
      </c>
      <c r="R793" s="47">
        <f ca="1">Q793-H793</f>
        <v>18.20004031000424</v>
      </c>
      <c r="S793" s="47">
        <v>2400</v>
      </c>
      <c r="T793" s="47">
        <f ca="1">S793*R793</f>
        <v>43680.096744010174</v>
      </c>
      <c r="U793" s="47">
        <v>0.05</v>
      </c>
      <c r="V793" s="47">
        <f ca="1">(PI()*(((O793+U793+U793)/2)^2)*(P793+U793))-Q793</f>
        <v>3.0231752039647475</v>
      </c>
      <c r="W793" s="47">
        <v>25</v>
      </c>
      <c r="X793" s="47">
        <f ca="1">W793*V793</f>
        <v>75.57938009911868</v>
      </c>
      <c r="Y793" s="8"/>
      <c r="Z793" s="8"/>
      <c r="AA793" s="8"/>
      <c r="AB793" s="8"/>
      <c r="AC793" s="8"/>
      <c r="AD793" s="8"/>
      <c r="AE793" s="8"/>
      <c r="AF793" s="8"/>
      <c r="AG793" s="8"/>
      <c r="AH793" s="8"/>
      <c r="AI793" s="12"/>
      <c r="AJ793" s="12"/>
      <c r="AK793" s="12"/>
      <c r="AL793" s="12"/>
      <c r="AM793" s="12"/>
      <c r="AN793" s="12"/>
      <c r="AO793" s="12"/>
      <c r="AP793" s="12"/>
      <c r="AQ793" s="22"/>
      <c r="BC793" s="5" t="s">
        <v>442</v>
      </c>
    </row>
    <row r="794" spans="4:131">
      <c r="BC794" s="5" t="s">
        <v>443</v>
      </c>
      <c r="BD794" s="5">
        <v>1.2E-2</v>
      </c>
      <c r="BG794" s="5" t="s">
        <v>137</v>
      </c>
      <c r="BJ794" s="5">
        <v>2.85</v>
      </c>
    </row>
    <row r="795" spans="4:131">
      <c r="I795" s="5" t="s">
        <v>542</v>
      </c>
      <c r="BC795" s="5" t="s">
        <v>444</v>
      </c>
      <c r="BD795" s="5">
        <v>14.4</v>
      </c>
      <c r="BG795" s="5" t="s">
        <v>138</v>
      </c>
      <c r="BJ795" s="5">
        <v>1.7</v>
      </c>
    </row>
    <row r="796" spans="4:131" ht="27.75" customHeight="1">
      <c r="D796" s="74" t="s">
        <v>494</v>
      </c>
      <c r="E796" s="74" t="s">
        <v>803</v>
      </c>
      <c r="F796" s="74" t="s">
        <v>809</v>
      </c>
      <c r="G796" s="74" t="s">
        <v>803</v>
      </c>
      <c r="H796" s="74" t="s">
        <v>378</v>
      </c>
      <c r="I796" s="74" t="s">
        <v>945</v>
      </c>
      <c r="J796" s="74" t="s">
        <v>953</v>
      </c>
      <c r="K796" s="74" t="s">
        <v>954</v>
      </c>
      <c r="L796" s="74" t="s">
        <v>705</v>
      </c>
      <c r="M796" s="74" t="s">
        <v>895</v>
      </c>
      <c r="N796" s="74" t="s">
        <v>1010</v>
      </c>
      <c r="O796" s="74" t="s">
        <v>899</v>
      </c>
      <c r="P796" s="74" t="s">
        <v>900</v>
      </c>
      <c r="Q796" s="75" t="s">
        <v>1298</v>
      </c>
      <c r="R796" s="76" t="s">
        <v>1299</v>
      </c>
      <c r="S796" s="76" t="s">
        <v>1300</v>
      </c>
      <c r="T796" s="75" t="s">
        <v>1301</v>
      </c>
      <c r="U796" s="76" t="s">
        <v>1302</v>
      </c>
      <c r="V796" s="76" t="s">
        <v>1435</v>
      </c>
      <c r="W796" s="76" t="s">
        <v>1434</v>
      </c>
      <c r="X796" s="76" t="s">
        <v>1433</v>
      </c>
      <c r="Y796" s="76" t="s">
        <v>1432</v>
      </c>
      <c r="Z796" s="76" t="s">
        <v>1431</v>
      </c>
      <c r="AA796" s="76" t="s">
        <v>1430</v>
      </c>
      <c r="AB796" s="76" t="s">
        <v>1429</v>
      </c>
      <c r="AC796" s="76" t="s">
        <v>1428</v>
      </c>
      <c r="AD796" s="76" t="s">
        <v>1427</v>
      </c>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t="s">
        <v>445</v>
      </c>
      <c r="BD796" s="97">
        <f>BD794/BD795</f>
        <v>8.3333333333333328E-4</v>
      </c>
      <c r="BE796" s="97"/>
      <c r="BF796" s="97"/>
      <c r="BG796" s="5" t="s">
        <v>449</v>
      </c>
      <c r="BJ796" s="5">
        <f>BD809</f>
        <v>2.8432472876917321</v>
      </c>
      <c r="BK796" s="97"/>
      <c r="BL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row>
    <row r="797" spans="4:131" ht="29">
      <c r="D797" s="8" t="s">
        <v>708</v>
      </c>
      <c r="E797" s="50">
        <f ca="1">'Parameter Inputs'!H1080/22</f>
        <v>56.699593765212192</v>
      </c>
      <c r="F797" s="8" t="s">
        <v>810</v>
      </c>
      <c r="G797" s="8" t="s">
        <v>814</v>
      </c>
      <c r="H797" s="8">
        <v>6500</v>
      </c>
      <c r="I797" s="8">
        <v>5.52</v>
      </c>
      <c r="J797" s="8">
        <v>1.45</v>
      </c>
      <c r="K797" s="8">
        <v>1.7</v>
      </c>
      <c r="L797" s="52" t="s">
        <v>808</v>
      </c>
      <c r="M797" s="47">
        <f>H797*('Parameter Inputs'!F741+'Parameter Inputs'!F743)</f>
        <v>41543.450000000004</v>
      </c>
      <c r="N797" s="47">
        <f>H797*('Parameter Inputs'!J741+'Parameter Inputs'!J743)</f>
        <v>9850.8150000000005</v>
      </c>
      <c r="O797" s="47">
        <f>H797*('Parameter Inputs'!V741+'Parameter Inputs'!V743)</f>
        <v>299.90350000000001</v>
      </c>
      <c r="P797" s="47">
        <f>H797*('Parameter Inputs'!Q741+'Parameter Inputs'!Q743)</f>
        <v>4378.9849999999997</v>
      </c>
      <c r="Q797" s="47">
        <f>H797*('Parameter Inputs'!G741+'Parameter Inputs'!G743)</f>
        <v>3783.3249999999998</v>
      </c>
      <c r="R797" s="47">
        <f>H797*('Parameter Inputs'!H741+'Parameter Inputs'!H743)</f>
        <v>5407.2849999999999</v>
      </c>
      <c r="S797" s="47">
        <f>H797*('Parameter Inputs'!I741+'Parameter Inputs'!I743)</f>
        <v>1091166.7</v>
      </c>
      <c r="T797" s="47">
        <f>H797*('Parameter Inputs'!M741+'Parameter Inputs'!M743)</f>
        <v>59817.03</v>
      </c>
      <c r="U797" s="47">
        <f>H797*('Parameter Inputs'!N741+'Parameter Inputs'!N743)</f>
        <v>59893.599999999999</v>
      </c>
      <c r="V797" s="47">
        <f>H797*('Parameter Inputs'!E741+'Parameter Inputs'!E743)</f>
        <v>143.84955000000002</v>
      </c>
      <c r="W797" s="47">
        <f>H797*('Parameter Inputs'!K741+'Parameter Inputs'!K743)</f>
        <v>15.78382</v>
      </c>
      <c r="X797" s="47">
        <f>H797*('Parameter Inputs'!L741+'Parameter Inputs'!L743)</f>
        <v>2.51004</v>
      </c>
      <c r="Y797" s="47">
        <f>H797*('Parameter Inputs'!O741+'Parameter Inputs'!O743)</f>
        <v>4214.5999999999995</v>
      </c>
      <c r="Z797" s="47">
        <f>H797*('Parameter Inputs'!P741+'Parameter Inputs'!P743)</f>
        <v>1423.7794999999999</v>
      </c>
      <c r="AA797" s="47">
        <f>H797*('Parameter Inputs'!R741+'Parameter Inputs'!R743)</f>
        <v>1.0798840000000001E-2</v>
      </c>
      <c r="AB797" s="47">
        <f>H797*('Parameter Inputs'!S741+'Parameter Inputs'!S743)</f>
        <v>124.44770000000001</v>
      </c>
      <c r="AC797" s="47">
        <f>H797*('Parameter Inputs'!T741+'Parameter Inputs'!T743)</f>
        <v>95.575999999999993</v>
      </c>
      <c r="AD797" s="47">
        <f>H797*('Parameter Inputs'!U741+'Parameter Inputs'!U743)</f>
        <v>100.3639</v>
      </c>
      <c r="AE797" s="86"/>
      <c r="BC797" s="5" t="s">
        <v>446</v>
      </c>
      <c r="BG797" s="97" t="s">
        <v>144</v>
      </c>
      <c r="BH797" s="97"/>
      <c r="BI797" s="97"/>
      <c r="BJ797" s="97" t="s">
        <v>148</v>
      </c>
    </row>
    <row r="798" spans="4:131">
      <c r="D798" s="8" t="s">
        <v>655</v>
      </c>
      <c r="E798" s="50">
        <f ca="1">'Parameter Inputs'!K1129/24</f>
        <v>42.315236388828986</v>
      </c>
      <c r="F798" s="8" t="s">
        <v>812</v>
      </c>
      <c r="G798" s="8" t="s">
        <v>813</v>
      </c>
      <c r="H798" s="8">
        <v>5200</v>
      </c>
      <c r="I798" s="8">
        <v>5.0999999999999996</v>
      </c>
      <c r="J798" s="8">
        <v>1.25</v>
      </c>
      <c r="K798" s="8">
        <v>1.6</v>
      </c>
      <c r="L798" s="52" t="s">
        <v>808</v>
      </c>
      <c r="M798" s="47">
        <f>H798*('Parameter Inputs'!F741+'Parameter Inputs'!F743)</f>
        <v>33234.76</v>
      </c>
      <c r="N798" s="47">
        <f>H798*('Parameter Inputs'!J741+'Parameter Inputs'!J743)</f>
        <v>7880.652000000001</v>
      </c>
      <c r="O798" s="47">
        <f>H798*('Parameter Inputs'!V741+'Parameter Inputs'!V743)</f>
        <v>239.9228</v>
      </c>
      <c r="P798" s="47">
        <f>H798*('Parameter Inputs'!Q741+'Parameter Inputs'!Q743)</f>
        <v>3503.1880000000001</v>
      </c>
      <c r="Q798" s="47">
        <f>H798*('Parameter Inputs'!G741+'Parameter Inputs'!G743)</f>
        <v>3026.66</v>
      </c>
      <c r="R798" s="47">
        <f>H798*('Parameter Inputs'!H741+'Parameter Inputs'!H743)</f>
        <v>4325.8280000000004</v>
      </c>
      <c r="S798" s="47">
        <f>H798*('Parameter Inputs'!I741+'Parameter Inputs'!I743)</f>
        <v>872933.36</v>
      </c>
      <c r="T798" s="47">
        <f>H798*('Parameter Inputs'!M741+'Parameter Inputs'!M743)</f>
        <v>47853.623999999996</v>
      </c>
      <c r="U798" s="47">
        <f>H798*('Parameter Inputs'!N741+'Parameter Inputs'!N743)</f>
        <v>47914.879999999997</v>
      </c>
      <c r="V798" s="47">
        <f>H798*('Parameter Inputs'!E741+'Parameter Inputs'!E743)</f>
        <v>115.07964000000001</v>
      </c>
      <c r="W798" s="47">
        <f>H798*('Parameter Inputs'!K741+'Parameter Inputs'!K743)</f>
        <v>12.627056000000001</v>
      </c>
      <c r="X798" s="47">
        <f>H798*('Parameter Inputs'!L741+'Parameter Inputs'!L743)</f>
        <v>2.008032</v>
      </c>
      <c r="Y798" s="47">
        <f>H798*('Parameter Inputs'!O741+'Parameter Inputs'!O743)</f>
        <v>3371.68</v>
      </c>
      <c r="Z798" s="47">
        <f>H798*('Parameter Inputs'!P741+'Parameter Inputs'!P743)</f>
        <v>1139.0236</v>
      </c>
      <c r="AA798" s="47">
        <f>H798*('Parameter Inputs'!R741+'Parameter Inputs'!R743)</f>
        <v>8.6390720000000011E-3</v>
      </c>
      <c r="AB798" s="47">
        <f>H798*('Parameter Inputs'!S741+'Parameter Inputs'!S743)</f>
        <v>99.558160000000001</v>
      </c>
      <c r="AC798" s="47">
        <f>H798*('Parameter Inputs'!T741+'Parameter Inputs'!T743)</f>
        <v>76.460800000000006</v>
      </c>
      <c r="AD798" s="47">
        <f>H798*('Parameter Inputs'!U741+'Parameter Inputs'!U743)</f>
        <v>80.291120000000006</v>
      </c>
      <c r="AE798" s="86"/>
      <c r="AF798" s="91"/>
      <c r="BC798" s="5" t="s">
        <v>443</v>
      </c>
      <c r="BD798" s="5">
        <v>0.01</v>
      </c>
    </row>
    <row r="799" spans="4:131" ht="15" thickBot="1">
      <c r="D799" s="53" t="s">
        <v>673</v>
      </c>
      <c r="E799" s="54">
        <f ca="1">('Parameter Inputs'!K1165/10)</f>
        <v>6.7172542140991549</v>
      </c>
      <c r="F799" s="53" t="s">
        <v>961</v>
      </c>
      <c r="G799" s="53" t="s">
        <v>962</v>
      </c>
      <c r="H799" s="53">
        <v>2500</v>
      </c>
      <c r="I799" s="53">
        <v>3.7</v>
      </c>
      <c r="J799" s="53">
        <v>1.05</v>
      </c>
      <c r="K799" s="53">
        <v>1.2</v>
      </c>
      <c r="L799" s="55" t="s">
        <v>808</v>
      </c>
      <c r="M799" s="56">
        <f>H799*('Parameter Inputs'!F741+'Parameter Inputs'!F743)</f>
        <v>15978.25</v>
      </c>
      <c r="N799" s="56">
        <f>H799*('Parameter Inputs'!J741+'Parameter Inputs'!J743)</f>
        <v>3788.7750000000005</v>
      </c>
      <c r="O799" s="56">
        <f>H799*('Parameter Inputs'!V741+'Parameter Inputs'!V743)</f>
        <v>115.3475</v>
      </c>
      <c r="P799" s="56">
        <f>H799*('Parameter Inputs'!Q741+'Parameter Inputs'!Q743)</f>
        <v>1684.2250000000001</v>
      </c>
      <c r="Q799" s="56">
        <f>H799*('Parameter Inputs'!G741+'Parameter Inputs'!G743)</f>
        <v>1455.125</v>
      </c>
      <c r="R799" s="56">
        <f>H799*('Parameter Inputs'!H741+'Parameter Inputs'!H743)</f>
        <v>2079.7249999999999</v>
      </c>
      <c r="S799" s="56">
        <f>H799*('Parameter Inputs'!I741+'Parameter Inputs'!I743)</f>
        <v>419679.5</v>
      </c>
      <c r="T799" s="56">
        <f>H799*('Parameter Inputs'!M741+'Parameter Inputs'!M743)</f>
        <v>23006.55</v>
      </c>
      <c r="U799" s="56">
        <f>H799*('Parameter Inputs'!N741+'Parameter Inputs'!N743)</f>
        <v>23036</v>
      </c>
      <c r="V799" s="56">
        <f>H799*('Parameter Inputs'!E741+'Parameter Inputs'!E743)</f>
        <v>55.326750000000011</v>
      </c>
      <c r="W799" s="56">
        <f>H799*('Parameter Inputs'!K741+'Parameter Inputs'!K743)</f>
        <v>6.0707000000000004</v>
      </c>
      <c r="X799" s="56">
        <f>H799*('Parameter Inputs'!L741+'Parameter Inputs'!L743)</f>
        <v>0.96539999999999992</v>
      </c>
      <c r="Y799" s="56">
        <f>H799*('Parameter Inputs'!O741+'Parameter Inputs'!O743)</f>
        <v>1621</v>
      </c>
      <c r="Z799" s="56">
        <f>H799*('Parameter Inputs'!P741+'Parameter Inputs'!P743)</f>
        <v>547.60749999999996</v>
      </c>
      <c r="AA799" s="56">
        <f>H799*('Parameter Inputs'!R741+'Parameter Inputs'!R743)</f>
        <v>4.1533999999999998E-3</v>
      </c>
      <c r="AB799" s="56">
        <f>H799*('Parameter Inputs'!S741+'Parameter Inputs'!S743)</f>
        <v>47.8645</v>
      </c>
      <c r="AC799" s="56">
        <f>H799*('Parameter Inputs'!T741+'Parameter Inputs'!T743)</f>
        <v>36.76</v>
      </c>
      <c r="AD799" s="56">
        <f>H799*('Parameter Inputs'!U741+'Parameter Inputs'!U743)</f>
        <v>38.601500000000001</v>
      </c>
      <c r="AE799" s="86"/>
      <c r="BC799" s="5" t="s">
        <v>444</v>
      </c>
      <c r="BD799" s="5">
        <f>(0.022+0.035)/2</f>
        <v>2.8500000000000001E-2</v>
      </c>
      <c r="BE799" s="5" t="s">
        <v>447</v>
      </c>
      <c r="BG799" s="5" t="s">
        <v>139</v>
      </c>
      <c r="BH799" s="5">
        <v>1.8</v>
      </c>
      <c r="BI799" s="5">
        <v>2</v>
      </c>
      <c r="BJ799" s="5">
        <f>(BH799+BI799)/2</f>
        <v>1.9</v>
      </c>
    </row>
    <row r="800" spans="4:131" ht="15" thickTop="1">
      <c r="D800" s="15" t="s">
        <v>986</v>
      </c>
      <c r="E800" s="15"/>
      <c r="F800" s="15"/>
      <c r="G800" s="15"/>
      <c r="H800" s="15"/>
      <c r="I800" s="15"/>
      <c r="J800" s="15"/>
      <c r="K800" s="15"/>
      <c r="L800" s="15"/>
      <c r="M800" s="39">
        <f>SUM(M797:M799)</f>
        <v>90756.46</v>
      </c>
      <c r="N800" s="39">
        <f t="shared" ref="N800:AD800" si="5">SUM(N797:N799)</f>
        <v>21520.242000000002</v>
      </c>
      <c r="O800" s="39">
        <f t="shared" si="5"/>
        <v>655.17379999999991</v>
      </c>
      <c r="P800" s="39">
        <f t="shared" si="5"/>
        <v>9566.3979999999992</v>
      </c>
      <c r="Q800" s="39">
        <f t="shared" si="5"/>
        <v>8265.11</v>
      </c>
      <c r="R800" s="39">
        <f t="shared" si="5"/>
        <v>11812.838000000002</v>
      </c>
      <c r="S800" s="39">
        <f t="shared" si="5"/>
        <v>2383779.56</v>
      </c>
      <c r="T800" s="39">
        <f t="shared" si="5"/>
        <v>130677.204</v>
      </c>
      <c r="U800" s="39">
        <f t="shared" si="5"/>
        <v>130844.48</v>
      </c>
      <c r="V800" s="39">
        <f t="shared" si="5"/>
        <v>314.25594000000007</v>
      </c>
      <c r="W800" s="39">
        <f t="shared" si="5"/>
        <v>34.481576000000004</v>
      </c>
      <c r="X800" s="39">
        <f t="shared" si="5"/>
        <v>5.4834719999999999</v>
      </c>
      <c r="Y800" s="39">
        <f t="shared" si="5"/>
        <v>9207.2799999999988</v>
      </c>
      <c r="Z800" s="39">
        <f t="shared" si="5"/>
        <v>3110.4106000000002</v>
      </c>
      <c r="AA800" s="39">
        <f t="shared" si="5"/>
        <v>2.3591312000000003E-2</v>
      </c>
      <c r="AB800" s="39">
        <f t="shared" si="5"/>
        <v>271.87036000000001</v>
      </c>
      <c r="AC800" s="39">
        <f t="shared" si="5"/>
        <v>208.79679999999999</v>
      </c>
      <c r="AD800" s="39">
        <f t="shared" si="5"/>
        <v>219.25652000000002</v>
      </c>
      <c r="AE800" s="86"/>
      <c r="BG800" s="5" t="s">
        <v>140</v>
      </c>
      <c r="BH800" s="5">
        <v>0.9</v>
      </c>
      <c r="BI800" s="5">
        <v>1</v>
      </c>
      <c r="BJ800" s="5">
        <f>(BH800+BI800)/2</f>
        <v>0.95</v>
      </c>
    </row>
    <row r="801" spans="4:62">
      <c r="BG801" s="5" t="s">
        <v>141</v>
      </c>
      <c r="BH801" s="5">
        <v>4</v>
      </c>
      <c r="BI801" s="5">
        <v>5</v>
      </c>
      <c r="BJ801" s="5">
        <f>(BH801+BI801)/2</f>
        <v>4.5</v>
      </c>
    </row>
    <row r="802" spans="4:62" ht="378">
      <c r="D802" s="42" t="s">
        <v>656</v>
      </c>
      <c r="E802" s="42" t="s">
        <v>921</v>
      </c>
      <c r="F802" s="42" t="s">
        <v>809</v>
      </c>
      <c r="G802" s="42" t="s">
        <v>923</v>
      </c>
      <c r="H802" s="42" t="s">
        <v>378</v>
      </c>
      <c r="I802" s="42" t="s">
        <v>1029</v>
      </c>
      <c r="J802" s="42" t="s">
        <v>1030</v>
      </c>
      <c r="K802" s="42" t="s">
        <v>550</v>
      </c>
      <c r="L802" s="42" t="s">
        <v>825</v>
      </c>
      <c r="M802" s="42" t="s">
        <v>895</v>
      </c>
      <c r="N802" s="42" t="s">
        <v>1010</v>
      </c>
      <c r="O802" s="42" t="s">
        <v>899</v>
      </c>
      <c r="P802" s="42" t="s">
        <v>900</v>
      </c>
      <c r="Q802" s="16" t="s">
        <v>1298</v>
      </c>
      <c r="R802" s="77" t="s">
        <v>1299</v>
      </c>
      <c r="S802" s="77" t="s">
        <v>1300</v>
      </c>
      <c r="T802" s="16" t="s">
        <v>1301</v>
      </c>
      <c r="U802" s="77" t="s">
        <v>1302</v>
      </c>
      <c r="V802" s="76" t="s">
        <v>1435</v>
      </c>
      <c r="W802" s="76" t="s">
        <v>1434</v>
      </c>
      <c r="X802" s="76" t="s">
        <v>1433</v>
      </c>
      <c r="Y802" s="76" t="s">
        <v>1432</v>
      </c>
      <c r="Z802" s="76" t="s">
        <v>1431</v>
      </c>
      <c r="AA802" s="76" t="s">
        <v>1430</v>
      </c>
      <c r="AB802" s="76" t="s">
        <v>1429</v>
      </c>
      <c r="AC802" s="76" t="s">
        <v>1428</v>
      </c>
      <c r="AD802" s="76" t="s">
        <v>1427</v>
      </c>
      <c r="BC802" s="5" t="s">
        <v>445</v>
      </c>
      <c r="BD802" s="5">
        <f>BD798/BD799</f>
        <v>0.35087719298245612</v>
      </c>
      <c r="BG802" s="97" t="s">
        <v>142</v>
      </c>
      <c r="BH802" s="5">
        <v>1.2</v>
      </c>
      <c r="BI802" s="5">
        <v>1.6</v>
      </c>
      <c r="BJ802" s="5">
        <f>(BH802+BI802)/2</f>
        <v>1.4</v>
      </c>
    </row>
    <row r="803" spans="4:62">
      <c r="D803" s="8" t="s">
        <v>656</v>
      </c>
      <c r="E803" s="49">
        <f ca="1">'Parameter Inputs'!N1151/24</f>
        <v>534.78139948557248</v>
      </c>
      <c r="F803" s="8" t="s">
        <v>922</v>
      </c>
      <c r="G803" s="8">
        <v>675</v>
      </c>
      <c r="H803" s="8">
        <v>12300</v>
      </c>
      <c r="I803" s="8">
        <v>11.3</v>
      </c>
      <c r="J803" s="8">
        <v>3.06</v>
      </c>
      <c r="K803" s="8">
        <v>2.75</v>
      </c>
      <c r="L803" s="8" t="s">
        <v>924</v>
      </c>
      <c r="M803" s="8">
        <f>$H803*('Parameter Inputs'!F$741+'Parameter Inputs'!F$743)</f>
        <v>78612.990000000005</v>
      </c>
      <c r="N803" s="8">
        <f>$H803*('Parameter Inputs'!J$741+'Parameter Inputs'!J$743)</f>
        <v>18640.773000000001</v>
      </c>
      <c r="O803" s="8">
        <f>$H803*('Parameter Inputs'!V$741+'Parameter Inputs'!V$743)</f>
        <v>567.50969999999995</v>
      </c>
      <c r="P803" s="8">
        <f>$H803*('Parameter Inputs'!Q$741+'Parameter Inputs'!Q$743)</f>
        <v>8286.3870000000006</v>
      </c>
      <c r="Q803" s="8">
        <f>$H803*('Parameter Inputs'!G$741+'Parameter Inputs'!G$743)</f>
        <v>7159.2149999999992</v>
      </c>
      <c r="R803" s="8">
        <f>$H803*('Parameter Inputs'!H$741+'Parameter Inputs'!H$743)</f>
        <v>10232.246999999999</v>
      </c>
      <c r="S803" s="8">
        <f>$H803*('Parameter Inputs'!I$741+'Parameter Inputs'!I$743)</f>
        <v>2064823.1400000001</v>
      </c>
      <c r="T803" s="8">
        <f>H803*('Parameter Inputs'!M741+'Parameter Inputs'!M743)</f>
        <v>113192.226</v>
      </c>
      <c r="U803" s="8">
        <f>$H803*('Parameter Inputs'!N$741+'Parameter Inputs'!N$743)</f>
        <v>113337.12</v>
      </c>
      <c r="V803" s="8">
        <f>$H803*('Parameter Inputs'!E$741+'Parameter Inputs'!E$743)</f>
        <v>272.20761000000005</v>
      </c>
      <c r="W803" s="8">
        <f>$H803*('Parameter Inputs'!K$741+'Parameter Inputs'!K$743)</f>
        <v>29.867844000000002</v>
      </c>
      <c r="X803" s="8">
        <f>H803*('Parameter Inputs'!L741+'Parameter Inputs'!L743)</f>
        <v>4.7497679999999995</v>
      </c>
      <c r="Y803" s="8">
        <f>H803*('Parameter Inputs'!O741+'Parameter Inputs'!O743)</f>
        <v>7975.32</v>
      </c>
      <c r="Z803" s="8">
        <f>H803*('Parameter Inputs'!P741+'Parameter Inputs'!P743)</f>
        <v>2694.2289000000001</v>
      </c>
      <c r="AA803" s="8">
        <f>H803*('Parameter Inputs'!R741+'Parameter Inputs'!R743)</f>
        <v>2.0434727999999999E-2</v>
      </c>
      <c r="AB803" s="8">
        <f>H803*('Parameter Inputs'!S741+'Parameter Inputs'!S743)</f>
        <v>235.49334000000002</v>
      </c>
      <c r="AC803" s="8">
        <f>H803*('Parameter Inputs'!T741+'Parameter Inputs'!T743)</f>
        <v>180.85919999999999</v>
      </c>
      <c r="AD803" s="8">
        <f>H803*('Parameter Inputs'!U741+'Parameter Inputs'!U743)</f>
        <v>189.91938000000002</v>
      </c>
      <c r="BG803" s="5" t="s">
        <v>143</v>
      </c>
      <c r="BH803" s="5">
        <v>3</v>
      </c>
      <c r="BI803" s="5">
        <v>3.6</v>
      </c>
      <c r="BJ803" s="5">
        <f>(BH803+BI803)/2</f>
        <v>3.3</v>
      </c>
    </row>
    <row r="804" spans="4:62">
      <c r="E804" s="91"/>
      <c r="BG804" s="5" t="s">
        <v>449</v>
      </c>
      <c r="BJ804" s="5">
        <f>BD809</f>
        <v>2.8432472876917321</v>
      </c>
    </row>
    <row r="805" spans="4:62">
      <c r="D805" s="42" t="s">
        <v>1448</v>
      </c>
      <c r="E805" s="78" t="s">
        <v>1440</v>
      </c>
      <c r="F805" s="42" t="s">
        <v>1441</v>
      </c>
      <c r="G805" s="42" t="s">
        <v>1442</v>
      </c>
      <c r="H805" s="42" t="s">
        <v>1443</v>
      </c>
      <c r="I805" s="42" t="s">
        <v>1029</v>
      </c>
      <c r="J805" s="42" t="s">
        <v>1030</v>
      </c>
      <c r="K805" s="42" t="s">
        <v>550</v>
      </c>
      <c r="L805" s="42" t="s">
        <v>825</v>
      </c>
      <c r="M805" s="42" t="s">
        <v>895</v>
      </c>
      <c r="N805" s="42" t="s">
        <v>1010</v>
      </c>
      <c r="O805" s="42" t="s">
        <v>899</v>
      </c>
      <c r="P805" s="42" t="s">
        <v>900</v>
      </c>
      <c r="Q805" s="42" t="s">
        <v>1298</v>
      </c>
      <c r="R805" s="42" t="s">
        <v>1299</v>
      </c>
      <c r="S805" s="42" t="s">
        <v>1300</v>
      </c>
      <c r="T805" s="42" t="s">
        <v>1301</v>
      </c>
      <c r="U805" s="42" t="s">
        <v>1302</v>
      </c>
      <c r="V805" s="42" t="s">
        <v>1435</v>
      </c>
      <c r="W805" s="42" t="s">
        <v>1434</v>
      </c>
      <c r="X805" s="42" t="s">
        <v>1433</v>
      </c>
      <c r="Y805" s="42" t="s">
        <v>1432</v>
      </c>
      <c r="Z805" s="16" t="s">
        <v>1431</v>
      </c>
      <c r="AA805" s="16" t="s">
        <v>1430</v>
      </c>
      <c r="AB805" s="16" t="s">
        <v>1429</v>
      </c>
      <c r="AC805" s="16" t="s">
        <v>1428</v>
      </c>
      <c r="AD805" s="16" t="s">
        <v>1427</v>
      </c>
      <c r="BG805" s="5" t="s">
        <v>144</v>
      </c>
      <c r="BJ805" s="5" t="s">
        <v>148</v>
      </c>
    </row>
    <row r="806" spans="4:62">
      <c r="D806" s="8" t="s">
        <v>1439</v>
      </c>
      <c r="E806" s="49"/>
      <c r="F806" s="57" t="s">
        <v>1444</v>
      </c>
      <c r="G806" s="8" t="s">
        <v>1445</v>
      </c>
      <c r="H806" s="8">
        <v>4000</v>
      </c>
      <c r="I806" s="8">
        <v>16</v>
      </c>
      <c r="J806" s="8">
        <v>1.4</v>
      </c>
      <c r="K806" s="8">
        <v>1.9</v>
      </c>
      <c r="L806" s="8" t="s">
        <v>1446</v>
      </c>
      <c r="M806" s="8">
        <f>H806*('Parameter Inputs'!F741+'Parameter Inputs'!F743)</f>
        <v>25565.200000000001</v>
      </c>
      <c r="N806" s="8">
        <f>H806*('Parameter Inputs'!J741+'Parameter Inputs'!J743)</f>
        <v>6062.0400000000009</v>
      </c>
      <c r="O806" s="8">
        <f>H806*('Parameter Inputs'!V741+'Parameter Inputs'!V743)</f>
        <v>184.55600000000001</v>
      </c>
      <c r="P806" s="58">
        <f>H806*('Parameter Inputs'!Q741+'Parameter Inputs'!Q743)</f>
        <v>2694.76</v>
      </c>
      <c r="Q806" s="8">
        <f>H806*('Parameter Inputs'!G741+'Parameter Inputs'!G743)</f>
        <v>2328.1999999999998</v>
      </c>
      <c r="R806" s="8">
        <f>H806*('Parameter Inputs'!H741+'Parameter Inputs'!H743)</f>
        <v>3327.56</v>
      </c>
      <c r="S806" s="8">
        <f>H806*('Parameter Inputs'!I741+'Parameter Inputs'!I743)</f>
        <v>671487.20000000007</v>
      </c>
      <c r="T806" s="8">
        <f>H806*('Parameter Inputs'!M741+'Parameter Inputs'!M743)</f>
        <v>36810.479999999996</v>
      </c>
      <c r="U806" s="8">
        <f>H806*('Parameter Inputs'!N741+'Parameter Inputs'!N743)</f>
        <v>36857.599999999999</v>
      </c>
      <c r="V806" s="8">
        <f>H806*('Parameter Inputs'!E$741+'Parameter Inputs'!E743)</f>
        <v>88.522800000000018</v>
      </c>
      <c r="W806" s="8">
        <f>H806*('Parameter Inputs'!K741+'Parameter Inputs'!K743)</f>
        <v>9.71312</v>
      </c>
      <c r="X806" s="8">
        <f>H806*('Parameter Inputs'!L741+'Parameter Inputs'!L743)</f>
        <v>1.5446399999999998</v>
      </c>
      <c r="Y806" s="8">
        <f>H806*('Parameter Inputs'!O741+'Parameter Inputs'!O743)</f>
        <v>2593.6</v>
      </c>
      <c r="Z806" s="17">
        <f>H806*('Parameter Inputs'!P741+'Parameter Inputs'!P743)</f>
        <v>876.17199999999991</v>
      </c>
      <c r="AA806" s="8">
        <f>H806*('Parameter Inputs'!R741+'Parameter Inputs'!R743)</f>
        <v>6.6454399999999999E-3</v>
      </c>
      <c r="AB806" s="8">
        <f>H806*('Parameter Inputs'!S741+'Parameter Inputs'!S743)</f>
        <v>76.583200000000005</v>
      </c>
      <c r="AC806" s="8">
        <f>H806*('Parameter Inputs'!T741+'Parameter Inputs'!T743)</f>
        <v>58.816000000000003</v>
      </c>
      <c r="AD806" s="8">
        <f>H806*('Parameter Inputs'!U741+'Parameter Inputs'!U743)</f>
        <v>61.7624</v>
      </c>
    </row>
    <row r="807" spans="4:62">
      <c r="E807" s="91"/>
    </row>
    <row r="809" spans="4:62">
      <c r="BC809" s="5" t="s">
        <v>448</v>
      </c>
      <c r="BD809" s="5">
        <f>1/(BD796+BD802)</f>
        <v>2.8432472876917321</v>
      </c>
    </row>
    <row r="810" spans="4:62" ht="21.75" customHeight="1">
      <c r="D810" s="42" t="s">
        <v>1024</v>
      </c>
      <c r="E810" s="42" t="s">
        <v>1025</v>
      </c>
      <c r="F810" s="42" t="s">
        <v>1026</v>
      </c>
      <c r="G810" s="42" t="s">
        <v>820</v>
      </c>
      <c r="H810" s="42" t="s">
        <v>821</v>
      </c>
      <c r="I810" s="42" t="s">
        <v>822</v>
      </c>
      <c r="J810" s="42" t="s">
        <v>823</v>
      </c>
      <c r="K810" s="42" t="s">
        <v>811</v>
      </c>
      <c r="L810" s="42" t="s">
        <v>825</v>
      </c>
      <c r="M810" s="42" t="s">
        <v>895</v>
      </c>
      <c r="N810" s="42" t="s">
        <v>1447</v>
      </c>
      <c r="O810" s="42" t="s">
        <v>899</v>
      </c>
      <c r="P810" s="42" t="s">
        <v>900</v>
      </c>
      <c r="Q810" s="16" t="s">
        <v>1298</v>
      </c>
      <c r="R810" s="77" t="s">
        <v>1299</v>
      </c>
      <c r="S810" s="77" t="s">
        <v>1300</v>
      </c>
      <c r="T810" s="16" t="s">
        <v>1301</v>
      </c>
      <c r="U810" s="77" t="s">
        <v>1302</v>
      </c>
      <c r="V810" s="76" t="s">
        <v>1435</v>
      </c>
      <c r="W810" s="76" t="s">
        <v>1434</v>
      </c>
      <c r="X810" s="76" t="s">
        <v>1433</v>
      </c>
      <c r="Y810" s="76" t="s">
        <v>1432</v>
      </c>
      <c r="Z810" s="76" t="s">
        <v>1431</v>
      </c>
      <c r="AA810" s="76" t="s">
        <v>1430</v>
      </c>
      <c r="AB810" s="76" t="s">
        <v>1429</v>
      </c>
      <c r="AC810" s="76" t="s">
        <v>1428</v>
      </c>
      <c r="AD810" s="76" t="s">
        <v>1427</v>
      </c>
      <c r="AM810" s="8"/>
      <c r="AN810" s="8">
        <v>4000</v>
      </c>
    </row>
    <row r="811" spans="4:62">
      <c r="D811" s="8" t="s">
        <v>827</v>
      </c>
      <c r="E811" s="8">
        <f ca="1">('Parameter Inputs'!N1172)/10</f>
        <v>6617.4962717655699</v>
      </c>
      <c r="F811" s="8" t="s">
        <v>815</v>
      </c>
      <c r="G811" s="8">
        <v>4347.8260869565211</v>
      </c>
      <c r="H811" s="8">
        <v>2</v>
      </c>
      <c r="I811" s="8">
        <f>G811*H811</f>
        <v>8695.6521739130421</v>
      </c>
      <c r="J811" s="8">
        <f>19.6*1000</f>
        <v>19600</v>
      </c>
      <c r="K811" s="8" t="s">
        <v>824</v>
      </c>
      <c r="L811" s="52" t="s">
        <v>826</v>
      </c>
      <c r="M811" s="47">
        <f>J811*('Parameter Inputs'!F741+'Parameter Inputs'!F743)*H811</f>
        <v>250538.96000000002</v>
      </c>
      <c r="N811" s="47">
        <f>J811*('Parameter Inputs'!J741+'Parameter Inputs'!J743)*H811</f>
        <v>59407.992000000006</v>
      </c>
      <c r="O811" s="47">
        <f>J811*('Parameter Inputs'!V741+'Parameter Inputs'!V743)*H811</f>
        <v>1808.6487999999999</v>
      </c>
      <c r="P811" s="47">
        <f>J811*('Parameter Inputs'!Q741+'Parameter Inputs'!Q743)*$H$811</f>
        <v>26408.648000000001</v>
      </c>
      <c r="Q811" s="47">
        <f>J811*('Parameter Inputs'!G741+'Parameter Inputs'!G743)*H811</f>
        <v>22816.359999999997</v>
      </c>
      <c r="R811" s="47">
        <f>J811*('Parameter Inputs'!H741+'Parameter Inputs'!H743)*H811</f>
        <v>32610.088</v>
      </c>
      <c r="S811" s="47">
        <f>J811*('Parameter Inputs'!I741+'Parameter Inputs'!I743)*H811</f>
        <v>6580574.5600000005</v>
      </c>
      <c r="T811" s="47">
        <f>J811*('Parameter Inputs'!M741+'Parameter Inputs'!M743)*H811</f>
        <v>360742.70399999997</v>
      </c>
      <c r="U811" s="47">
        <f>J811*('Parameter Inputs'!N741+'Parameter Inputs'!N743)*H811</f>
        <v>361204.47999999998</v>
      </c>
      <c r="V811" s="47">
        <f>J811*('Parameter Inputs'!E741+'Parameter Inputs'!E743)*H811</f>
        <v>867.52344000000016</v>
      </c>
      <c r="W811" s="47">
        <f>J811*('Parameter Inputs'!K741+'Parameter Inputs'!K743)*H811</f>
        <v>95.188575999999998</v>
      </c>
      <c r="X811" s="47">
        <f>J811*('Parameter Inputs'!L741+'Parameter Inputs'!L743)*H811</f>
        <v>15.137471999999999</v>
      </c>
      <c r="Y811" s="47">
        <f>J811*('Parameter Inputs'!O741+'Parameter Inputs'!O743)*H811</f>
        <v>25417.279999999999</v>
      </c>
      <c r="Z811" s="47">
        <f>J811*('Parameter Inputs'!P741+'Parameter Inputs'!P743)*H811</f>
        <v>8586.4856</v>
      </c>
      <c r="AA811" s="47">
        <f>J811*('Parameter Inputs'!R741+'Parameter Inputs'!R743)*H811</f>
        <v>6.5125312000000005E-2</v>
      </c>
      <c r="AB811" s="47">
        <f>J811*('Parameter Inputs'!S741+'Parameter Inputs'!S743)*H811</f>
        <v>750.51535999999999</v>
      </c>
      <c r="AC811" s="47">
        <f>J811*('Parameter Inputs'!T741+'Parameter Inputs'!T743)*H811</f>
        <v>576.39679999999998</v>
      </c>
      <c r="AD811" s="47">
        <f>J811*('Parameter Inputs'!U741+'Parameter Inputs'!U743)*H811</f>
        <v>605.27152000000001</v>
      </c>
      <c r="AM811" s="8" t="s">
        <v>816</v>
      </c>
      <c r="AN811" s="8">
        <v>2.8</v>
      </c>
    </row>
    <row r="812" spans="4:62" ht="15" thickBot="1">
      <c r="D812" s="53" t="s">
        <v>828</v>
      </c>
      <c r="E812" s="53">
        <f ca="1">('Parameter Inputs'!T1161)/10</f>
        <v>211.31138306713083</v>
      </c>
      <c r="F812" s="53" t="s">
        <v>829</v>
      </c>
      <c r="G812" s="53">
        <v>869.56521739130426</v>
      </c>
      <c r="H812" s="53">
        <v>1</v>
      </c>
      <c r="I812" s="53">
        <f>G812*H812</f>
        <v>869.56521739130426</v>
      </c>
      <c r="J812" s="53">
        <v>9500</v>
      </c>
      <c r="K812" s="53" t="s">
        <v>830</v>
      </c>
      <c r="L812" s="59" t="s">
        <v>826</v>
      </c>
      <c r="M812" s="56">
        <f>J812*('Parameter Inputs'!F741+'Parameter Inputs'!F743)</f>
        <v>60717.35</v>
      </c>
      <c r="N812" s="56">
        <f>J812*('Parameter Inputs'!J741+'Parameter Inputs'!J743)</f>
        <v>14397.345000000001</v>
      </c>
      <c r="O812" s="56">
        <f>J812*('Parameter Inputs'!V741+'Parameter Inputs'!V743)</f>
        <v>438.32049999999998</v>
      </c>
      <c r="P812" s="56">
        <f>J812*('Parameter Inputs'!Q741+'Parameter Inputs'!Q743)</f>
        <v>6400.0550000000003</v>
      </c>
      <c r="Q812" s="56">
        <f>J812*('Parameter Inputs'!G741+'Parameter Inputs'!G743)</f>
        <v>5529.4749999999995</v>
      </c>
      <c r="R812" s="56">
        <f>J812*('Parameter Inputs'!H741+'Parameter Inputs'!H743)</f>
        <v>7902.9549999999999</v>
      </c>
      <c r="S812" s="56">
        <f>J812*('Parameter Inputs'!I741+'Parameter Inputs'!I743)</f>
        <v>1594782.1</v>
      </c>
      <c r="T812" s="56">
        <f>J812*('Parameter Inputs'!M741+'Parameter Inputs'!M743)</f>
        <v>87424.89</v>
      </c>
      <c r="U812" s="56">
        <f>J812*('Parameter Inputs'!N741+'Parameter Inputs'!N743)</f>
        <v>87536.799999999988</v>
      </c>
      <c r="V812" s="56">
        <f>J812*('Parameter Inputs'!E741+'Parameter Inputs'!E743)</f>
        <v>210.24165000000002</v>
      </c>
      <c r="W812" s="56">
        <f>J812*('Parameter Inputs'!K741+'Parameter Inputs'!K743)</f>
        <v>23.068660000000001</v>
      </c>
      <c r="X812" s="56">
        <f>J812*('Parameter Inputs'!L741+'Parameter Inputs'!L743)</f>
        <v>3.6685199999999996</v>
      </c>
      <c r="Y812" s="56">
        <f>J812*('Parameter Inputs'!O741+'Parameter Inputs'!O743)</f>
        <v>6159.8</v>
      </c>
      <c r="Z812" s="56">
        <f>J812*('Parameter Inputs'!P741+'Parameter Inputs'!P743)</f>
        <v>2080.9085</v>
      </c>
      <c r="AA812" s="56">
        <f>J812*('Parameter Inputs'!R741+'Parameter Inputs'!R743)</f>
        <v>1.5782919999999999E-2</v>
      </c>
      <c r="AB812" s="56">
        <f>$J812*('Parameter Inputs'!S$741+'Parameter Inputs'!S$743)</f>
        <v>181.88510000000002</v>
      </c>
      <c r="AC812" s="56">
        <f>J812*('Parameter Inputs'!T741+'Parameter Inputs'!T743)</f>
        <v>139.68799999999999</v>
      </c>
      <c r="AD812" s="56">
        <f>J812*('Parameter Inputs'!U741+'Parameter Inputs'!U743)</f>
        <v>146.6857</v>
      </c>
      <c r="AM812" s="8" t="s">
        <v>817</v>
      </c>
      <c r="AN812" s="8">
        <v>3.22</v>
      </c>
    </row>
    <row r="813" spans="4:62" ht="15" thickTop="1">
      <c r="D813" s="15" t="s">
        <v>986</v>
      </c>
      <c r="E813" s="15"/>
      <c r="F813" s="15"/>
      <c r="G813" s="15"/>
      <c r="H813" s="15"/>
      <c r="I813" s="15"/>
      <c r="J813" s="15"/>
      <c r="K813" s="15"/>
      <c r="L813" s="15"/>
      <c r="M813" s="39">
        <f>SUM(M811:M812)</f>
        <v>311256.31</v>
      </c>
      <c r="N813" s="39">
        <f t="shared" ref="N813:AD813" si="6">SUM(N811:N812)</f>
        <v>73805.337</v>
      </c>
      <c r="O813" s="39">
        <f t="shared" si="6"/>
        <v>2246.9692999999997</v>
      </c>
      <c r="P813" s="39">
        <f t="shared" si="6"/>
        <v>32808.703000000001</v>
      </c>
      <c r="Q813" s="39">
        <f t="shared" si="6"/>
        <v>28345.834999999995</v>
      </c>
      <c r="R813" s="39">
        <f t="shared" si="6"/>
        <v>40513.042999999998</v>
      </c>
      <c r="S813" s="39">
        <f t="shared" si="6"/>
        <v>8175356.6600000001</v>
      </c>
      <c r="T813" s="39">
        <f t="shared" si="6"/>
        <v>448167.59399999998</v>
      </c>
      <c r="U813" s="39">
        <f t="shared" si="6"/>
        <v>448741.27999999997</v>
      </c>
      <c r="V813" s="39">
        <f t="shared" si="6"/>
        <v>1077.7650900000001</v>
      </c>
      <c r="W813" s="39">
        <f t="shared" si="6"/>
        <v>118.25723600000001</v>
      </c>
      <c r="X813" s="39">
        <f t="shared" si="6"/>
        <v>18.805992</v>
      </c>
      <c r="Y813" s="39">
        <f t="shared" si="6"/>
        <v>31577.079999999998</v>
      </c>
      <c r="Z813" s="39">
        <f t="shared" si="6"/>
        <v>10667.3941</v>
      </c>
      <c r="AA813" s="39">
        <f t="shared" si="6"/>
        <v>8.0908231999999997E-2</v>
      </c>
      <c r="AB813" s="39">
        <f t="shared" si="6"/>
        <v>932.40046000000007</v>
      </c>
      <c r="AC813" s="39">
        <f t="shared" si="6"/>
        <v>716.08479999999997</v>
      </c>
      <c r="AD813" s="39">
        <f t="shared" si="6"/>
        <v>751.95722000000001</v>
      </c>
      <c r="AM813" s="8" t="s">
        <v>818</v>
      </c>
      <c r="AN813" s="8">
        <f>AN812/AN811</f>
        <v>1.1500000000000001</v>
      </c>
    </row>
    <row r="814" spans="4:62">
      <c r="AM814" s="8" t="s">
        <v>819</v>
      </c>
      <c r="AN814" s="8">
        <f>AN810/AN813</f>
        <v>3478.260869565217</v>
      </c>
    </row>
    <row r="815" spans="4:62" ht="23.25" customHeight="1">
      <c r="D815" s="42" t="s">
        <v>831</v>
      </c>
      <c r="E815" s="42" t="s">
        <v>832</v>
      </c>
      <c r="F815" s="42" t="s">
        <v>833</v>
      </c>
      <c r="G815" s="42" t="s">
        <v>834</v>
      </c>
      <c r="H815" s="42" t="s">
        <v>837</v>
      </c>
      <c r="I815" s="42" t="s">
        <v>901</v>
      </c>
      <c r="J815" s="42" t="s">
        <v>705</v>
      </c>
      <c r="K815" s="42" t="s">
        <v>895</v>
      </c>
      <c r="L815" s="42" t="s">
        <v>1010</v>
      </c>
      <c r="M815" s="42" t="s">
        <v>899</v>
      </c>
      <c r="N815" s="42" t="s">
        <v>900</v>
      </c>
      <c r="O815" s="16" t="s">
        <v>1298</v>
      </c>
      <c r="P815" s="77" t="s">
        <v>1299</v>
      </c>
      <c r="Q815" s="77" t="s">
        <v>1300</v>
      </c>
      <c r="R815" s="16" t="s">
        <v>1301</v>
      </c>
      <c r="S815" s="77" t="s">
        <v>1302</v>
      </c>
      <c r="T815" s="76" t="s">
        <v>1435</v>
      </c>
      <c r="U815" s="76" t="s">
        <v>1434</v>
      </c>
      <c r="V815" s="76" t="s">
        <v>1433</v>
      </c>
      <c r="W815" s="76" t="s">
        <v>1432</v>
      </c>
      <c r="X815" s="76" t="s">
        <v>1431</v>
      </c>
      <c r="Y815" s="76" t="s">
        <v>1430</v>
      </c>
      <c r="Z815" s="76" t="s">
        <v>1429</v>
      </c>
      <c r="AA815" s="76" t="s">
        <v>1428</v>
      </c>
      <c r="AB815" s="76" t="s">
        <v>1427</v>
      </c>
    </row>
    <row r="816" spans="4:62">
      <c r="D816" s="8" t="s">
        <v>915</v>
      </c>
      <c r="E816" s="49">
        <f ca="1">E797</f>
        <v>56.699593765212192</v>
      </c>
      <c r="F816" s="8">
        <f t="shared" ref="F816:F826" ca="1" si="7">(E816*1000)/60</f>
        <v>944.99322942020319</v>
      </c>
      <c r="G816" s="8" t="s">
        <v>836</v>
      </c>
      <c r="H816" s="8">
        <v>2200</v>
      </c>
      <c r="I816" s="8">
        <v>21</v>
      </c>
      <c r="J816" s="60" t="s">
        <v>1034</v>
      </c>
      <c r="K816" s="47">
        <f>$I816*('Parameter Inputs'!F$741+'Parameter Inputs'!F$743)</f>
        <v>134.21729999999999</v>
      </c>
      <c r="L816" s="47">
        <f>$I816*('Parameter Inputs'!J$741+'Parameter Inputs'!J$743)</f>
        <v>31.825710000000004</v>
      </c>
      <c r="M816" s="47">
        <f>$I816*('Parameter Inputs'!V$741+'Parameter Inputs'!V$743)</f>
        <v>0.96891899999999997</v>
      </c>
      <c r="N816" s="47">
        <f>$I816*('Parameter Inputs'!Q$741+'Parameter Inputs'!Q$743)</f>
        <v>14.147489999999999</v>
      </c>
      <c r="O816" s="47">
        <f>$I816*('Parameter Inputs'!G$741+'Parameter Inputs'!G$743)</f>
        <v>12.223049999999999</v>
      </c>
      <c r="P816" s="47">
        <f>$I816*('Parameter Inputs'!H$741+'Parameter Inputs'!H$743)</f>
        <v>17.46969</v>
      </c>
      <c r="Q816" s="47">
        <f>$I816*('Parameter Inputs'!I$741+'Parameter Inputs'!I$743)</f>
        <v>3525.3078</v>
      </c>
      <c r="R816" s="47">
        <f>$I816*('Parameter Inputs'!M$741+'Parameter Inputs'!M$743)</f>
        <v>193.25502</v>
      </c>
      <c r="S816" s="47">
        <f>$I816*('Parameter Inputs'!N$741+'Parameter Inputs'!N$743)</f>
        <v>193.50239999999999</v>
      </c>
      <c r="T816" s="47">
        <f>I816*('Parameter Inputs'!E741+'Parameter Inputs'!E743)</f>
        <v>0.46474470000000007</v>
      </c>
      <c r="U816" s="47">
        <f>$I816*('Parameter Inputs'!K$741+'Parameter Inputs'!K$743)</f>
        <v>5.0993880000000005E-2</v>
      </c>
      <c r="V816" s="47">
        <f>$I816*('Parameter Inputs'!L$741+'Parameter Inputs'!L$743)</f>
        <v>8.1093599999999995E-3</v>
      </c>
      <c r="W816" s="47">
        <f>$I816*('Parameter Inputs'!O$741+'Parameter Inputs'!O$743)</f>
        <v>13.616399999999999</v>
      </c>
      <c r="X816" s="47">
        <f>I816*('Parameter Inputs'!P741+'Parameter Inputs'!P743)</f>
        <v>4.5999029999999994</v>
      </c>
      <c r="Y816" s="47">
        <f>I816*('Parameter Inputs'!R741+'Parameter Inputs'!R743)</f>
        <v>3.4888560000000001E-5</v>
      </c>
      <c r="Z816" s="47">
        <f>I816*('Parameter Inputs'!S741+'Parameter Inputs'!S743)</f>
        <v>0.40206180000000002</v>
      </c>
      <c r="AA816" s="47">
        <f>I816*('Parameter Inputs'!T741+'Parameter Inputs'!T743)</f>
        <v>0.308784</v>
      </c>
      <c r="AB816" s="47">
        <f>I816*('Parameter Inputs'!U741+'Parameter Inputs'!U743)</f>
        <v>0.3242526</v>
      </c>
    </row>
    <row r="817" spans="4:36">
      <c r="D817" s="8" t="s">
        <v>916</v>
      </c>
      <c r="E817" s="49">
        <f ca="1">E797</f>
        <v>56.699593765212192</v>
      </c>
      <c r="F817" s="8">
        <f t="shared" ca="1" si="7"/>
        <v>944.99322942020319</v>
      </c>
      <c r="G817" s="8" t="s">
        <v>836</v>
      </c>
      <c r="H817" s="8">
        <v>2200</v>
      </c>
      <c r="I817" s="8">
        <v>21</v>
      </c>
      <c r="J817" s="60" t="s">
        <v>1034</v>
      </c>
      <c r="K817" s="47">
        <f>$I817*('Parameter Inputs'!F$741+'Parameter Inputs'!F$743)</f>
        <v>134.21729999999999</v>
      </c>
      <c r="L817" s="47">
        <f>$I817*('Parameter Inputs'!J$741+'Parameter Inputs'!J$743)</f>
        <v>31.825710000000004</v>
      </c>
      <c r="M817" s="47">
        <f>$I817*('Parameter Inputs'!V$741+'Parameter Inputs'!V$743)</f>
        <v>0.96891899999999997</v>
      </c>
      <c r="N817" s="47">
        <f>$I817*('Parameter Inputs'!Q$741+'Parameter Inputs'!Q$743)</f>
        <v>14.147489999999999</v>
      </c>
      <c r="O817" s="47">
        <f>$I817*('Parameter Inputs'!G$741+'Parameter Inputs'!G$743)</f>
        <v>12.223049999999999</v>
      </c>
      <c r="P817" s="47">
        <f>$I817*('Parameter Inputs'!H$741+'Parameter Inputs'!H$743)</f>
        <v>17.46969</v>
      </c>
      <c r="Q817" s="47">
        <f>$I817*('Parameter Inputs'!I$741+'Parameter Inputs'!I$743)</f>
        <v>3525.3078</v>
      </c>
      <c r="R817" s="47">
        <f>$I817*('Parameter Inputs'!M$741+'Parameter Inputs'!M$743)</f>
        <v>193.25502</v>
      </c>
      <c r="S817" s="47">
        <f>$I817*('Parameter Inputs'!N$741+'Parameter Inputs'!N$743)</f>
        <v>193.50239999999999</v>
      </c>
      <c r="T817" s="47">
        <f>$I817*('Parameter Inputs'!E$741+'Parameter Inputs'!E$743)</f>
        <v>0.46474470000000007</v>
      </c>
      <c r="U817" s="47">
        <f>$I817*('Parameter Inputs'!K$741+'Parameter Inputs'!K$743)</f>
        <v>5.0993880000000005E-2</v>
      </c>
      <c r="V817" s="47">
        <f>$I817*('Parameter Inputs'!L$741+'Parameter Inputs'!L$743)</f>
        <v>8.1093599999999995E-3</v>
      </c>
      <c r="W817" s="47">
        <f>$I817*('Parameter Inputs'!O$741+'Parameter Inputs'!O$743)</f>
        <v>13.616399999999999</v>
      </c>
      <c r="X817" s="47">
        <f>I817*('Parameter Inputs'!P741+'Parameter Inputs'!P743)</f>
        <v>4.5999029999999994</v>
      </c>
      <c r="Y817" s="47">
        <f>I817*('Parameter Inputs'!R741+'Parameter Inputs'!R743)</f>
        <v>3.4888560000000001E-5</v>
      </c>
      <c r="Z817" s="47">
        <f>I817*('Parameter Inputs'!S741+'Parameter Inputs'!S743)</f>
        <v>0.40206180000000002</v>
      </c>
      <c r="AA817" s="47">
        <f>I817*('Parameter Inputs'!T741+'Parameter Inputs'!T743)</f>
        <v>0.308784</v>
      </c>
      <c r="AB817" s="47">
        <f>I817*('Parameter Inputs'!U741+'Parameter Inputs'!U743)</f>
        <v>0.3242526</v>
      </c>
    </row>
    <row r="818" spans="4:36">
      <c r="D818" s="8" t="s">
        <v>917</v>
      </c>
      <c r="E818" s="49">
        <f ca="1">('Parameter Inputs'!E1108/2)/'Parameter Inputs'!F492</f>
        <v>178.5637976453867</v>
      </c>
      <c r="F818" s="8">
        <f t="shared" ca="1" si="7"/>
        <v>2976.0632940897781</v>
      </c>
      <c r="G818" s="8" t="s">
        <v>973</v>
      </c>
      <c r="H818" s="8">
        <v>9333</v>
      </c>
      <c r="I818" s="8">
        <v>37.200000000000003</v>
      </c>
      <c r="J818" s="61" t="s">
        <v>971</v>
      </c>
      <c r="K818" s="47">
        <f>$I818*('Parameter Inputs'!F$741+'Parameter Inputs'!F$743)</f>
        <v>237.75636000000003</v>
      </c>
      <c r="L818" s="47">
        <f>$I818*('Parameter Inputs'!J$741+'Parameter Inputs'!J$743)</f>
        <v>56.376972000000009</v>
      </c>
      <c r="M818" s="47">
        <f>$I818*('Parameter Inputs'!V$741+'Parameter Inputs'!V$743)</f>
        <v>1.7163708000000002</v>
      </c>
      <c r="N818" s="47">
        <f>$I818*('Parameter Inputs'!Q$741+'Parameter Inputs'!Q$743)</f>
        <v>25.061268000000002</v>
      </c>
      <c r="O818" s="47">
        <f>$I818*('Parameter Inputs'!G$741+'Parameter Inputs'!G$743)</f>
        <v>21.652259999999998</v>
      </c>
      <c r="P818" s="47">
        <f>$I818*('Parameter Inputs'!H$741+'Parameter Inputs'!H$743)</f>
        <v>30.946308000000002</v>
      </c>
      <c r="Q818" s="47">
        <f>$I818*('Parameter Inputs'!I$741+'Parameter Inputs'!I$743)</f>
        <v>6244.8309600000011</v>
      </c>
      <c r="R818" s="47">
        <f>$I818*('Parameter Inputs'!M$741+'Parameter Inputs'!M$743)</f>
        <v>342.33746400000001</v>
      </c>
      <c r="S818" s="47">
        <f>$I818*('Parameter Inputs'!N$741+'Parameter Inputs'!N$743)</f>
        <v>342.77568000000002</v>
      </c>
      <c r="T818" s="47">
        <f>$I818*('Parameter Inputs'!E$741+'Parameter Inputs'!E$743)</f>
        <v>0.82326204000000014</v>
      </c>
      <c r="U818" s="47">
        <f>$I818*('Parameter Inputs'!K$741+'Parameter Inputs'!K$743)</f>
        <v>9.0332016000000015E-2</v>
      </c>
      <c r="V818" s="47">
        <f>$I818*('Parameter Inputs'!L$741+'Parameter Inputs'!L$743)</f>
        <v>1.4365152000000001E-2</v>
      </c>
      <c r="W818" s="47">
        <f>$I818*('Parameter Inputs'!O$741+'Parameter Inputs'!O$743)</f>
        <v>24.120480000000001</v>
      </c>
      <c r="X818" s="47">
        <f>I818*('Parameter Inputs'!P741+'Parameter Inputs'!P743)</f>
        <v>8.1483995999999994</v>
      </c>
      <c r="Y818" s="47">
        <f>I818*('Parameter Inputs'!R741+'Parameter Inputs'!R743)</f>
        <v>6.1802592000000008E-5</v>
      </c>
      <c r="Z818" s="47">
        <f>I818*('Parameter Inputs'!S741+'Parameter Inputs'!S743)</f>
        <v>0.71222376000000009</v>
      </c>
      <c r="AA818" s="47">
        <f>I818*('Parameter Inputs'!T741+'Parameter Inputs'!T743)</f>
        <v>0.54698880000000005</v>
      </c>
      <c r="AB818" s="47">
        <f>I818*('Parameter Inputs'!U741+'Parameter Inputs'!U743)</f>
        <v>0.57439032000000001</v>
      </c>
    </row>
    <row r="819" spans="4:36">
      <c r="D819" s="8" t="s">
        <v>904</v>
      </c>
      <c r="E819" s="49">
        <f ca="1">('Parameter Inputs'!H1117/2)/'Parameter Inputs'!F492</f>
        <v>152.35228621072702</v>
      </c>
      <c r="F819" s="8">
        <f t="shared" ca="1" si="7"/>
        <v>2539.2047701787833</v>
      </c>
      <c r="G819" s="8" t="s">
        <v>973</v>
      </c>
      <c r="H819" s="8">
        <v>9333</v>
      </c>
      <c r="I819" s="8">
        <v>37.200000000000003</v>
      </c>
      <c r="J819" s="8" t="s">
        <v>908</v>
      </c>
      <c r="K819" s="47">
        <f>$I819*('Parameter Inputs'!F$741+'Parameter Inputs'!F$743)</f>
        <v>237.75636000000003</v>
      </c>
      <c r="L819" s="47">
        <f>$I819*('Parameter Inputs'!J$741+'Parameter Inputs'!J$743)</f>
        <v>56.376972000000009</v>
      </c>
      <c r="M819" s="47">
        <f>$I819*('Parameter Inputs'!V$741+'Parameter Inputs'!V$743)</f>
        <v>1.7163708000000002</v>
      </c>
      <c r="N819" s="47">
        <f>$I819*('Parameter Inputs'!Q$741+'Parameter Inputs'!Q$743)</f>
        <v>25.061268000000002</v>
      </c>
      <c r="O819" s="47">
        <f>$I819*('Parameter Inputs'!G$741+'Parameter Inputs'!G$743)</f>
        <v>21.652259999999998</v>
      </c>
      <c r="P819" s="47">
        <f>$I819*('Parameter Inputs'!H$741+'Parameter Inputs'!H$743)</f>
        <v>30.946308000000002</v>
      </c>
      <c r="Q819" s="47">
        <f>$I819*('Parameter Inputs'!I$741+'Parameter Inputs'!I$743)</f>
        <v>6244.8309600000011</v>
      </c>
      <c r="R819" s="47">
        <f>$I819*('Parameter Inputs'!M$741+'Parameter Inputs'!M$743)</f>
        <v>342.33746400000001</v>
      </c>
      <c r="S819" s="47">
        <f>$I819*('Parameter Inputs'!N$741+'Parameter Inputs'!N$743)</f>
        <v>342.77568000000002</v>
      </c>
      <c r="T819" s="47">
        <f>$I819*('Parameter Inputs'!E$741+'Parameter Inputs'!E$743)</f>
        <v>0.82326204000000014</v>
      </c>
      <c r="U819" s="47">
        <f>$I819*('Parameter Inputs'!K$741+'Parameter Inputs'!K$743)</f>
        <v>9.0332016000000015E-2</v>
      </c>
      <c r="V819" s="47">
        <f>$I819*('Parameter Inputs'!L$741+'Parameter Inputs'!L$743)</f>
        <v>1.4365152000000001E-2</v>
      </c>
      <c r="W819" s="47">
        <f>$I819*('Parameter Inputs'!O$741+'Parameter Inputs'!O$743)</f>
        <v>24.120480000000001</v>
      </c>
      <c r="X819" s="47">
        <f>I819*('Parameter Inputs'!P741+'Parameter Inputs'!P743)</f>
        <v>8.1483995999999994</v>
      </c>
      <c r="Y819" s="47">
        <f>I819*('Parameter Inputs'!R741+'Parameter Inputs'!R743)</f>
        <v>6.1802592000000008E-5</v>
      </c>
      <c r="Z819" s="47">
        <f>I819*('Parameter Inputs'!S741+'Parameter Inputs'!S743)</f>
        <v>0.71222376000000009</v>
      </c>
      <c r="AA819" s="47">
        <f>I819*('Parameter Inputs'!T741+'Parameter Inputs'!T743)</f>
        <v>0.54698880000000005</v>
      </c>
      <c r="AB819" s="47">
        <f>I819*('Parameter Inputs'!U741+'Parameter Inputs'!U743)</f>
        <v>0.57439032000000001</v>
      </c>
    </row>
    <row r="820" spans="4:36">
      <c r="D820" s="8" t="s">
        <v>918</v>
      </c>
      <c r="E820" s="49">
        <f ca="1">('Parameter Inputs'!K1114/2)/0.5</f>
        <v>30.530046935683806</v>
      </c>
      <c r="F820" s="8">
        <f t="shared" ca="1" si="7"/>
        <v>508.83411559473012</v>
      </c>
      <c r="G820" s="8" t="s">
        <v>907</v>
      </c>
      <c r="H820" s="8">
        <v>600</v>
      </c>
      <c r="I820" s="8">
        <v>8</v>
      </c>
      <c r="J820" s="60" t="s">
        <v>1028</v>
      </c>
      <c r="K820" s="47">
        <f>$I820*('Parameter Inputs'!F$741+'Parameter Inputs'!F$743)</f>
        <v>51.130400000000002</v>
      </c>
      <c r="L820" s="47">
        <f>$I820*('Parameter Inputs'!J$741+'Parameter Inputs'!J$743)</f>
        <v>12.124080000000001</v>
      </c>
      <c r="M820" s="47">
        <f>$I820*('Parameter Inputs'!V$741+'Parameter Inputs'!V$743)</f>
        <v>0.369112</v>
      </c>
      <c r="N820" s="47">
        <f>$I820*('Parameter Inputs'!Q$741+'Parameter Inputs'!Q$743)</f>
        <v>5.3895200000000001</v>
      </c>
      <c r="O820" s="47">
        <f>$I820*('Parameter Inputs'!G$741+'Parameter Inputs'!G$743)</f>
        <v>4.6563999999999997</v>
      </c>
      <c r="P820" s="47">
        <f>$I820*('Parameter Inputs'!H$741+'Parameter Inputs'!H$743)</f>
        <v>6.6551200000000001</v>
      </c>
      <c r="Q820" s="47">
        <f>$I820*('Parameter Inputs'!I$741+'Parameter Inputs'!I$743)</f>
        <v>1342.9744000000001</v>
      </c>
      <c r="R820" s="47">
        <f>$I820*('Parameter Inputs'!M$741+'Parameter Inputs'!M$743)</f>
        <v>73.620959999999997</v>
      </c>
      <c r="S820" s="47">
        <f>$I820*('Parameter Inputs'!N$741+'Parameter Inputs'!N$743)</f>
        <v>73.715199999999996</v>
      </c>
      <c r="T820" s="47">
        <f>$I820*('Parameter Inputs'!E$741+'Parameter Inputs'!E$743)</f>
        <v>0.17704560000000003</v>
      </c>
      <c r="U820" s="47">
        <f>$I820*('Parameter Inputs'!K$741+'Parameter Inputs'!K$743)</f>
        <v>1.9426240000000001E-2</v>
      </c>
      <c r="V820" s="47">
        <f>$I820*('Parameter Inputs'!L$741+'Parameter Inputs'!L$743)</f>
        <v>3.0892799999999998E-3</v>
      </c>
      <c r="W820" s="47">
        <f>$I820*('Parameter Inputs'!O$741+'Parameter Inputs'!O$743)</f>
        <v>5.1871999999999998</v>
      </c>
      <c r="X820" s="47">
        <f>I820*('Parameter Inputs'!P741+'Parameter Inputs'!P743)</f>
        <v>1.7523439999999999</v>
      </c>
      <c r="Y820" s="47">
        <f>I820*('Parameter Inputs'!R741+'Parameter Inputs'!R743)</f>
        <v>1.329088E-5</v>
      </c>
      <c r="Z820" s="47">
        <f>I820*('Parameter Inputs'!S741+'Parameter Inputs'!S743)</f>
        <v>0.15316640000000001</v>
      </c>
      <c r="AA820" s="47">
        <f>I820*('Parameter Inputs'!T741+'Parameter Inputs'!T743)</f>
        <v>0.117632</v>
      </c>
      <c r="AB820" s="47">
        <f>I820*('Parameter Inputs'!U741+'Parameter Inputs'!U743)</f>
        <v>0.1235248</v>
      </c>
    </row>
    <row r="821" spans="4:36">
      <c r="D821" s="8" t="s">
        <v>919</v>
      </c>
      <c r="E821" s="49">
        <f ca="1">'Parameter Inputs'!K1123/3</f>
        <v>54.462857858657394</v>
      </c>
      <c r="F821" s="8">
        <f t="shared" ca="1" si="7"/>
        <v>907.7142976442899</v>
      </c>
      <c r="G821" s="8" t="s">
        <v>836</v>
      </c>
      <c r="H821" s="8">
        <v>2200</v>
      </c>
      <c r="I821" s="8">
        <v>21</v>
      </c>
      <c r="J821" s="60" t="s">
        <v>1034</v>
      </c>
      <c r="K821" s="47">
        <f>$I821*('Parameter Inputs'!F$741+'Parameter Inputs'!F$743)</f>
        <v>134.21729999999999</v>
      </c>
      <c r="L821" s="47">
        <f>$I821*('Parameter Inputs'!J$741+'Parameter Inputs'!J$743)</f>
        <v>31.825710000000004</v>
      </c>
      <c r="M821" s="47">
        <f>$I821*('Parameter Inputs'!V$741+'Parameter Inputs'!V$743)</f>
        <v>0.96891899999999997</v>
      </c>
      <c r="N821" s="47">
        <f>$I821*('Parameter Inputs'!Q$741+'Parameter Inputs'!Q$743)</f>
        <v>14.147489999999999</v>
      </c>
      <c r="O821" s="47">
        <f>$I821*('Parameter Inputs'!G$741+'Parameter Inputs'!G$743)</f>
        <v>12.223049999999999</v>
      </c>
      <c r="P821" s="47">
        <f>$I821*('Parameter Inputs'!H$741+'Parameter Inputs'!H$743)</f>
        <v>17.46969</v>
      </c>
      <c r="Q821" s="47">
        <f>$I821*('Parameter Inputs'!I$741+'Parameter Inputs'!I$743)</f>
        <v>3525.3078</v>
      </c>
      <c r="R821" s="47">
        <f>$I821*('Parameter Inputs'!M$741+'Parameter Inputs'!M$743)</f>
        <v>193.25502</v>
      </c>
      <c r="S821" s="47">
        <f>$I821*('Parameter Inputs'!N$741+'Parameter Inputs'!N$743)</f>
        <v>193.50239999999999</v>
      </c>
      <c r="T821" s="47">
        <f>$I821*('Parameter Inputs'!E$741+'Parameter Inputs'!E$743)</f>
        <v>0.46474470000000007</v>
      </c>
      <c r="U821" s="47">
        <f>$I821*('Parameter Inputs'!K$741+'Parameter Inputs'!K$743)</f>
        <v>5.0993880000000005E-2</v>
      </c>
      <c r="V821" s="47">
        <f>$I821*('Parameter Inputs'!L$741+'Parameter Inputs'!L$743)</f>
        <v>8.1093599999999995E-3</v>
      </c>
      <c r="W821" s="47">
        <f>$I821*('Parameter Inputs'!O$741+'Parameter Inputs'!O$743)</f>
        <v>13.616399999999999</v>
      </c>
      <c r="X821" s="47">
        <f>I821*('Parameter Inputs'!P741+'Parameter Inputs'!P743)</f>
        <v>4.5999029999999994</v>
      </c>
      <c r="Y821" s="47">
        <f>I821*('Parameter Inputs'!R741+'Parameter Inputs'!R743)</f>
        <v>3.4888560000000001E-5</v>
      </c>
      <c r="Z821" s="47">
        <f>I821*('Parameter Inputs'!S741+'Parameter Inputs'!S743)</f>
        <v>0.40206180000000002</v>
      </c>
      <c r="AA821" s="47">
        <f>I821*('Parameter Inputs'!T741+'Parameter Inputs'!T743)</f>
        <v>0.308784</v>
      </c>
      <c r="AB821" s="47">
        <f>I821*('Parameter Inputs'!U741+'Parameter Inputs'!U743)</f>
        <v>0.3242526</v>
      </c>
    </row>
    <row r="822" spans="4:36">
      <c r="D822" s="8" t="s">
        <v>920</v>
      </c>
      <c r="E822" s="49">
        <f ca="1">E798</f>
        <v>42.315236388828986</v>
      </c>
      <c r="F822" s="8">
        <f t="shared" ca="1" si="7"/>
        <v>705.25393981381637</v>
      </c>
      <c r="G822" s="8" t="s">
        <v>836</v>
      </c>
      <c r="H822" s="8">
        <v>2200</v>
      </c>
      <c r="I822" s="8">
        <v>21</v>
      </c>
      <c r="J822" s="60" t="s">
        <v>1034</v>
      </c>
      <c r="K822" s="47">
        <f>$I822*('Parameter Inputs'!F$741+'Parameter Inputs'!F$743)</f>
        <v>134.21729999999999</v>
      </c>
      <c r="L822" s="47">
        <f>$I822*('Parameter Inputs'!J$741+'Parameter Inputs'!J$743)</f>
        <v>31.825710000000004</v>
      </c>
      <c r="M822" s="47">
        <f>$I822*('Parameter Inputs'!V$741+'Parameter Inputs'!V$743)</f>
        <v>0.96891899999999997</v>
      </c>
      <c r="N822" s="47">
        <f>$I822*('Parameter Inputs'!Q$741+'Parameter Inputs'!Q$743)</f>
        <v>14.147489999999999</v>
      </c>
      <c r="O822" s="47">
        <f>$I822*('Parameter Inputs'!G$741+'Parameter Inputs'!G$743)</f>
        <v>12.223049999999999</v>
      </c>
      <c r="P822" s="47">
        <f>$I822*('Parameter Inputs'!H$741+'Parameter Inputs'!H$743)</f>
        <v>17.46969</v>
      </c>
      <c r="Q822" s="47">
        <f>$I822*('Parameter Inputs'!I$741+'Parameter Inputs'!I$743)</f>
        <v>3525.3078</v>
      </c>
      <c r="R822" s="47">
        <f>$I822*('Parameter Inputs'!M$741+'Parameter Inputs'!M$743)</f>
        <v>193.25502</v>
      </c>
      <c r="S822" s="47">
        <f>$I822*('Parameter Inputs'!N$741+'Parameter Inputs'!N$743)</f>
        <v>193.50239999999999</v>
      </c>
      <c r="T822" s="47">
        <f>$I822*('Parameter Inputs'!E$741+'Parameter Inputs'!E$743)</f>
        <v>0.46474470000000007</v>
      </c>
      <c r="U822" s="47">
        <f>$I822*('Parameter Inputs'!K$741+'Parameter Inputs'!K$743)</f>
        <v>5.0993880000000005E-2</v>
      </c>
      <c r="V822" s="47">
        <f>$I822*('Parameter Inputs'!L$741+'Parameter Inputs'!L$743)</f>
        <v>8.1093599999999995E-3</v>
      </c>
      <c r="W822" s="47">
        <f>$I822*('Parameter Inputs'!O$741+'Parameter Inputs'!O$743)</f>
        <v>13.616399999999999</v>
      </c>
      <c r="X822" s="47">
        <f>I822*('Parameter Inputs'!P741+'Parameter Inputs'!P743)</f>
        <v>4.5999029999999994</v>
      </c>
      <c r="Y822" s="47">
        <f>I822*('Parameter Inputs'!R741+'Parameter Inputs'!R743)</f>
        <v>3.4888560000000001E-5</v>
      </c>
      <c r="Z822" s="47">
        <f>I822*('Parameter Inputs'!S741+'Parameter Inputs'!S743)</f>
        <v>0.40206180000000002</v>
      </c>
      <c r="AA822" s="47">
        <f>I822*('Parameter Inputs'!T741+'Parameter Inputs'!T743)</f>
        <v>0.308784</v>
      </c>
      <c r="AB822" s="47">
        <f>I822*('Parameter Inputs'!U741+'Parameter Inputs'!U743)</f>
        <v>0.3242526</v>
      </c>
    </row>
    <row r="823" spans="4:36">
      <c r="D823" s="8" t="s">
        <v>956</v>
      </c>
      <c r="E823" s="49">
        <f ca="1">E798</f>
        <v>42.315236388828986</v>
      </c>
      <c r="F823" s="8">
        <f t="shared" ca="1" si="7"/>
        <v>705.25393981381637</v>
      </c>
      <c r="G823" s="8" t="s">
        <v>836</v>
      </c>
      <c r="H823" s="8">
        <v>1200</v>
      </c>
      <c r="I823" s="8">
        <v>37.200000000000003</v>
      </c>
      <c r="J823" s="52" t="s">
        <v>835</v>
      </c>
      <c r="K823" s="47">
        <f>$I823*('Parameter Inputs'!F$741+'Parameter Inputs'!F$743)</f>
        <v>237.75636000000003</v>
      </c>
      <c r="L823" s="47">
        <f>$I823*('Parameter Inputs'!J$741+'Parameter Inputs'!J$743)</f>
        <v>56.376972000000009</v>
      </c>
      <c r="M823" s="47">
        <f>$I823*('Parameter Inputs'!V$741+'Parameter Inputs'!V$743)</f>
        <v>1.7163708000000002</v>
      </c>
      <c r="N823" s="47">
        <f>$I823*('Parameter Inputs'!Q$741+'Parameter Inputs'!Q$743)</f>
        <v>25.061268000000002</v>
      </c>
      <c r="O823" s="47">
        <f>$I823*('Parameter Inputs'!G$741+'Parameter Inputs'!G$743)</f>
        <v>21.652259999999998</v>
      </c>
      <c r="P823" s="47">
        <f>$I823*('Parameter Inputs'!H$741+'Parameter Inputs'!H$743)</f>
        <v>30.946308000000002</v>
      </c>
      <c r="Q823" s="47">
        <f>$I823*('Parameter Inputs'!I$741+'Parameter Inputs'!I$743)</f>
        <v>6244.8309600000011</v>
      </c>
      <c r="R823" s="47">
        <f>$I823*('Parameter Inputs'!M$741+'Parameter Inputs'!M$743)</f>
        <v>342.33746400000001</v>
      </c>
      <c r="S823" s="47">
        <f>$I823*('Parameter Inputs'!N$741+'Parameter Inputs'!N$743)</f>
        <v>342.77568000000002</v>
      </c>
      <c r="T823" s="47">
        <f>$I823*('Parameter Inputs'!E$741+'Parameter Inputs'!E$743)</f>
        <v>0.82326204000000014</v>
      </c>
      <c r="U823" s="47">
        <f>$I823*('Parameter Inputs'!K$741+'Parameter Inputs'!K$743)</f>
        <v>9.0332016000000015E-2</v>
      </c>
      <c r="V823" s="47">
        <f>$I823*('Parameter Inputs'!L$741+'Parameter Inputs'!L$743)</f>
        <v>1.4365152000000001E-2</v>
      </c>
      <c r="W823" s="47">
        <f>$I823*('Parameter Inputs'!O$741+'Parameter Inputs'!O$743)</f>
        <v>24.120480000000001</v>
      </c>
      <c r="X823" s="47">
        <f>I823*('Parameter Inputs'!P741+'Parameter Inputs'!P743)</f>
        <v>8.1483995999999994</v>
      </c>
      <c r="Y823" s="47">
        <f>I823*('Parameter Inputs'!R741+'Parameter Inputs'!R743)</f>
        <v>6.1802592000000008E-5</v>
      </c>
      <c r="Z823" s="47">
        <f>I823*('Parameter Inputs'!S741+'Parameter Inputs'!S743)</f>
        <v>0.71222376000000009</v>
      </c>
      <c r="AA823" s="47">
        <f>I823*('Parameter Inputs'!T741+'Parameter Inputs'!T743)</f>
        <v>0.54698880000000005</v>
      </c>
      <c r="AB823" s="47">
        <f>I823*('Parameter Inputs'!U741+'Parameter Inputs'!U743)</f>
        <v>0.57439032000000001</v>
      </c>
    </row>
    <row r="824" spans="4:36">
      <c r="D824" s="8" t="s">
        <v>930</v>
      </c>
      <c r="E824" s="49">
        <f ca="1">E799</f>
        <v>6.7172542140991549</v>
      </c>
      <c r="F824" s="8">
        <f t="shared" ca="1" si="7"/>
        <v>111.95423690165258</v>
      </c>
      <c r="G824" s="8" t="s">
        <v>959</v>
      </c>
      <c r="H824" s="8">
        <v>280</v>
      </c>
      <c r="I824" s="8">
        <v>30</v>
      </c>
      <c r="J824" s="61" t="s">
        <v>960</v>
      </c>
      <c r="K824" s="47">
        <f>$I824*('Parameter Inputs'!F$741+'Parameter Inputs'!F$743)</f>
        <v>191.739</v>
      </c>
      <c r="L824" s="47">
        <f>$I824*('Parameter Inputs'!J$741+'Parameter Inputs'!J$743)</f>
        <v>45.465300000000006</v>
      </c>
      <c r="M824" s="47">
        <f>$I824*('Parameter Inputs'!V$741+'Parameter Inputs'!V$743)</f>
        <v>1.3841699999999999</v>
      </c>
      <c r="N824" s="47">
        <f>$I824*('Parameter Inputs'!Q$741+'Parameter Inputs'!Q$743)</f>
        <v>20.210699999999999</v>
      </c>
      <c r="O824" s="47">
        <f>$I824*('Parameter Inputs'!G$741+'Parameter Inputs'!G$743)</f>
        <v>17.461499999999997</v>
      </c>
      <c r="P824" s="47">
        <f>$I824*('Parameter Inputs'!H$741+'Parameter Inputs'!H$743)</f>
        <v>24.956700000000001</v>
      </c>
      <c r="Q824" s="47">
        <f>$I824*('Parameter Inputs'!I$741+'Parameter Inputs'!I$743)</f>
        <v>5036.1540000000005</v>
      </c>
      <c r="R824" s="47">
        <f>$I824*('Parameter Inputs'!M$741+'Parameter Inputs'!M$743)</f>
        <v>276.07859999999999</v>
      </c>
      <c r="S824" s="47">
        <f>$I824*('Parameter Inputs'!N$741+'Parameter Inputs'!N$743)</f>
        <v>276.43199999999996</v>
      </c>
      <c r="T824" s="47">
        <f>$I824*('Parameter Inputs'!E$741+'Parameter Inputs'!E$743)</f>
        <v>0.66392100000000009</v>
      </c>
      <c r="U824" s="47">
        <f>$I824*('Parameter Inputs'!K$741+'Parameter Inputs'!K$743)</f>
        <v>7.2848400000000008E-2</v>
      </c>
      <c r="V824" s="47">
        <f>$I824*('Parameter Inputs'!L$741+'Parameter Inputs'!L$743)</f>
        <v>1.1584799999999999E-2</v>
      </c>
      <c r="W824" s="47">
        <f>$I824*('Parameter Inputs'!O$741+'Parameter Inputs'!O$743)</f>
        <v>19.451999999999998</v>
      </c>
      <c r="X824" s="47">
        <f>I824*('Parameter Inputs'!P741+'Parameter Inputs'!P743)</f>
        <v>6.5712899999999994</v>
      </c>
      <c r="Y824" s="47">
        <f>I824*('Parameter Inputs'!R741+'Parameter Inputs'!R743)</f>
        <v>4.9840799999999999E-5</v>
      </c>
      <c r="Z824" s="47">
        <f>I824*('Parameter Inputs'!S741+'Parameter Inputs'!S743)</f>
        <v>0.57437400000000005</v>
      </c>
      <c r="AA824" s="47">
        <f>I824*('Parameter Inputs'!T741+'Parameter Inputs'!T743)</f>
        <v>0.44112000000000001</v>
      </c>
      <c r="AB824" s="47">
        <f>I824*('Parameter Inputs'!U741+'Parameter Inputs'!U743)</f>
        <v>0.46321800000000002</v>
      </c>
    </row>
    <row r="825" spans="4:36">
      <c r="D825" s="8" t="s">
        <v>957</v>
      </c>
      <c r="E825" s="49">
        <f ca="1">'Parameter Inputs'!K1165/10</f>
        <v>6.7172542140991549</v>
      </c>
      <c r="F825" s="8">
        <f t="shared" ca="1" si="7"/>
        <v>111.95423690165258</v>
      </c>
      <c r="G825" s="8" t="s">
        <v>959</v>
      </c>
      <c r="H825" s="8">
        <v>280</v>
      </c>
      <c r="I825" s="8">
        <v>30</v>
      </c>
      <c r="J825" s="61" t="s">
        <v>960</v>
      </c>
      <c r="K825" s="47">
        <f>$I825*('Parameter Inputs'!F$741+'Parameter Inputs'!F$743)</f>
        <v>191.739</v>
      </c>
      <c r="L825" s="47">
        <f>$I825*('Parameter Inputs'!J$741+'Parameter Inputs'!J$743)</f>
        <v>45.465300000000006</v>
      </c>
      <c r="M825" s="47">
        <f>$I825*('Parameter Inputs'!V$741+'Parameter Inputs'!V$743)</f>
        <v>1.3841699999999999</v>
      </c>
      <c r="N825" s="47">
        <f>$I825*('Parameter Inputs'!Q$741+'Parameter Inputs'!Q$743)</f>
        <v>20.210699999999999</v>
      </c>
      <c r="O825" s="47">
        <f>$I825*('Parameter Inputs'!G$741+'Parameter Inputs'!G$743)</f>
        <v>17.461499999999997</v>
      </c>
      <c r="P825" s="47">
        <f>$I825*('Parameter Inputs'!H$741+'Parameter Inputs'!H$743)</f>
        <v>24.956700000000001</v>
      </c>
      <c r="Q825" s="47">
        <f>$I825*('Parameter Inputs'!I$741+'Parameter Inputs'!I$743)</f>
        <v>5036.1540000000005</v>
      </c>
      <c r="R825" s="47">
        <f>$I825*('Parameter Inputs'!M$741+'Parameter Inputs'!M$743)</f>
        <v>276.07859999999999</v>
      </c>
      <c r="S825" s="47">
        <f>$I825*('Parameter Inputs'!N$741+'Parameter Inputs'!N$743)</f>
        <v>276.43199999999996</v>
      </c>
      <c r="T825" s="47">
        <f>$I825*('Parameter Inputs'!E$741+'Parameter Inputs'!E$743)</f>
        <v>0.66392100000000009</v>
      </c>
      <c r="U825" s="47">
        <f>$I825*('Parameter Inputs'!K$741+'Parameter Inputs'!K$743)</f>
        <v>7.2848400000000008E-2</v>
      </c>
      <c r="V825" s="47">
        <f>$I825*('Parameter Inputs'!L$741+'Parameter Inputs'!L$743)</f>
        <v>1.1584799999999999E-2</v>
      </c>
      <c r="W825" s="47">
        <f>$I825*('Parameter Inputs'!O$741+'Parameter Inputs'!O$743)</f>
        <v>19.451999999999998</v>
      </c>
      <c r="X825" s="47">
        <f>I825*('Parameter Inputs'!P741+'Parameter Inputs'!P743)</f>
        <v>6.5712899999999994</v>
      </c>
      <c r="Y825" s="47">
        <f>I825*('Parameter Inputs'!R741+'Parameter Inputs'!R743)</f>
        <v>4.9840799999999999E-5</v>
      </c>
      <c r="Z825" s="47">
        <f>I825*('Parameter Inputs'!S741+'Parameter Inputs'!S743)</f>
        <v>0.57437400000000005</v>
      </c>
      <c r="AA825" s="47">
        <f>I825*('Parameter Inputs'!T741+'Parameter Inputs'!T743)</f>
        <v>0.44112000000000001</v>
      </c>
      <c r="AB825" s="47">
        <f>I825*('Parameter Inputs'!U741+'Parameter Inputs'!U743)</f>
        <v>0.46321800000000002</v>
      </c>
    </row>
    <row r="826" spans="4:36" ht="15" thickBot="1">
      <c r="D826" s="53" t="s">
        <v>958</v>
      </c>
      <c r="E826" s="62">
        <f ca="1">'Parameter Inputs'!Q1162/10</f>
        <v>0.47020779498693999</v>
      </c>
      <c r="F826" s="53">
        <f t="shared" ca="1" si="7"/>
        <v>7.8367965831156665</v>
      </c>
      <c r="G826" s="53" t="s">
        <v>959</v>
      </c>
      <c r="H826" s="53">
        <v>280</v>
      </c>
      <c r="I826" s="53">
        <v>30</v>
      </c>
      <c r="J826" s="63" t="s">
        <v>960</v>
      </c>
      <c r="K826" s="56">
        <f>$I826*('Parameter Inputs'!F$741+'Parameter Inputs'!F$743)</f>
        <v>191.739</v>
      </c>
      <c r="L826" s="56">
        <f>$I826*('Parameter Inputs'!J$741+'Parameter Inputs'!J$743)</f>
        <v>45.465300000000006</v>
      </c>
      <c r="M826" s="56">
        <f>$I826*('Parameter Inputs'!V$741+'Parameter Inputs'!V$743)</f>
        <v>1.3841699999999999</v>
      </c>
      <c r="N826" s="56">
        <f>$I826*('Parameter Inputs'!Q$741+'Parameter Inputs'!Q$743)</f>
        <v>20.210699999999999</v>
      </c>
      <c r="O826" s="56">
        <f>$I826*('Parameter Inputs'!G$741+'Parameter Inputs'!G$743)</f>
        <v>17.461499999999997</v>
      </c>
      <c r="P826" s="56">
        <f>$I826*('Parameter Inputs'!H$741+'Parameter Inputs'!H$743)</f>
        <v>24.956700000000001</v>
      </c>
      <c r="Q826" s="56">
        <f>$I826*('Parameter Inputs'!I$741+'Parameter Inputs'!I$743)</f>
        <v>5036.1540000000005</v>
      </c>
      <c r="R826" s="56">
        <f>$I826*('Parameter Inputs'!M$741+'Parameter Inputs'!M$743)</f>
        <v>276.07859999999999</v>
      </c>
      <c r="S826" s="56">
        <f>$I826*('Parameter Inputs'!N$741+'Parameter Inputs'!N$743)</f>
        <v>276.43199999999996</v>
      </c>
      <c r="T826" s="56">
        <f>$I826*('Parameter Inputs'!E$741+'Parameter Inputs'!E$743)</f>
        <v>0.66392100000000009</v>
      </c>
      <c r="U826" s="56">
        <f>$I826*('Parameter Inputs'!K$741+'Parameter Inputs'!K$743)</f>
        <v>7.2848400000000008E-2</v>
      </c>
      <c r="V826" s="56">
        <f>$I826*('Parameter Inputs'!L$741+'Parameter Inputs'!L$743)</f>
        <v>1.1584799999999999E-2</v>
      </c>
      <c r="W826" s="56">
        <f>$I826*('Parameter Inputs'!O$741+'Parameter Inputs'!O$743)</f>
        <v>19.451999999999998</v>
      </c>
      <c r="X826" s="56">
        <f>I826*('Parameter Inputs'!P741+'Parameter Inputs'!P743)</f>
        <v>6.5712899999999994</v>
      </c>
      <c r="Y826" s="56">
        <f>I826*('Parameter Inputs'!R741+'Parameter Inputs'!R743)</f>
        <v>4.9840799999999999E-5</v>
      </c>
      <c r="Z826" s="56">
        <f>I826*('Parameter Inputs'!S741+'Parameter Inputs'!S743)</f>
        <v>0.57437400000000005</v>
      </c>
      <c r="AA826" s="56">
        <f>I826*('Parameter Inputs'!T741+'Parameter Inputs'!T743)</f>
        <v>0.44112000000000001</v>
      </c>
      <c r="AB826" s="56">
        <f>I826*('Parameter Inputs'!U741+'Parameter Inputs'!U743)</f>
        <v>0.46321800000000002</v>
      </c>
    </row>
    <row r="827" spans="4:36" ht="15" thickTop="1">
      <c r="D827" s="15" t="s">
        <v>988</v>
      </c>
      <c r="E827" s="15"/>
      <c r="F827" s="15"/>
      <c r="G827" s="15"/>
      <c r="H827" s="15"/>
      <c r="I827" s="15"/>
      <c r="J827" s="15"/>
      <c r="K827" s="39">
        <f>SUM(K816:K826)</f>
        <v>1876.4856800000002</v>
      </c>
      <c r="L827" s="39">
        <f t="shared" ref="L827:AB827" si="8">SUM(L816:L826)</f>
        <v>444.95373600000011</v>
      </c>
      <c r="M827" s="39">
        <f t="shared" si="8"/>
        <v>13.546410399999997</v>
      </c>
      <c r="N827" s="39">
        <f t="shared" si="8"/>
        <v>197.79538400000004</v>
      </c>
      <c r="O827" s="39">
        <f t="shared" si="8"/>
        <v>170.88988000000001</v>
      </c>
      <c r="P827" s="39">
        <f t="shared" si="8"/>
        <v>244.24290400000001</v>
      </c>
      <c r="Q827" s="39">
        <f t="shared" si="8"/>
        <v>49287.160480000006</v>
      </c>
      <c r="R827" s="39">
        <f t="shared" si="8"/>
        <v>2701.8892319999995</v>
      </c>
      <c r="S827" s="39">
        <f t="shared" si="8"/>
        <v>2705.3478399999999</v>
      </c>
      <c r="T827" s="39">
        <f t="shared" si="8"/>
        <v>6.4975735200000013</v>
      </c>
      <c r="U827" s="39">
        <f t="shared" si="8"/>
        <v>0.7129430080000001</v>
      </c>
      <c r="V827" s="39">
        <f t="shared" si="8"/>
        <v>0.11337657600000001</v>
      </c>
      <c r="W827" s="39">
        <f t="shared" si="8"/>
        <v>190.37024</v>
      </c>
      <c r="X827" s="39">
        <f t="shared" si="8"/>
        <v>64.311024799999984</v>
      </c>
      <c r="Y827" s="39">
        <f t="shared" si="8"/>
        <v>4.8777529600000003E-4</v>
      </c>
      <c r="Z827" s="39">
        <f t="shared" si="8"/>
        <v>5.6212068799999999</v>
      </c>
      <c r="AA827" s="39">
        <f t="shared" si="8"/>
        <v>4.3170944000000002</v>
      </c>
      <c r="AB827" s="39">
        <f t="shared" si="8"/>
        <v>4.53336016</v>
      </c>
    </row>
    <row r="830" spans="4:36" ht="26.25" customHeight="1">
      <c r="D830" s="42" t="s">
        <v>925</v>
      </c>
      <c r="E830" s="42" t="s">
        <v>945</v>
      </c>
      <c r="F830" s="42" t="s">
        <v>947</v>
      </c>
      <c r="G830" s="42" t="s">
        <v>1035</v>
      </c>
      <c r="H830" s="42" t="s">
        <v>969</v>
      </c>
      <c r="I830" s="42" t="s">
        <v>970</v>
      </c>
      <c r="J830" s="42" t="s">
        <v>944</v>
      </c>
      <c r="K830" s="42" t="s">
        <v>946</v>
      </c>
      <c r="L830" s="42" t="s">
        <v>955</v>
      </c>
      <c r="M830" s="42" t="s">
        <v>937</v>
      </c>
      <c r="N830" s="42" t="s">
        <v>936</v>
      </c>
      <c r="O830" s="42" t="s">
        <v>938</v>
      </c>
      <c r="P830" s="42" t="s">
        <v>943</v>
      </c>
      <c r="Q830" s="42" t="s">
        <v>939</v>
      </c>
      <c r="R830" s="42" t="s">
        <v>940</v>
      </c>
      <c r="S830" s="42" t="s">
        <v>895</v>
      </c>
      <c r="T830" s="42" t="s">
        <v>1010</v>
      </c>
      <c r="U830" s="42" t="s">
        <v>899</v>
      </c>
      <c r="V830" s="42" t="s">
        <v>900</v>
      </c>
      <c r="W830" s="16" t="s">
        <v>1298</v>
      </c>
      <c r="X830" s="77" t="s">
        <v>1299</v>
      </c>
      <c r="Y830" s="77" t="s">
        <v>1300</v>
      </c>
      <c r="Z830" s="16" t="s">
        <v>1301</v>
      </c>
      <c r="AA830" s="77" t="s">
        <v>1302</v>
      </c>
      <c r="AB830" s="76" t="s">
        <v>1435</v>
      </c>
      <c r="AC830" s="76" t="s">
        <v>1434</v>
      </c>
      <c r="AD830" s="76" t="s">
        <v>1433</v>
      </c>
      <c r="AE830" s="76" t="s">
        <v>1432</v>
      </c>
      <c r="AF830" s="76" t="s">
        <v>1431</v>
      </c>
      <c r="AG830" s="76" t="s">
        <v>1430</v>
      </c>
      <c r="AH830" s="76" t="s">
        <v>1429</v>
      </c>
      <c r="AI830" s="76" t="s">
        <v>1428</v>
      </c>
      <c r="AJ830" s="76" t="s">
        <v>1427</v>
      </c>
    </row>
    <row r="831" spans="4:36">
      <c r="D831" s="8" t="s">
        <v>948</v>
      </c>
      <c r="E831" s="47">
        <v>20.8</v>
      </c>
      <c r="F831" s="47">
        <v>0.15</v>
      </c>
      <c r="G831" s="49">
        <f t="shared" ref="G831:G845" si="9">(PI()*(F831/2)^2*J831)*3600</f>
        <v>95.425876852789969</v>
      </c>
      <c r="H831" s="47">
        <v>28.3</v>
      </c>
      <c r="I831" s="47">
        <f t="shared" ref="I831:I845" si="10">H831*E831</f>
        <v>588.64</v>
      </c>
      <c r="J831" s="47">
        <v>1.5</v>
      </c>
      <c r="K831" s="47">
        <v>1.4999999999999999E-2</v>
      </c>
      <c r="L831" s="8">
        <f>K797</f>
        <v>1.7</v>
      </c>
      <c r="M831" s="47">
        <f ca="1">E816</f>
        <v>56.699593765212192</v>
      </c>
      <c r="N831" s="47">
        <f>K797+(K831)*((E831)/F831)*((J831^2)/(2*9.86))</f>
        <v>1.9373225152129816</v>
      </c>
      <c r="O831" s="47">
        <f t="shared" ref="O831:O845" ca="1" si="11">(M831*1000*N831*9.81)/0.75</f>
        <v>1436777.8268304595</v>
      </c>
      <c r="P831" s="47">
        <f>24/5</f>
        <v>4.8</v>
      </c>
      <c r="Q831" s="47">
        <f t="shared" ref="Q831:Q845" ca="1" si="12">O831*P831</f>
        <v>6896533.5687862057</v>
      </c>
      <c r="R831" s="47">
        <f t="shared" ref="R831:R845" ca="1" si="13">Q831*0.000000277778</f>
        <v>1.9157053016702945</v>
      </c>
      <c r="S831" s="47">
        <f>$I831*'Parameter Inputs'!F$745</f>
        <v>3205.7923040000001</v>
      </c>
      <c r="T831" s="47">
        <f>$I831*'Parameter Inputs'!J$745</f>
        <v>728.44200000000001</v>
      </c>
      <c r="U831" s="47">
        <f>$I831*'Parameter Inputs'!V$745</f>
        <v>28.285917919999999</v>
      </c>
      <c r="V831" s="47">
        <f>$I831*'Parameter Inputs'!Q$745</f>
        <v>326.63633599999997</v>
      </c>
      <c r="W831" s="47">
        <f>$I831*'Parameter Inputs'!G$745</f>
        <v>264.54070239999999</v>
      </c>
      <c r="X831" s="47">
        <f>$I831*'Parameter Inputs'!H$745</f>
        <v>386.57754720000003</v>
      </c>
      <c r="Y831" s="47">
        <f>$I831*'Parameter Inputs'!I$745</f>
        <v>94741.607999999993</v>
      </c>
      <c r="Z831" s="47">
        <f>$I831*'Parameter Inputs'!M$745</f>
        <v>5193.9239040000002</v>
      </c>
      <c r="AA831" s="47">
        <f>$I831*'Parameter Inputs'!N$745</f>
        <v>4165.3343679999998</v>
      </c>
      <c r="AB831" s="47">
        <f>$I831*'Parameter Inputs'!E$745</f>
        <v>11.66861072</v>
      </c>
      <c r="AC831" s="47">
        <f>$I831*'Parameter Inputs'!K$745</f>
        <v>1.1368404319999998</v>
      </c>
      <c r="AD831" s="47">
        <f>$I831*'Parameter Inputs'!L$745</f>
        <v>0.1211479984</v>
      </c>
      <c r="AE831" s="47">
        <f>$I831*'Parameter Inputs'!O$745</f>
        <v>167.09723679999999</v>
      </c>
      <c r="AF831" s="47">
        <f>$I831*'Parameter Inputs'!P$745</f>
        <v>108.23912319999999</v>
      </c>
      <c r="AG831" s="47">
        <f>$I831*'Parameter Inputs'!R$745</f>
        <v>8.1397139199999998E-4</v>
      </c>
      <c r="AH831" s="47">
        <f>$I831*'Parameter Inputs'!S$745</f>
        <v>10.858053440000001</v>
      </c>
      <c r="AI831" s="47">
        <f>$I831*'Parameter Inputs'!T$745</f>
        <v>7.8860100799999993</v>
      </c>
      <c r="AJ831" s="47">
        <f>$I831*'Parameter Inputs'!U$745</f>
        <v>8.2026983999999992</v>
      </c>
    </row>
    <row r="832" spans="4:36">
      <c r="D832" s="8" t="s">
        <v>949</v>
      </c>
      <c r="E832" s="47">
        <v>20.8</v>
      </c>
      <c r="F832" s="47">
        <v>0.15</v>
      </c>
      <c r="G832" s="49">
        <f t="shared" si="9"/>
        <v>95.425876852789969</v>
      </c>
      <c r="H832" s="47">
        <v>28.3</v>
      </c>
      <c r="I832" s="47">
        <f t="shared" si="10"/>
        <v>588.64</v>
      </c>
      <c r="J832" s="47">
        <v>1.5</v>
      </c>
      <c r="K832" s="47">
        <v>1.4999999999999999E-2</v>
      </c>
      <c r="L832" s="8">
        <f>K797</f>
        <v>1.7</v>
      </c>
      <c r="M832" s="47">
        <f ca="1">E816</f>
        <v>56.699593765212192</v>
      </c>
      <c r="N832" s="47">
        <f>K797+(K832)*((E832)/F832)*((J832^2)/(2*9.86))</f>
        <v>1.9373225152129816</v>
      </c>
      <c r="O832" s="47">
        <f t="shared" ca="1" si="11"/>
        <v>1436777.8268304595</v>
      </c>
      <c r="P832" s="47">
        <f>24/5</f>
        <v>4.8</v>
      </c>
      <c r="Q832" s="47">
        <f t="shared" ca="1" si="12"/>
        <v>6896533.5687862057</v>
      </c>
      <c r="R832" s="47">
        <f t="shared" ca="1" si="13"/>
        <v>1.9157053016702945</v>
      </c>
      <c r="S832" s="47">
        <f>$I832*'Parameter Inputs'!F$745</f>
        <v>3205.7923040000001</v>
      </c>
      <c r="T832" s="47">
        <f>$I832*'Parameter Inputs'!J$745</f>
        <v>728.44200000000001</v>
      </c>
      <c r="U832" s="47">
        <f>$I832*'Parameter Inputs'!V$745</f>
        <v>28.285917919999999</v>
      </c>
      <c r="V832" s="47">
        <f>$I832*'Parameter Inputs'!Q$745</f>
        <v>326.63633599999997</v>
      </c>
      <c r="W832" s="47">
        <f>$I832*'Parameter Inputs'!G$745</f>
        <v>264.54070239999999</v>
      </c>
      <c r="X832" s="47">
        <f>$I832*'Parameter Inputs'!H$745</f>
        <v>386.57754720000003</v>
      </c>
      <c r="Y832" s="47">
        <f>$I832*'Parameter Inputs'!I$745</f>
        <v>94741.607999999993</v>
      </c>
      <c r="Z832" s="47">
        <f>$I832*'Parameter Inputs'!M$745</f>
        <v>5193.9239040000002</v>
      </c>
      <c r="AA832" s="47">
        <f>$I832*'Parameter Inputs'!N$745</f>
        <v>4165.3343679999998</v>
      </c>
      <c r="AB832" s="47">
        <f>$I832*'Parameter Inputs'!E$745</f>
        <v>11.66861072</v>
      </c>
      <c r="AC832" s="47">
        <f>$I832*'Parameter Inputs'!K$745</f>
        <v>1.1368404319999998</v>
      </c>
      <c r="AD832" s="47">
        <f>$I832*'Parameter Inputs'!L$745</f>
        <v>0.1211479984</v>
      </c>
      <c r="AE832" s="47">
        <f>$I832*'Parameter Inputs'!O$745</f>
        <v>167.09723679999999</v>
      </c>
      <c r="AF832" s="47">
        <f>$I832*'Parameter Inputs'!P$745</f>
        <v>108.23912319999999</v>
      </c>
      <c r="AG832" s="47">
        <f>$I832*'Parameter Inputs'!R$745</f>
        <v>8.1397139199999998E-4</v>
      </c>
      <c r="AH832" s="47">
        <f>$I832*'Parameter Inputs'!S$745</f>
        <v>10.858053440000001</v>
      </c>
      <c r="AI832" s="47">
        <f>$I832*'Parameter Inputs'!T$745</f>
        <v>7.8860100799999993</v>
      </c>
      <c r="AJ832" s="47">
        <f>$I832*'Parameter Inputs'!U$745</f>
        <v>8.2026983999999992</v>
      </c>
    </row>
    <row r="833" spans="4:70">
      <c r="D833" s="8" t="s">
        <v>950</v>
      </c>
      <c r="E833" s="47">
        <v>4.45</v>
      </c>
      <c r="F833" s="47">
        <v>0.15</v>
      </c>
      <c r="G833" s="49">
        <f t="shared" si="9"/>
        <v>95.425876852789969</v>
      </c>
      <c r="H833" s="47">
        <v>28.3</v>
      </c>
      <c r="I833" s="47">
        <f t="shared" si="10"/>
        <v>125.935</v>
      </c>
      <c r="J833" s="47">
        <v>1.5</v>
      </c>
      <c r="K833" s="47">
        <v>1.4999999999999999E-2</v>
      </c>
      <c r="L833" s="8">
        <f>K797</f>
        <v>1.7</v>
      </c>
      <c r="M833" s="47">
        <f ca="1">E816</f>
        <v>56.699593765212192</v>
      </c>
      <c r="N833" s="47">
        <f>K797+(K833)*((E833)/F833)*((J833^2)/(2*9.86))</f>
        <v>1.750773326572008</v>
      </c>
      <c r="O833" s="47">
        <f t="shared" ca="1" si="11"/>
        <v>1298427.2240021548</v>
      </c>
      <c r="P833" s="47">
        <f>24/5</f>
        <v>4.8</v>
      </c>
      <c r="Q833" s="47">
        <f t="shared" ca="1" si="12"/>
        <v>6232450.6752103427</v>
      </c>
      <c r="R833" s="47">
        <f t="shared" ca="1" si="13"/>
        <v>1.7312376836585786</v>
      </c>
      <c r="S833" s="47">
        <f>$I833*'Parameter Inputs'!F$745</f>
        <v>685.85460350000005</v>
      </c>
      <c r="T833" s="47">
        <f>$I833*'Parameter Inputs'!J$745</f>
        <v>155.84456249999999</v>
      </c>
      <c r="U833" s="47">
        <f>$I833*'Parameter Inputs'!V$745</f>
        <v>6.0515545550000001</v>
      </c>
      <c r="V833" s="47">
        <f>$I833*'Parameter Inputs'!Q$745</f>
        <v>69.881331500000002</v>
      </c>
      <c r="W833" s="47">
        <f>$I833*'Parameter Inputs'!G$745</f>
        <v>56.596448349999996</v>
      </c>
      <c r="X833" s="47">
        <f>$I833*'Parameter Inputs'!H$745</f>
        <v>82.70529255000001</v>
      </c>
      <c r="Y833" s="47">
        <f>$I833*'Parameter Inputs'!I$745</f>
        <v>20269.238249999999</v>
      </c>
      <c r="Z833" s="47">
        <f>$I833*'Parameter Inputs'!M$745</f>
        <v>1111.2000660000001</v>
      </c>
      <c r="AA833" s="47">
        <f>$I833*'Parameter Inputs'!N$745</f>
        <v>891.14124700000002</v>
      </c>
      <c r="AB833" s="47">
        <f>$I833*'Parameter Inputs'!E$745</f>
        <v>2.4964095049999999</v>
      </c>
      <c r="AC833" s="47">
        <f>$I833*'Parameter Inputs'!K$745</f>
        <v>0.2432182655</v>
      </c>
      <c r="AD833" s="47">
        <f>$I833*'Parameter Inputs'!L$745</f>
        <v>2.5918682350000003E-2</v>
      </c>
      <c r="AE833" s="47">
        <f>$I833*'Parameter Inputs'!O$745</f>
        <v>35.749168449999999</v>
      </c>
      <c r="AF833" s="47">
        <f>$I833*'Parameter Inputs'!P$745</f>
        <v>23.156927799999998</v>
      </c>
      <c r="AG833" s="47">
        <f>$I833*'Parameter Inputs'!R$745</f>
        <v>1.7414291800000001E-4</v>
      </c>
      <c r="AH833" s="47">
        <f>$I833*'Parameter Inputs'!S$745</f>
        <v>2.3229970099999999</v>
      </c>
      <c r="AI833" s="47">
        <f>$I833*'Parameter Inputs'!T$745</f>
        <v>1.687151195</v>
      </c>
      <c r="AJ833" s="47">
        <f>$I833*'Parameter Inputs'!U$745</f>
        <v>1.754904225</v>
      </c>
    </row>
    <row r="834" spans="4:70">
      <c r="D834" s="8" t="s">
        <v>951</v>
      </c>
      <c r="E834" s="47">
        <v>20.8</v>
      </c>
      <c r="F834" s="47">
        <v>0.15</v>
      </c>
      <c r="G834" s="49">
        <f t="shared" si="9"/>
        <v>95.425876852789969</v>
      </c>
      <c r="H834" s="47">
        <v>28.3</v>
      </c>
      <c r="I834" s="47">
        <f t="shared" si="10"/>
        <v>588.64</v>
      </c>
      <c r="J834" s="47">
        <v>1.5</v>
      </c>
      <c r="K834" s="47">
        <v>1.4999999999999999E-2</v>
      </c>
      <c r="L834" s="8">
        <f>K797</f>
        <v>1.7</v>
      </c>
      <c r="M834" s="47">
        <f ca="1">E816</f>
        <v>56.699593765212192</v>
      </c>
      <c r="N834" s="47">
        <f>K797+(K834)*((E834)/F834)*((J834^2)/(2*9.86))</f>
        <v>1.9373225152129816</v>
      </c>
      <c r="O834" s="47">
        <f t="shared" ca="1" si="11"/>
        <v>1436777.8268304595</v>
      </c>
      <c r="P834" s="47">
        <f>24/5</f>
        <v>4.8</v>
      </c>
      <c r="Q834" s="47">
        <f t="shared" ca="1" si="12"/>
        <v>6896533.5687862057</v>
      </c>
      <c r="R834" s="47">
        <f t="shared" ca="1" si="13"/>
        <v>1.9157053016702945</v>
      </c>
      <c r="S834" s="47">
        <f>$I834*'Parameter Inputs'!F$745</f>
        <v>3205.7923040000001</v>
      </c>
      <c r="T834" s="47">
        <f>$I834*'Parameter Inputs'!J$745</f>
        <v>728.44200000000001</v>
      </c>
      <c r="U834" s="47">
        <f>$I834*'Parameter Inputs'!V$745</f>
        <v>28.285917919999999</v>
      </c>
      <c r="V834" s="47">
        <f>$I834*'Parameter Inputs'!Q$745</f>
        <v>326.63633599999997</v>
      </c>
      <c r="W834" s="47">
        <f>$I834*'Parameter Inputs'!G$745</f>
        <v>264.54070239999999</v>
      </c>
      <c r="X834" s="47">
        <f>$I834*'Parameter Inputs'!H$745</f>
        <v>386.57754720000003</v>
      </c>
      <c r="Y834" s="47">
        <f>$I834*'Parameter Inputs'!I$745</f>
        <v>94741.607999999993</v>
      </c>
      <c r="Z834" s="47">
        <f>$I834*'Parameter Inputs'!M$745</f>
        <v>5193.9239040000002</v>
      </c>
      <c r="AA834" s="47">
        <f>$I834*'Parameter Inputs'!N$745</f>
        <v>4165.3343679999998</v>
      </c>
      <c r="AB834" s="47">
        <f>$I834*'Parameter Inputs'!E$745</f>
        <v>11.66861072</v>
      </c>
      <c r="AC834" s="47">
        <f>$I834*'Parameter Inputs'!K$745</f>
        <v>1.1368404319999998</v>
      </c>
      <c r="AD834" s="47">
        <f>$I834*'Parameter Inputs'!L$745</f>
        <v>0.1211479984</v>
      </c>
      <c r="AE834" s="47">
        <f>$I834*'Parameter Inputs'!O$745</f>
        <v>167.09723679999999</v>
      </c>
      <c r="AF834" s="47">
        <f>$I834*'Parameter Inputs'!P$745</f>
        <v>108.23912319999999</v>
      </c>
      <c r="AG834" s="47">
        <f>$I834*'Parameter Inputs'!R$745</f>
        <v>8.1397139199999998E-4</v>
      </c>
      <c r="AH834" s="47">
        <f>$I834*'Parameter Inputs'!S$745</f>
        <v>10.858053440000001</v>
      </c>
      <c r="AI834" s="47">
        <f>$I834*'Parameter Inputs'!T$745</f>
        <v>7.8860100799999993</v>
      </c>
      <c r="AJ834" s="47">
        <f>$I834*'Parameter Inputs'!U$745</f>
        <v>8.2026983999999992</v>
      </c>
    </row>
    <row r="835" spans="4:70">
      <c r="D835" s="8" t="s">
        <v>952</v>
      </c>
      <c r="E835" s="47">
        <v>20.8</v>
      </c>
      <c r="F835" s="47">
        <v>0.15</v>
      </c>
      <c r="G835" s="49">
        <f t="shared" si="9"/>
        <v>95.425876852789969</v>
      </c>
      <c r="H835" s="47">
        <v>28.3</v>
      </c>
      <c r="I835" s="47">
        <f t="shared" si="10"/>
        <v>588.64</v>
      </c>
      <c r="J835" s="47">
        <v>1.5</v>
      </c>
      <c r="K835" s="47">
        <v>1.4999999999999999E-2</v>
      </c>
      <c r="L835" s="8">
        <f>K797</f>
        <v>1.7</v>
      </c>
      <c r="M835" s="47">
        <f ca="1">E816</f>
        <v>56.699593765212192</v>
      </c>
      <c r="N835" s="47">
        <f>K797+(K835)*((E835)/F835)*((J835^2)/(2*9.86))</f>
        <v>1.9373225152129816</v>
      </c>
      <c r="O835" s="47">
        <f t="shared" ca="1" si="11"/>
        <v>1436777.8268304595</v>
      </c>
      <c r="P835" s="47">
        <f>24/5</f>
        <v>4.8</v>
      </c>
      <c r="Q835" s="47">
        <f t="shared" ca="1" si="12"/>
        <v>6896533.5687862057</v>
      </c>
      <c r="R835" s="47">
        <f t="shared" ca="1" si="13"/>
        <v>1.9157053016702945</v>
      </c>
      <c r="S835" s="47">
        <f>$I835*'Parameter Inputs'!F$745</f>
        <v>3205.7923040000001</v>
      </c>
      <c r="T835" s="47">
        <f>$I835*'Parameter Inputs'!J$745</f>
        <v>728.44200000000001</v>
      </c>
      <c r="U835" s="47">
        <f>$I835*'Parameter Inputs'!V$745</f>
        <v>28.285917919999999</v>
      </c>
      <c r="V835" s="47">
        <f>$I835*'Parameter Inputs'!Q$745</f>
        <v>326.63633599999997</v>
      </c>
      <c r="W835" s="47">
        <f>$I835*'Parameter Inputs'!G$745</f>
        <v>264.54070239999999</v>
      </c>
      <c r="X835" s="47">
        <f>$I835*'Parameter Inputs'!H$745</f>
        <v>386.57754720000003</v>
      </c>
      <c r="Y835" s="47">
        <f>$I835*'Parameter Inputs'!I$745</f>
        <v>94741.607999999993</v>
      </c>
      <c r="Z835" s="47">
        <f>$I835*'Parameter Inputs'!M$745</f>
        <v>5193.9239040000002</v>
      </c>
      <c r="AA835" s="47">
        <f>$I835*'Parameter Inputs'!N$745</f>
        <v>4165.3343679999998</v>
      </c>
      <c r="AB835" s="47">
        <f>$I835*'Parameter Inputs'!E$745</f>
        <v>11.66861072</v>
      </c>
      <c r="AC835" s="47">
        <f>$I835*'Parameter Inputs'!K$745</f>
        <v>1.1368404319999998</v>
      </c>
      <c r="AD835" s="47">
        <f>$I835*'Parameter Inputs'!L$745</f>
        <v>0.1211479984</v>
      </c>
      <c r="AE835" s="47">
        <f>$I835*'Parameter Inputs'!O$745</f>
        <v>167.09723679999999</v>
      </c>
      <c r="AF835" s="47">
        <f>$I835*'Parameter Inputs'!P$745</f>
        <v>108.23912319999999</v>
      </c>
      <c r="AG835" s="47">
        <f>$I835*'Parameter Inputs'!R$745</f>
        <v>8.1397139199999998E-4</v>
      </c>
      <c r="AH835" s="47">
        <f>$I835*'Parameter Inputs'!S$745</f>
        <v>10.858053440000001</v>
      </c>
      <c r="AI835" s="47">
        <f>$I835*'Parameter Inputs'!T$745</f>
        <v>7.8860100799999993</v>
      </c>
      <c r="AJ835" s="47">
        <f>$I835*'Parameter Inputs'!U$745</f>
        <v>8.2026983999999992</v>
      </c>
    </row>
    <row r="836" spans="4:70">
      <c r="D836" s="8" t="s">
        <v>926</v>
      </c>
      <c r="E836" s="47">
        <v>2.1</v>
      </c>
      <c r="F836" s="47">
        <v>0.15</v>
      </c>
      <c r="G836" s="49">
        <f t="shared" si="9"/>
        <v>95.425876852789969</v>
      </c>
      <c r="H836" s="47">
        <v>28.3</v>
      </c>
      <c r="I836" s="47">
        <f t="shared" si="10"/>
        <v>59.430000000000007</v>
      </c>
      <c r="J836" s="47">
        <v>1.5</v>
      </c>
      <c r="K836" s="47">
        <v>1.4999999999999999E-2</v>
      </c>
      <c r="L836" s="47">
        <f ca="1">P789</f>
        <v>9.8600595761736933</v>
      </c>
      <c r="M836" s="47">
        <f ca="1">E817</f>
        <v>56.699593765212192</v>
      </c>
      <c r="N836" s="47">
        <f ca="1">K789+(0.235)*((E836)/0.3)*((1.5^2)/(2*9.86))</f>
        <v>9.7477497384454974</v>
      </c>
      <c r="O836" s="47">
        <f t="shared" ca="1" si="11"/>
        <v>7229230.3298561564</v>
      </c>
      <c r="P836" s="47">
        <v>24</v>
      </c>
      <c r="Q836" s="47">
        <f t="shared" ca="1" si="12"/>
        <v>173501527.91654775</v>
      </c>
      <c r="R836" s="47">
        <f t="shared" ca="1" si="13"/>
        <v>48.1949074216028</v>
      </c>
      <c r="S836" s="47">
        <f>$I836*'Parameter Inputs'!F$745</f>
        <v>323.66172300000005</v>
      </c>
      <c r="T836" s="47">
        <f>$I836*'Parameter Inputs'!J$745</f>
        <v>73.544625000000011</v>
      </c>
      <c r="U836" s="47">
        <f>$I836*'Parameter Inputs'!V$745</f>
        <v>2.8557897900000002</v>
      </c>
      <c r="V836" s="47">
        <f>$I836*'Parameter Inputs'!Q$745</f>
        <v>32.977707000000002</v>
      </c>
      <c r="W836" s="47">
        <f>$I836*'Parameter Inputs'!G$745</f>
        <v>26.708436300000002</v>
      </c>
      <c r="X836" s="47">
        <f>$I836*'Parameter Inputs'!H$745</f>
        <v>39.029463900000003</v>
      </c>
      <c r="Y836" s="47">
        <f>$I836*'Parameter Inputs'!I$745</f>
        <v>9565.2584999999999</v>
      </c>
      <c r="Z836" s="47">
        <f>$I836*'Parameter Inputs'!M$745</f>
        <v>524.38654800000006</v>
      </c>
      <c r="AA836" s="47">
        <f>$I836*'Parameter Inputs'!N$745</f>
        <v>420.53856600000006</v>
      </c>
      <c r="AB836" s="47">
        <f>$I836*'Parameter Inputs'!E$745</f>
        <v>1.1780808900000002</v>
      </c>
      <c r="AC836" s="47">
        <f>$I836*'Parameter Inputs'!K$745</f>
        <v>0.114777159</v>
      </c>
      <c r="AD836" s="47">
        <f>$I836*'Parameter Inputs'!L$745</f>
        <v>1.2231288300000002E-2</v>
      </c>
      <c r="AE836" s="47">
        <f>$I836*'Parameter Inputs'!O$745</f>
        <v>16.870394100000002</v>
      </c>
      <c r="AF836" s="47">
        <f>$I836*'Parameter Inputs'!P$745</f>
        <v>10.9279884</v>
      </c>
      <c r="AG836" s="47">
        <f>$I836*'Parameter Inputs'!R$745</f>
        <v>8.2179804E-5</v>
      </c>
      <c r="AH836" s="47">
        <f>$I836*'Parameter Inputs'!S$745</f>
        <v>1.0962457800000001</v>
      </c>
      <c r="AI836" s="47">
        <f>$I836*'Parameter Inputs'!T$745</f>
        <v>0.79618370999999999</v>
      </c>
      <c r="AJ836" s="47">
        <f>$I836*'Parameter Inputs'!U$745</f>
        <v>0.82815705000000006</v>
      </c>
    </row>
    <row r="837" spans="4:70">
      <c r="D837" s="8" t="s">
        <v>941</v>
      </c>
      <c r="E837" s="47">
        <v>9.3000000000000007</v>
      </c>
      <c r="F837" s="47">
        <v>0.2</v>
      </c>
      <c r="G837" s="49">
        <f t="shared" si="9"/>
        <v>180.95573684677211</v>
      </c>
      <c r="H837" s="47">
        <v>42.53</v>
      </c>
      <c r="I837" s="47">
        <f t="shared" si="10"/>
        <v>395.52900000000005</v>
      </c>
      <c r="J837" s="47">
        <v>1.6</v>
      </c>
      <c r="K837" s="47">
        <v>1.4E-2</v>
      </c>
      <c r="L837" s="47">
        <f ca="1">P787</f>
        <v>8.6085839934979127</v>
      </c>
      <c r="M837" s="47">
        <f ca="1">E818</f>
        <v>178.5637976453867</v>
      </c>
      <c r="N837" s="47">
        <f ca="1">L787+(0.235)*((E837)/0.3)*((1.5^2)/(2*9.86))</f>
        <v>9.1397832835587636</v>
      </c>
      <c r="O837" s="47">
        <f t="shared" ca="1" si="11"/>
        <v>21347010.119006421</v>
      </c>
      <c r="P837" s="47">
        <f>'Parameter Inputs'!F492*2</f>
        <v>1.3440000000000001</v>
      </c>
      <c r="Q837" s="47">
        <f t="shared" ca="1" si="12"/>
        <v>28690381.599944633</v>
      </c>
      <c r="R837" s="47">
        <f t="shared" ca="1" si="13"/>
        <v>7.9695568200694193</v>
      </c>
      <c r="S837" s="47">
        <f>$I837*'Parameter Inputs'!F$745</f>
        <v>2154.0904869000005</v>
      </c>
      <c r="T837" s="47">
        <f>$I837*'Parameter Inputs'!J$745</f>
        <v>489.46713750000009</v>
      </c>
      <c r="U837" s="47">
        <f>$I837*'Parameter Inputs'!V$745</f>
        <v>19.006355037000002</v>
      </c>
      <c r="V837" s="47">
        <f>$I837*'Parameter Inputs'!Q$745</f>
        <v>219.47904210000002</v>
      </c>
      <c r="W837" s="47">
        <f>$I837*'Parameter Inputs'!G$745</f>
        <v>177.75468789000001</v>
      </c>
      <c r="X837" s="47">
        <f>$I837*'Parameter Inputs'!H$745</f>
        <v>259.75576017000003</v>
      </c>
      <c r="Y837" s="47">
        <f>$I837*'Parameter Inputs'!I$745</f>
        <v>63660.392550000004</v>
      </c>
      <c r="Z837" s="47">
        <f>$I837*'Parameter Inputs'!M$745</f>
        <v>3489.9896844000009</v>
      </c>
      <c r="AA837" s="47">
        <f>$I837*'Parameter Inputs'!N$745</f>
        <v>2798.8423098000003</v>
      </c>
      <c r="AB837" s="47">
        <f>$I837*'Parameter Inputs'!E$745</f>
        <v>7.8405713670000008</v>
      </c>
      <c r="AC837" s="47">
        <f>$I837*'Parameter Inputs'!K$745</f>
        <v>0.76388515770000009</v>
      </c>
      <c r="AD837" s="47">
        <f>$I837*'Parameter Inputs'!L$745</f>
        <v>8.1403823490000013E-2</v>
      </c>
      <c r="AE837" s="47">
        <f>$I837*'Parameter Inputs'!O$745</f>
        <v>112.27881723000002</v>
      </c>
      <c r="AF837" s="47">
        <f>$I837*'Parameter Inputs'!P$745</f>
        <v>72.729872520000001</v>
      </c>
      <c r="AG837" s="47">
        <f>$I837*'Parameter Inputs'!R$745</f>
        <v>5.4693750120000007E-4</v>
      </c>
      <c r="AH837" s="47">
        <f>$I837*'Parameter Inputs'!S$745</f>
        <v>7.2959279340000016</v>
      </c>
      <c r="AI837" s="47">
        <f>$I837*'Parameter Inputs'!T$745</f>
        <v>5.2989020130000002</v>
      </c>
      <c r="AJ837" s="47">
        <f>$I837*'Parameter Inputs'!U$745</f>
        <v>5.5116966150000009</v>
      </c>
    </row>
    <row r="838" spans="4:70">
      <c r="D838" s="8" t="s">
        <v>942</v>
      </c>
      <c r="E838" s="47">
        <v>9.3000000000000007</v>
      </c>
      <c r="F838" s="47">
        <v>0.2</v>
      </c>
      <c r="G838" s="49">
        <f t="shared" si="9"/>
        <v>169.64600329384885</v>
      </c>
      <c r="H838" s="47">
        <v>42.53</v>
      </c>
      <c r="I838" s="47">
        <f t="shared" si="10"/>
        <v>395.52900000000005</v>
      </c>
      <c r="J838" s="47">
        <v>1.5</v>
      </c>
      <c r="K838" s="47">
        <v>1.4999999999999999E-2</v>
      </c>
      <c r="L838" s="47">
        <f ca="1">P788</f>
        <v>9.2260696997031566</v>
      </c>
      <c r="M838" s="47">
        <f ca="1">E821</f>
        <v>54.462857858657394</v>
      </c>
      <c r="N838" s="47">
        <f ca="1">L788+(0.235)*((E838)/0.3)*((1.5^2)/(2*9.86))</f>
        <v>9.7572689897640075</v>
      </c>
      <c r="O838" s="47">
        <f t="shared" ca="1" si="11"/>
        <v>6950826.503342893</v>
      </c>
      <c r="P838" s="47">
        <v>6</v>
      </c>
      <c r="Q838" s="47">
        <f t="shared" ca="1" si="12"/>
        <v>41704959.020057358</v>
      </c>
      <c r="R838" s="47">
        <f t="shared" ca="1" si="13"/>
        <v>11.584720106673492</v>
      </c>
      <c r="S838" s="47">
        <f>$I838*'Parameter Inputs'!F$745</f>
        <v>2154.0904869000005</v>
      </c>
      <c r="T838" s="47">
        <f>$I838*'Parameter Inputs'!J$745</f>
        <v>489.46713750000009</v>
      </c>
      <c r="U838" s="47">
        <f>$I838*'Parameter Inputs'!V$745</f>
        <v>19.006355037000002</v>
      </c>
      <c r="V838" s="47">
        <f>$I838*'Parameter Inputs'!Q$745</f>
        <v>219.47904210000002</v>
      </c>
      <c r="W838" s="47">
        <f>$I838*'Parameter Inputs'!G$745</f>
        <v>177.75468789000001</v>
      </c>
      <c r="X838" s="47">
        <f>$I838*'Parameter Inputs'!H$745</f>
        <v>259.75576017000003</v>
      </c>
      <c r="Y838" s="47">
        <f>$I838*'Parameter Inputs'!I$745</f>
        <v>63660.392550000004</v>
      </c>
      <c r="Z838" s="47">
        <f>$I838*'Parameter Inputs'!M$745</f>
        <v>3489.9896844000009</v>
      </c>
      <c r="AA838" s="47">
        <f>$I838*'Parameter Inputs'!N$745</f>
        <v>2798.8423098000003</v>
      </c>
      <c r="AB838" s="47">
        <f>$I838*'Parameter Inputs'!E$745</f>
        <v>7.8405713670000008</v>
      </c>
      <c r="AC838" s="47">
        <f>$I838*'Parameter Inputs'!K$745</f>
        <v>0.76388515770000009</v>
      </c>
      <c r="AD838" s="47">
        <f>$I838*'Parameter Inputs'!L$745</f>
        <v>8.1403823490000013E-2</v>
      </c>
      <c r="AE838" s="47">
        <f>$I838*'Parameter Inputs'!O$745</f>
        <v>112.27881723000002</v>
      </c>
      <c r="AF838" s="47">
        <f>$I838*'Parameter Inputs'!P$745</f>
        <v>72.729872520000001</v>
      </c>
      <c r="AG838" s="47">
        <f>$I838*'Parameter Inputs'!R$745</f>
        <v>5.4693750120000007E-4</v>
      </c>
      <c r="AH838" s="47">
        <f>$I838*'Parameter Inputs'!S$745</f>
        <v>7.2959279340000016</v>
      </c>
      <c r="AI838" s="47">
        <f>$I838*'Parameter Inputs'!T$745</f>
        <v>5.2989020130000002</v>
      </c>
      <c r="AJ838" s="47">
        <f>$I838*'Parameter Inputs'!U$745</f>
        <v>5.5116966150000009</v>
      </c>
    </row>
    <row r="839" spans="4:70">
      <c r="D839" s="8" t="s">
        <v>928</v>
      </c>
      <c r="E839" s="47">
        <v>2</v>
      </c>
      <c r="F839" s="47">
        <v>0.15</v>
      </c>
      <c r="G839" s="49">
        <f t="shared" si="9"/>
        <v>95.425876852789969</v>
      </c>
      <c r="H839" s="47">
        <v>28.3</v>
      </c>
      <c r="I839" s="47">
        <f t="shared" si="10"/>
        <v>56.6</v>
      </c>
      <c r="J839" s="47">
        <v>1.5</v>
      </c>
      <c r="K839" s="47">
        <v>1.4999999999999999E-2</v>
      </c>
      <c r="L839" s="47">
        <f ca="1">P788</f>
        <v>9.2260696997031566</v>
      </c>
      <c r="M839" s="47">
        <f ca="1">E820</f>
        <v>30.530046935683806</v>
      </c>
      <c r="N839" s="47">
        <f>0+(0.235)*((E839)/0.3)*((1.5^2)/(2*9.86))</f>
        <v>0.17875253549695741</v>
      </c>
      <c r="O839" s="47">
        <f t="shared" ca="1" si="11"/>
        <v>71381.788745617319</v>
      </c>
      <c r="P839" s="47">
        <v>1</v>
      </c>
      <c r="Q839" s="47">
        <f t="shared" ca="1" si="12"/>
        <v>71381.788745617319</v>
      </c>
      <c r="R839" s="47">
        <f t="shared" ca="1" si="13"/>
        <v>1.9828290514180086E-2</v>
      </c>
      <c r="S839" s="47">
        <f>$I839*'Parameter Inputs'!F$745</f>
        <v>308.24926000000005</v>
      </c>
      <c r="T839" s="47">
        <f>$I839*'Parameter Inputs'!J$745</f>
        <v>70.042500000000004</v>
      </c>
      <c r="U839" s="47">
        <f>$I839*'Parameter Inputs'!V$745</f>
        <v>2.7197998000000001</v>
      </c>
      <c r="V839" s="47">
        <f>$I839*'Parameter Inputs'!Q$745</f>
        <v>31.407339999999998</v>
      </c>
      <c r="W839" s="47">
        <f>$I839*'Parameter Inputs'!G$745</f>
        <v>25.436605999999998</v>
      </c>
      <c r="X839" s="47">
        <f>$I839*'Parameter Inputs'!H$745</f>
        <v>37.170918</v>
      </c>
      <c r="Y839" s="47">
        <f>$I839*'Parameter Inputs'!I$745</f>
        <v>9109.77</v>
      </c>
      <c r="Z839" s="47">
        <f>$I839*'Parameter Inputs'!M$745</f>
        <v>499.41576000000003</v>
      </c>
      <c r="AA839" s="47">
        <f>$I839*'Parameter Inputs'!N$745</f>
        <v>400.51292000000001</v>
      </c>
      <c r="AB839" s="47">
        <f>$I839*'Parameter Inputs'!E$745</f>
        <v>1.1219818000000001</v>
      </c>
      <c r="AC839" s="47">
        <f>$I839*'Parameter Inputs'!K$745</f>
        <v>0.10931158000000001</v>
      </c>
      <c r="AD839" s="47">
        <f>$I839*'Parameter Inputs'!L$745</f>
        <v>1.1648846000000001E-2</v>
      </c>
      <c r="AE839" s="47">
        <f>$I839*'Parameter Inputs'!O$745</f>
        <v>16.067042000000001</v>
      </c>
      <c r="AF839" s="47">
        <f>$I839*'Parameter Inputs'!P$745</f>
        <v>10.407608</v>
      </c>
      <c r="AG839" s="47">
        <f>$I839*'Parameter Inputs'!R$745</f>
        <v>7.8266479999999992E-5</v>
      </c>
      <c r="AH839" s="47">
        <f>$I839*'Parameter Inputs'!S$745</f>
        <v>1.0440436</v>
      </c>
      <c r="AI839" s="47">
        <f>$I839*'Parameter Inputs'!T$745</f>
        <v>0.75827020000000001</v>
      </c>
      <c r="AJ839" s="47">
        <f>$I839*'Parameter Inputs'!U$745</f>
        <v>0.78872100000000001</v>
      </c>
    </row>
    <row r="840" spans="4:70">
      <c r="D840" s="8" t="s">
        <v>927</v>
      </c>
      <c r="E840" s="47">
        <v>1.2</v>
      </c>
      <c r="F840" s="47">
        <v>0.15</v>
      </c>
      <c r="G840" s="49">
        <f t="shared" si="9"/>
        <v>95.425876852789969</v>
      </c>
      <c r="H840" s="47">
        <v>28.3</v>
      </c>
      <c r="I840" s="47">
        <f t="shared" si="10"/>
        <v>33.96</v>
      </c>
      <c r="J840" s="47">
        <v>1.5</v>
      </c>
      <c r="K840" s="47">
        <v>1.4999999999999999E-2</v>
      </c>
      <c r="L840" s="8">
        <f>K798</f>
        <v>1.6</v>
      </c>
      <c r="M840" s="47">
        <f ca="1">E822</f>
        <v>42.315236388828986</v>
      </c>
      <c r="N840" s="47">
        <f>K798+(0.235)*((E840)/0.3)*((1.5^2)/(2*9.86))</f>
        <v>1.7072515212981745</v>
      </c>
      <c r="O840" s="47">
        <f t="shared" ca="1" si="11"/>
        <v>944935.19222187565</v>
      </c>
      <c r="P840" s="47">
        <v>24</v>
      </c>
      <c r="Q840" s="47">
        <f t="shared" ca="1" si="12"/>
        <v>22678444.613325015</v>
      </c>
      <c r="R840" s="47">
        <f t="shared" ca="1" si="13"/>
        <v>6.2995729878001958</v>
      </c>
      <c r="S840" s="47">
        <f>$I840*'Parameter Inputs'!F$745</f>
        <v>184.94955600000003</v>
      </c>
      <c r="T840" s="47">
        <f>$I840*'Parameter Inputs'!J$745</f>
        <v>42.025500000000001</v>
      </c>
      <c r="U840" s="47">
        <f>$I840*'Parameter Inputs'!V$745</f>
        <v>1.6318798800000001</v>
      </c>
      <c r="V840" s="47">
        <f>$I840*'Parameter Inputs'!Q$745</f>
        <v>18.844403999999997</v>
      </c>
      <c r="W840" s="47">
        <f>$I840*'Parameter Inputs'!G$745</f>
        <v>15.2619636</v>
      </c>
      <c r="X840" s="47">
        <f>$I840*'Parameter Inputs'!H$745</f>
        <v>22.302550800000002</v>
      </c>
      <c r="Y840" s="47">
        <f>$I840*'Parameter Inputs'!I$745</f>
        <v>5465.8620000000001</v>
      </c>
      <c r="Z840" s="47">
        <f>$I840*'Parameter Inputs'!M$745</f>
        <v>299.64945600000004</v>
      </c>
      <c r="AA840" s="47">
        <f>$I840*'Parameter Inputs'!N$745</f>
        <v>240.30775199999999</v>
      </c>
      <c r="AB840" s="47">
        <f>$I840*'Parameter Inputs'!E$745</f>
        <v>0.67318908</v>
      </c>
      <c r="AC840" s="47">
        <f>$I840*'Parameter Inputs'!K$745</f>
        <v>6.5586948000000006E-2</v>
      </c>
      <c r="AD840" s="47">
        <f>$I840*'Parameter Inputs'!L$745</f>
        <v>6.9893076000000004E-3</v>
      </c>
      <c r="AE840" s="47">
        <f>$I840*'Parameter Inputs'!O$745</f>
        <v>9.6402252000000015</v>
      </c>
      <c r="AF840" s="47">
        <f>$I840*'Parameter Inputs'!P$745</f>
        <v>6.2445648</v>
      </c>
      <c r="AG840" s="47">
        <f>$I840*'Parameter Inputs'!R$745</f>
        <v>4.6959887999999998E-5</v>
      </c>
      <c r="AH840" s="47">
        <f>$I840*'Parameter Inputs'!S$745</f>
        <v>0.62642616000000007</v>
      </c>
      <c r="AI840" s="47">
        <f>$I840*'Parameter Inputs'!T$745</f>
        <v>0.45496211999999997</v>
      </c>
      <c r="AJ840" s="47">
        <f>$I840*'Parameter Inputs'!U$745</f>
        <v>0.4732326</v>
      </c>
    </row>
    <row r="841" spans="4:70">
      <c r="D841" s="8" t="s">
        <v>929</v>
      </c>
      <c r="E841" s="47">
        <v>3.6</v>
      </c>
      <c r="F841" s="47">
        <v>0.15</v>
      </c>
      <c r="G841" s="49">
        <f t="shared" si="9"/>
        <v>95.425876852789969</v>
      </c>
      <c r="H841" s="47">
        <v>28.3</v>
      </c>
      <c r="I841" s="47">
        <f t="shared" si="10"/>
        <v>101.88000000000001</v>
      </c>
      <c r="J841" s="47">
        <v>1.5</v>
      </c>
      <c r="K841" s="47">
        <v>1.4999999999999999E-2</v>
      </c>
      <c r="L841" s="8">
        <v>0</v>
      </c>
      <c r="M841" s="47">
        <f ca="1">E823</f>
        <v>42.315236388828986</v>
      </c>
      <c r="N841" s="47">
        <f>0+(0.235)*((E841)/0.3)*((1.5^2)/(2*9.86))</f>
        <v>0.32175456389452334</v>
      </c>
      <c r="O841" s="47">
        <f t="shared" ca="1" si="11"/>
        <v>178085.77522938783</v>
      </c>
      <c r="P841" s="47">
        <v>24</v>
      </c>
      <c r="Q841" s="47">
        <f t="shared" ca="1" si="12"/>
        <v>4274058.6055053081</v>
      </c>
      <c r="R841" s="47">
        <f t="shared" ca="1" si="13"/>
        <v>1.1872394513200535</v>
      </c>
      <c r="S841" s="47">
        <f>$I841*'Parameter Inputs'!F$745</f>
        <v>554.84866800000009</v>
      </c>
      <c r="T841" s="47">
        <f>$I841*'Parameter Inputs'!J$745</f>
        <v>126.07650000000001</v>
      </c>
      <c r="U841" s="47">
        <f>$I841*'Parameter Inputs'!V$745</f>
        <v>4.8956396400000006</v>
      </c>
      <c r="V841" s="47">
        <f>$I841*'Parameter Inputs'!Q$745</f>
        <v>56.533211999999999</v>
      </c>
      <c r="W841" s="47">
        <f>$I841*'Parameter Inputs'!G$745</f>
        <v>45.785890800000004</v>
      </c>
      <c r="X841" s="47">
        <f>$I841*'Parameter Inputs'!H$745</f>
        <v>66.907652400000003</v>
      </c>
      <c r="Y841" s="47">
        <f>$I841*'Parameter Inputs'!I$745</f>
        <v>16397.585999999999</v>
      </c>
      <c r="Z841" s="47">
        <f>$I841*'Parameter Inputs'!M$745</f>
        <v>898.94836800000019</v>
      </c>
      <c r="AA841" s="47">
        <f>$I841*'Parameter Inputs'!N$745</f>
        <v>720.92325600000004</v>
      </c>
      <c r="AB841" s="47">
        <f>$I841*'Parameter Inputs'!E$745</f>
        <v>2.0195672400000002</v>
      </c>
      <c r="AC841" s="47">
        <f>$I841*'Parameter Inputs'!K$745</f>
        <v>0.19676084400000002</v>
      </c>
      <c r="AD841" s="47">
        <f>$I841*'Parameter Inputs'!L$745</f>
        <v>2.0967922800000004E-2</v>
      </c>
      <c r="AE841" s="47">
        <f>$I841*'Parameter Inputs'!O$745</f>
        <v>28.920675600000003</v>
      </c>
      <c r="AF841" s="47">
        <f>$I841*'Parameter Inputs'!P$745</f>
        <v>18.733694400000001</v>
      </c>
      <c r="AG841" s="47">
        <f>$I841*'Parameter Inputs'!R$745</f>
        <v>1.4087966400000001E-4</v>
      </c>
      <c r="AH841" s="47">
        <f>$I841*'Parameter Inputs'!S$745</f>
        <v>1.8792784800000002</v>
      </c>
      <c r="AI841" s="47">
        <f>$I841*'Parameter Inputs'!T$745</f>
        <v>1.3648863600000001</v>
      </c>
      <c r="AJ841" s="47">
        <f>$I841*'Parameter Inputs'!U$745</f>
        <v>1.4196978</v>
      </c>
    </row>
    <row r="842" spans="4:70">
      <c r="D842" s="8" t="s">
        <v>930</v>
      </c>
      <c r="E842" s="47">
        <v>1.2</v>
      </c>
      <c r="F842" s="47">
        <v>0.1</v>
      </c>
      <c r="G842" s="49">
        <f t="shared" si="9"/>
        <v>42.411500823462212</v>
      </c>
      <c r="H842" s="47">
        <v>28.3</v>
      </c>
      <c r="I842" s="47">
        <f t="shared" si="10"/>
        <v>33.96</v>
      </c>
      <c r="J842" s="47">
        <v>1.5</v>
      </c>
      <c r="K842" s="47">
        <v>1.4999999999999999E-2</v>
      </c>
      <c r="L842" s="8">
        <f>K799</f>
        <v>1.2</v>
      </c>
      <c r="M842" s="47">
        <f ca="1">E824</f>
        <v>6.7172542140991549</v>
      </c>
      <c r="N842" s="47">
        <f>K799+(0.235)*((E842)/0.3)*((1.5^2)/(2*9.86))</f>
        <v>1.3072515212981743</v>
      </c>
      <c r="O842" s="47">
        <f t="shared" ca="1" si="11"/>
        <v>114857.32153748622</v>
      </c>
      <c r="P842" s="47">
        <v>20</v>
      </c>
      <c r="Q842" s="47">
        <f t="shared" ca="1" si="12"/>
        <v>2297146.4307497246</v>
      </c>
      <c r="R842" s="47">
        <f t="shared" ca="1" si="13"/>
        <v>0.63809674124079696</v>
      </c>
      <c r="S842" s="47">
        <f>$I842*'Parameter Inputs'!F$745</f>
        <v>184.94955600000003</v>
      </c>
      <c r="T842" s="47">
        <f>$I842*'Parameter Inputs'!J$745</f>
        <v>42.025500000000001</v>
      </c>
      <c r="U842" s="47">
        <f>$I842*'Parameter Inputs'!V$745</f>
        <v>1.6318798800000001</v>
      </c>
      <c r="V842" s="47">
        <f>$I842*'Parameter Inputs'!Q$745</f>
        <v>18.844403999999997</v>
      </c>
      <c r="W842" s="47">
        <f>$I842*'Parameter Inputs'!G$745</f>
        <v>15.2619636</v>
      </c>
      <c r="X842" s="47">
        <f>$I842*'Parameter Inputs'!H$745</f>
        <v>22.302550800000002</v>
      </c>
      <c r="Y842" s="47">
        <f>$I842*'Parameter Inputs'!I$745</f>
        <v>5465.8620000000001</v>
      </c>
      <c r="Z842" s="47">
        <f>$I842*'Parameter Inputs'!M$745</f>
        <v>299.64945600000004</v>
      </c>
      <c r="AA842" s="47">
        <f>$I842*'Parameter Inputs'!N$745</f>
        <v>240.30775199999999</v>
      </c>
      <c r="AB842" s="47">
        <f>$I842*'Parameter Inputs'!E$745</f>
        <v>0.67318908</v>
      </c>
      <c r="AC842" s="47">
        <f>$I842*'Parameter Inputs'!K$745</f>
        <v>6.5586948000000006E-2</v>
      </c>
      <c r="AD842" s="47">
        <f>$I842*'Parameter Inputs'!L$745</f>
        <v>6.9893076000000004E-3</v>
      </c>
      <c r="AE842" s="47">
        <f>$I842*'Parameter Inputs'!O$745</f>
        <v>9.6402252000000015</v>
      </c>
      <c r="AF842" s="47">
        <f>$I842*'Parameter Inputs'!P$745</f>
        <v>6.2445648</v>
      </c>
      <c r="AG842" s="47">
        <f>$I842*'Parameter Inputs'!R$745</f>
        <v>4.6959887999999998E-5</v>
      </c>
      <c r="AH842" s="47">
        <f>$I842*'Parameter Inputs'!S$745</f>
        <v>0.62642616000000007</v>
      </c>
      <c r="AI842" s="47">
        <f>$I842*'Parameter Inputs'!T$745</f>
        <v>0.45496211999999997</v>
      </c>
      <c r="AJ842" s="47">
        <f>$I842*'Parameter Inputs'!U$745</f>
        <v>0.4732326</v>
      </c>
    </row>
    <row r="843" spans="4:70">
      <c r="D843" s="8" t="s">
        <v>931</v>
      </c>
      <c r="E843" s="47">
        <v>6.7</v>
      </c>
      <c r="F843" s="47">
        <v>0.1</v>
      </c>
      <c r="G843" s="49">
        <f t="shared" si="9"/>
        <v>42.411500823462212</v>
      </c>
      <c r="H843" s="47">
        <v>28.3</v>
      </c>
      <c r="I843" s="47">
        <f t="shared" si="10"/>
        <v>189.61</v>
      </c>
      <c r="J843" s="47">
        <v>1.5</v>
      </c>
      <c r="K843" s="47">
        <v>1.4999999999999999E-2</v>
      </c>
      <c r="L843" s="8">
        <v>0</v>
      </c>
      <c r="M843" s="47">
        <f ca="1">'Parameter Inputs'!K1165/10</f>
        <v>6.7172542140991549</v>
      </c>
      <c r="N843" s="47">
        <f>0+(0.235)*((E843)/0.3)*((1.5^2)/(2*9.86))</f>
        <v>0.59882099391480736</v>
      </c>
      <c r="O843" s="47">
        <f t="shared" ca="1" si="11"/>
        <v>52613.421610837919</v>
      </c>
      <c r="P843" s="47">
        <v>20</v>
      </c>
      <c r="Q843" s="47">
        <f t="shared" ca="1" si="12"/>
        <v>1052268.4322167584</v>
      </c>
      <c r="R843" s="47">
        <f t="shared" ca="1" si="13"/>
        <v>0.29229702056430668</v>
      </c>
      <c r="S843" s="47">
        <f>$I843*'Parameter Inputs'!F$745</f>
        <v>1032.6350210000001</v>
      </c>
      <c r="T843" s="47">
        <f>$I843*'Parameter Inputs'!J$745</f>
        <v>234.64237500000002</v>
      </c>
      <c r="U843" s="47">
        <f>$I843*'Parameter Inputs'!V$745</f>
        <v>9.1113293300000002</v>
      </c>
      <c r="V843" s="47">
        <f>$I843*'Parameter Inputs'!Q$745</f>
        <v>105.214589</v>
      </c>
      <c r="W843" s="47">
        <f>$I843*'Parameter Inputs'!G$745</f>
        <v>85.212630099999998</v>
      </c>
      <c r="X843" s="47">
        <f>$I843*'Parameter Inputs'!H$745</f>
        <v>124.52257530000001</v>
      </c>
      <c r="Y843" s="47">
        <f>$I843*'Parameter Inputs'!I$745</f>
        <v>30517.729500000001</v>
      </c>
      <c r="Z843" s="47">
        <f>$I843*'Parameter Inputs'!M$745</f>
        <v>1673.0427960000002</v>
      </c>
      <c r="AA843" s="47">
        <f>$I843*'Parameter Inputs'!N$745</f>
        <v>1341.718282</v>
      </c>
      <c r="AB843" s="47">
        <f>$I843*'Parameter Inputs'!E$745</f>
        <v>3.7586390300000003</v>
      </c>
      <c r="AC843" s="47">
        <f>$I843*'Parameter Inputs'!K$745</f>
        <v>0.36619379299999999</v>
      </c>
      <c r="AD843" s="47">
        <f>$I843*'Parameter Inputs'!L$745</f>
        <v>3.9023634100000003E-2</v>
      </c>
      <c r="AE843" s="47">
        <f>$I843*'Parameter Inputs'!O$745</f>
        <v>53.824590700000009</v>
      </c>
      <c r="AF843" s="47">
        <f>$I843*'Parameter Inputs'!P$745</f>
        <v>34.865486799999999</v>
      </c>
      <c r="AG843" s="47">
        <f>$I843*'Parameter Inputs'!R$745</f>
        <v>2.62192708E-4</v>
      </c>
      <c r="AH843" s="47">
        <f>$I843*'Parameter Inputs'!S$745</f>
        <v>3.4975460600000003</v>
      </c>
      <c r="AI843" s="47">
        <f>$I843*'Parameter Inputs'!T$745</f>
        <v>2.5402051700000001</v>
      </c>
      <c r="AJ843" s="47">
        <f>$I843*'Parameter Inputs'!U$745</f>
        <v>2.6422153500000003</v>
      </c>
    </row>
    <row r="844" spans="4:70">
      <c r="D844" s="8" t="s">
        <v>932</v>
      </c>
      <c r="E844" s="47">
        <v>8.9</v>
      </c>
      <c r="F844" s="47">
        <v>0.1</v>
      </c>
      <c r="G844" s="49">
        <f t="shared" si="9"/>
        <v>42.411500823462212</v>
      </c>
      <c r="H844" s="47">
        <v>28.3</v>
      </c>
      <c r="I844" s="47">
        <f t="shared" si="10"/>
        <v>251.87</v>
      </c>
      <c r="J844" s="47">
        <v>1.5</v>
      </c>
      <c r="K844" s="47">
        <v>1.4999999999999999E-2</v>
      </c>
      <c r="L844" s="8">
        <v>0</v>
      </c>
      <c r="M844" s="47">
        <f ca="1">'Parameter Inputs'!Q1162/10</f>
        <v>0.47020779498693999</v>
      </c>
      <c r="N844" s="47">
        <f>0+(0.235)*((E844)/0.3)*((1.5^2)/(2*9.86))</f>
        <v>0.79544878296146049</v>
      </c>
      <c r="O844" s="47">
        <f t="shared" ca="1" si="11"/>
        <v>4892.2629348585024</v>
      </c>
      <c r="P844" s="47">
        <v>20</v>
      </c>
      <c r="Q844" s="47">
        <f t="shared" ca="1" si="12"/>
        <v>97845.258697170051</v>
      </c>
      <c r="R844" s="47">
        <f t="shared" ca="1" si="13"/>
        <v>2.7179260270382501E-2</v>
      </c>
      <c r="S844" s="47">
        <f>$I844*'Parameter Inputs'!F$745</f>
        <v>1371.7092070000001</v>
      </c>
      <c r="T844" s="47">
        <f>$I844*'Parameter Inputs'!J$745</f>
        <v>311.68912499999999</v>
      </c>
      <c r="U844" s="47">
        <f>$I844*'Parameter Inputs'!V$745</f>
        <v>12.10310911</v>
      </c>
      <c r="V844" s="47">
        <f>$I844*'Parameter Inputs'!Q$745</f>
        <v>139.762663</v>
      </c>
      <c r="W844" s="47">
        <f>$I844*'Parameter Inputs'!G$745</f>
        <v>113.19289669999999</v>
      </c>
      <c r="X844" s="47">
        <f>$I844*'Parameter Inputs'!H$745</f>
        <v>165.41058510000002</v>
      </c>
      <c r="Y844" s="47">
        <f>$I844*'Parameter Inputs'!I$745</f>
        <v>40538.476499999997</v>
      </c>
      <c r="Z844" s="47">
        <f>$I844*'Parameter Inputs'!M$745</f>
        <v>2222.4001320000002</v>
      </c>
      <c r="AA844" s="47">
        <f>$I844*'Parameter Inputs'!N$745</f>
        <v>1782.282494</v>
      </c>
      <c r="AB844" s="47">
        <f>$I844*'Parameter Inputs'!E$745</f>
        <v>4.9928190099999998</v>
      </c>
      <c r="AC844" s="47">
        <f>$I844*'Parameter Inputs'!K$745</f>
        <v>0.48643653100000001</v>
      </c>
      <c r="AD844" s="47">
        <f>$I844*'Parameter Inputs'!L$745</f>
        <v>5.1837364700000006E-2</v>
      </c>
      <c r="AE844" s="47">
        <f>$I844*'Parameter Inputs'!O$745</f>
        <v>71.498336899999998</v>
      </c>
      <c r="AF844" s="47">
        <f>$I844*'Parameter Inputs'!P$745</f>
        <v>46.313855599999997</v>
      </c>
      <c r="AG844" s="47">
        <f>$I844*'Parameter Inputs'!R$745</f>
        <v>3.4828583600000001E-4</v>
      </c>
      <c r="AH844" s="47">
        <f>$I844*'Parameter Inputs'!S$745</f>
        <v>4.6459940199999998</v>
      </c>
      <c r="AI844" s="47">
        <f>$I844*'Parameter Inputs'!T$745</f>
        <v>3.37430239</v>
      </c>
      <c r="AJ844" s="47">
        <f>$I844*'Parameter Inputs'!U$745</f>
        <v>3.50980845</v>
      </c>
    </row>
    <row r="845" spans="4:70" ht="15" thickBot="1">
      <c r="D845" s="53" t="s">
        <v>933</v>
      </c>
      <c r="E845" s="56">
        <v>23.44</v>
      </c>
      <c r="F845" s="56">
        <v>0.1</v>
      </c>
      <c r="G845" s="62">
        <f t="shared" si="9"/>
        <v>42.411500823462212</v>
      </c>
      <c r="H845" s="56">
        <v>28.3</v>
      </c>
      <c r="I845" s="56">
        <f t="shared" si="10"/>
        <v>663.35200000000009</v>
      </c>
      <c r="J845" s="56">
        <v>1.5</v>
      </c>
      <c r="K845" s="56">
        <v>1.4999999999999999E-2</v>
      </c>
      <c r="L845" s="56">
        <f ca="1">P790</f>
        <v>4.8481159638769027</v>
      </c>
      <c r="M845" s="56">
        <f ca="1">E826</f>
        <v>0.47020779498693999</v>
      </c>
      <c r="N845" s="56">
        <f ca="1">P790+(0.235)*((E845)/0.3)*((1.5^2)/(2*9.86))</f>
        <v>6.9430956799012442</v>
      </c>
      <c r="O845" s="56">
        <f t="shared" ca="1" si="11"/>
        <v>42702.246047188644</v>
      </c>
      <c r="P845" s="56">
        <v>20</v>
      </c>
      <c r="Q845" s="56">
        <f t="shared" ca="1" si="12"/>
        <v>854044.92094377289</v>
      </c>
      <c r="R845" s="56">
        <f t="shared" ca="1" si="13"/>
        <v>0.23723489004991932</v>
      </c>
      <c r="S845" s="56">
        <f>$I845*'Parameter Inputs'!F$745</f>
        <v>3612.6813272000009</v>
      </c>
      <c r="T845" s="56">
        <f>$I845*'Parameter Inputs'!J$745</f>
        <v>820.89810000000011</v>
      </c>
      <c r="U845" s="56">
        <f>$I845*'Parameter Inputs'!V$745</f>
        <v>31.876053656000003</v>
      </c>
      <c r="V845" s="56">
        <f>$I845*'Parameter Inputs'!Q$745</f>
        <v>368.0940248</v>
      </c>
      <c r="W845" s="56">
        <f>$I845*'Parameter Inputs'!G$745</f>
        <v>298.11702232000005</v>
      </c>
      <c r="X845" s="56">
        <f>$I845*'Parameter Inputs'!H$745</f>
        <v>435.64315896000011</v>
      </c>
      <c r="Y845" s="56">
        <f>$I845*'Parameter Inputs'!I$745</f>
        <v>106766.50440000001</v>
      </c>
      <c r="Z845" s="56">
        <f>$I845*'Parameter Inputs'!M$745</f>
        <v>5853.1527072000017</v>
      </c>
      <c r="AA845" s="56">
        <f>$I845*'Parameter Inputs'!N$745</f>
        <v>4694.0114224000008</v>
      </c>
      <c r="AB845" s="56">
        <f>$I845*'Parameter Inputs'!E$745</f>
        <v>13.149626696000002</v>
      </c>
      <c r="AC845" s="56">
        <f>$I845*'Parameter Inputs'!K$745</f>
        <v>1.2811317176000001</v>
      </c>
      <c r="AD845" s="56">
        <f>$I845*'Parameter Inputs'!L$745</f>
        <v>0.13652447512000002</v>
      </c>
      <c r="AE845" s="56">
        <f>$I845*'Parameter Inputs'!O$745</f>
        <v>188.30573224000003</v>
      </c>
      <c r="AF845" s="56">
        <f>$I845*'Parameter Inputs'!P$745</f>
        <v>121.97716576000001</v>
      </c>
      <c r="AG845" s="56">
        <f>$I845*'Parameter Inputs'!R$745</f>
        <v>9.1728314560000001E-4</v>
      </c>
      <c r="AH845" s="56">
        <f>$I845*'Parameter Inputs'!S$745</f>
        <v>12.236190992000003</v>
      </c>
      <c r="AI845" s="56">
        <f>$I845*'Parameter Inputs'!T$745</f>
        <v>8.8869267440000002</v>
      </c>
      <c r="AJ845" s="56">
        <f>$I845*'Parameter Inputs'!U$745</f>
        <v>9.2438101200000009</v>
      </c>
    </row>
    <row r="846" spans="4:70" ht="15" thickTop="1">
      <c r="D846" s="15" t="s">
        <v>934</v>
      </c>
      <c r="E846" s="15">
        <f>SUM(E831:E845)</f>
        <v>155.38999999999999</v>
      </c>
      <c r="F846" s="39">
        <f>E846-E837-E838</f>
        <v>136.78999999999996</v>
      </c>
      <c r="G846" s="15"/>
      <c r="H846" s="15"/>
      <c r="I846" s="39">
        <f>SUM(I831:I845)</f>
        <v>4662.2150000000001</v>
      </c>
      <c r="J846" s="15"/>
      <c r="K846" s="15"/>
      <c r="L846" s="15"/>
      <c r="M846" s="15"/>
      <c r="N846" s="15"/>
      <c r="O846" s="39">
        <f ca="1">SUM(O831:O845)</f>
        <v>43982073.491856717</v>
      </c>
      <c r="P846" s="39">
        <f>SUM(P831:P845)</f>
        <v>184.34399999999999</v>
      </c>
      <c r="Q846" s="39">
        <f ca="1">SUM(Q831:Q845)</f>
        <v>309040643.53708827</v>
      </c>
      <c r="R846" s="39">
        <f ca="1">SUM(R831:R845)</f>
        <v>85.844691880445296</v>
      </c>
      <c r="S846" s="39">
        <f>SUM(S831:S845)</f>
        <v>25390.889111500001</v>
      </c>
      <c r="T846" s="39">
        <f t="shared" ref="T846:AJ846" si="14">SUM(T831:T845)</f>
        <v>5769.4910625000002</v>
      </c>
      <c r="U846" s="39">
        <f t="shared" si="14"/>
        <v>224.03341739500004</v>
      </c>
      <c r="V846" s="39">
        <f t="shared" si="14"/>
        <v>2587.0631035000001</v>
      </c>
      <c r="W846" s="39">
        <f t="shared" si="14"/>
        <v>2095.2460431499999</v>
      </c>
      <c r="X846" s="39">
        <f t="shared" si="14"/>
        <v>3061.8164569500004</v>
      </c>
      <c r="Y846" s="39">
        <f t="shared" si="14"/>
        <v>750383.50424999988</v>
      </c>
      <c r="Z846" s="39">
        <f t="shared" si="14"/>
        <v>41137.520274000002</v>
      </c>
      <c r="AA846" s="39">
        <f t="shared" si="14"/>
        <v>32990.765783000003</v>
      </c>
      <c r="AB846" s="39">
        <f t="shared" si="14"/>
        <v>92.419087945000001</v>
      </c>
      <c r="AC846" s="39">
        <f t="shared" si="14"/>
        <v>9.0041358294999974</v>
      </c>
      <c r="AD846" s="39">
        <f t="shared" si="14"/>
        <v>0.95953046915000006</v>
      </c>
      <c r="AE846" s="39">
        <f t="shared" si="14"/>
        <v>1323.46297205</v>
      </c>
      <c r="AF846" s="39">
        <f t="shared" si="14"/>
        <v>857.28809420000005</v>
      </c>
      <c r="AG846" s="39">
        <f t="shared" si="14"/>
        <v>6.4469109020000009E-3</v>
      </c>
      <c r="AH846" s="39">
        <f t="shared" si="14"/>
        <v>85.999217890000011</v>
      </c>
      <c r="AI846" s="39">
        <f t="shared" si="14"/>
        <v>62.459694354999996</v>
      </c>
      <c r="AJ846" s="39">
        <f t="shared" si="14"/>
        <v>64.96796602500001</v>
      </c>
    </row>
    <row r="847" spans="4:70">
      <c r="F847" s="86">
        <f>E837+E838</f>
        <v>18.600000000000001</v>
      </c>
      <c r="I847" s="86">
        <f>I846-I838-I837</f>
        <v>3871.1569999999997</v>
      </c>
    </row>
    <row r="848" spans="4:70">
      <c r="D848" s="49"/>
      <c r="E848" s="49"/>
      <c r="F848" s="49" t="s">
        <v>895</v>
      </c>
      <c r="G848" s="49" t="s">
        <v>1010</v>
      </c>
      <c r="H848" s="8" t="s">
        <v>899</v>
      </c>
      <c r="I848" s="8" t="s">
        <v>900</v>
      </c>
      <c r="J848" s="8" t="s">
        <v>1298</v>
      </c>
      <c r="K848" s="8" t="s">
        <v>1299</v>
      </c>
      <c r="L848" s="8" t="s">
        <v>1300</v>
      </c>
      <c r="M848" s="8" t="s">
        <v>1301</v>
      </c>
      <c r="N848" s="8" t="s">
        <v>1302</v>
      </c>
      <c r="O848" s="8" t="s">
        <v>1435</v>
      </c>
      <c r="P848" s="8" t="s">
        <v>1434</v>
      </c>
      <c r="Q848" s="8" t="s">
        <v>1433</v>
      </c>
      <c r="R848" s="8" t="s">
        <v>1432</v>
      </c>
      <c r="S848" s="8" t="s">
        <v>1431</v>
      </c>
      <c r="T848" s="8" t="s">
        <v>1430</v>
      </c>
      <c r="U848" s="8" t="s">
        <v>1429</v>
      </c>
      <c r="V848" s="8" t="s">
        <v>1428</v>
      </c>
      <c r="W848" s="8" t="s">
        <v>1427</v>
      </c>
      <c r="AU848" s="134"/>
      <c r="AV848" s="134"/>
      <c r="AX848" s="134"/>
      <c r="AY848" s="135"/>
      <c r="AZ848" s="135"/>
      <c r="BA848" s="135"/>
      <c r="BB848" s="135"/>
      <c r="BC848" s="135"/>
      <c r="BD848" s="135"/>
      <c r="BE848" s="135"/>
      <c r="BF848" s="135"/>
      <c r="BG848" s="135"/>
      <c r="BJ848" s="5" t="s">
        <v>895</v>
      </c>
      <c r="BK848" s="5" t="s">
        <v>1194</v>
      </c>
      <c r="BL848" s="5" t="s">
        <v>1525</v>
      </c>
      <c r="BM848" s="5" t="s">
        <v>1245</v>
      </c>
      <c r="BN848" s="5" t="s">
        <v>1487</v>
      </c>
      <c r="BO848" s="134" t="s">
        <v>1483</v>
      </c>
      <c r="BP848" s="134" t="s">
        <v>1484</v>
      </c>
      <c r="BQ848" s="5" t="s">
        <v>1485</v>
      </c>
      <c r="BR848" s="134" t="s">
        <v>1486</v>
      </c>
    </row>
    <row r="849" spans="4:70">
      <c r="D849" s="49" t="s">
        <v>1580</v>
      </c>
      <c r="E849" s="49">
        <f>O877*0.225*O874</f>
        <v>255150</v>
      </c>
      <c r="F849" s="8">
        <f>$E$849*'Parameter Inputs'!F759</f>
        <v>37083.500999999997</v>
      </c>
      <c r="G849" s="8">
        <f>$E$849*'Parameter Inputs'!J759</f>
        <v>6032.7665999999999</v>
      </c>
      <c r="H849" s="8">
        <f>$E$849*'Parameter Inputs'!V759</f>
        <v>112.893669</v>
      </c>
      <c r="I849" s="8">
        <f>$E$849*'Parameter Inputs'!Q759</f>
        <v>759.96427499999993</v>
      </c>
      <c r="J849" s="8">
        <f>$E$849*'Parameter Inputs'!G759</f>
        <v>1198.8988200000001</v>
      </c>
      <c r="K849" s="8">
        <f>$E$849*'Parameter Inputs'!H759</f>
        <v>1634.465385</v>
      </c>
      <c r="L849" s="8">
        <f>$E$849*'Parameter Inputs'!I759</f>
        <v>177502.75199999998</v>
      </c>
      <c r="M849" s="8">
        <f>$E$849*'Parameter Inputs'!M759</f>
        <v>3006.4324500000002</v>
      </c>
      <c r="N849" s="8">
        <f>$E$849*'Parameter Inputs'!N759</f>
        <v>25742.083499999997</v>
      </c>
      <c r="O849" s="8">
        <f>$E$849*'Parameter Inputs'!E759</f>
        <v>89.764321499999994</v>
      </c>
      <c r="P849" s="8">
        <f>$E$849*'Parameter Inputs'!K759</f>
        <v>5.7327101999999996</v>
      </c>
      <c r="Q849" s="8">
        <f>$E$849*'Parameter Inputs'!L759</f>
        <v>0.77509466999999999</v>
      </c>
      <c r="R849" s="8">
        <f>$E$849*'Parameter Inputs'!O759</f>
        <v>601.10788500000001</v>
      </c>
      <c r="S849" s="8">
        <f>$E$849*'Parameter Inputs'!P759</f>
        <v>1660.4651699999999</v>
      </c>
      <c r="T849" s="8">
        <f>$E$849*'Parameter Inputs'!R759</f>
        <v>5.0973866999999996E-3</v>
      </c>
      <c r="U849" s="8">
        <f>$E$849*'Parameter Inputs'!S759</f>
        <v>39.928423499999994</v>
      </c>
      <c r="V849" s="8">
        <f>$E$849*'Parameter Inputs'!T759</f>
        <v>108.1249155</v>
      </c>
      <c r="W849" s="8">
        <f>$E$849*'Parameter Inputs'!U759</f>
        <v>111.1969215</v>
      </c>
      <c r="BJ849" s="113" t="e">
        <f t="shared" ref="BJ849:BJ859" si="15">AP849/AP$862</f>
        <v>#DIV/0!</v>
      </c>
      <c r="BK849" s="113" t="e">
        <f t="shared" ref="BK849:BK859" si="16">AQ849/AQ$862</f>
        <v>#DIV/0!</v>
      </c>
      <c r="BL849" s="113" t="e">
        <f t="shared" ref="BL849:BL859" si="17">AR849/AR$862</f>
        <v>#DIV/0!</v>
      </c>
      <c r="BM849" s="113" t="e">
        <f t="shared" ref="BM849:BM859" si="18">AS849/AS$862</f>
        <v>#DIV/0!</v>
      </c>
      <c r="BN849" s="113" t="e">
        <f t="shared" ref="BN849:BN859" si="19">AT849/AT$862</f>
        <v>#DIV/0!</v>
      </c>
      <c r="BO849" s="113" t="e">
        <f t="shared" ref="BO849:BO859" si="20">AU849/AU$862</f>
        <v>#DIV/0!</v>
      </c>
      <c r="BP849" s="113" t="e">
        <f t="shared" ref="BP849:BP859" si="21">AV849/AV$862</f>
        <v>#DIV/0!</v>
      </c>
      <c r="BQ849" s="113" t="e">
        <f t="shared" ref="BQ849:BQ859" si="22">AW849/AW$862</f>
        <v>#DIV/0!</v>
      </c>
      <c r="BR849" s="113" t="e">
        <f t="shared" ref="BR849:BR859" si="23">AX849/AX$862</f>
        <v>#DIV/0!</v>
      </c>
    </row>
    <row r="850" spans="4:70">
      <c r="D850" s="49" t="s">
        <v>1585</v>
      </c>
      <c r="E850" s="49">
        <f>O875*O876*5.4</f>
        <v>2700</v>
      </c>
      <c r="F850" s="49">
        <f>$E$850*'Parameter Inputs'!F761</f>
        <v>352.02600000000001</v>
      </c>
      <c r="G850" s="49">
        <f>$E$850*'Parameter Inputs'!J761</f>
        <v>277.07400000000001</v>
      </c>
      <c r="H850" s="49">
        <f>$E$850*'Parameter Inputs'!V761</f>
        <v>1.3496759999999999</v>
      </c>
      <c r="I850" s="49">
        <f>$E$850*'Parameter Inputs'!Q761</f>
        <v>4.3086600000000006</v>
      </c>
      <c r="J850" s="49">
        <f>$E$850*'Parameter Inputs'!G761</f>
        <v>7.7363099999999996</v>
      </c>
      <c r="K850" s="49">
        <f>$E$850*'Parameter Inputs'!H761</f>
        <v>11.354039999999999</v>
      </c>
      <c r="L850" s="49">
        <f>$E$850*'Parameter Inputs'!I761</f>
        <v>947.69999999999993</v>
      </c>
      <c r="M850" s="49">
        <f>$E$850*'Parameter Inputs'!M761</f>
        <v>14.48793</v>
      </c>
      <c r="N850" s="49">
        <f>$E$850*'Parameter Inputs'!N761</f>
        <v>272.83499999999998</v>
      </c>
      <c r="O850" s="49">
        <f>$E$850*'Parameter Inputs'!E761</f>
        <v>1.4196330000000001</v>
      </c>
      <c r="P850" s="49">
        <f>$E$850*'Parameter Inputs'!K761</f>
        <v>6.1449299999999998E-2</v>
      </c>
      <c r="Q850" s="49">
        <f>$E$850*'Parameter Inputs'!L761</f>
        <v>2.606472E-2</v>
      </c>
      <c r="R850" s="49">
        <f>$E$850*'Parameter Inputs'!O761</f>
        <v>6.0782400000000001</v>
      </c>
      <c r="S850" s="49">
        <f>$E$850*'Parameter Inputs'!P761</f>
        <v>24.964739999999999</v>
      </c>
      <c r="T850" s="49">
        <f>$E$850*'Parameter Inputs'!R761</f>
        <v>8.6945400000000003E-5</v>
      </c>
      <c r="U850" s="49">
        <f>$E$850*'Parameter Inputs'!S761</f>
        <v>0.55981800000000004</v>
      </c>
      <c r="V850" s="49">
        <f>$E$850*'Parameter Inputs'!T761</f>
        <v>1.2375449999999999</v>
      </c>
      <c r="W850" s="49">
        <f>$E$850*'Parameter Inputs'!U761</f>
        <v>1.4219010000000001</v>
      </c>
      <c r="BJ850" s="113" t="e">
        <f t="shared" si="15"/>
        <v>#DIV/0!</v>
      </c>
      <c r="BK850" s="113" t="e">
        <f t="shared" si="16"/>
        <v>#DIV/0!</v>
      </c>
      <c r="BL850" s="113" t="e">
        <f t="shared" si="17"/>
        <v>#DIV/0!</v>
      </c>
      <c r="BM850" s="113" t="e">
        <f t="shared" si="18"/>
        <v>#DIV/0!</v>
      </c>
      <c r="BN850" s="113" t="e">
        <f t="shared" si="19"/>
        <v>#DIV/0!</v>
      </c>
      <c r="BO850" s="113" t="e">
        <f t="shared" si="20"/>
        <v>#DIV/0!</v>
      </c>
      <c r="BP850" s="113" t="e">
        <f t="shared" si="21"/>
        <v>#DIV/0!</v>
      </c>
      <c r="BQ850" s="113" t="e">
        <f t="shared" si="22"/>
        <v>#DIV/0!</v>
      </c>
      <c r="BR850" s="113" t="e">
        <f t="shared" si="23"/>
        <v>#DIV/0!</v>
      </c>
    </row>
    <row r="851" spans="4:70">
      <c r="D851" s="49" t="s">
        <v>1593</v>
      </c>
      <c r="E851" s="49">
        <f>O875*O876*0.15</f>
        <v>75</v>
      </c>
      <c r="F851" s="49">
        <f>$E$851*'Parameter Inputs'!F757</f>
        <v>75255</v>
      </c>
      <c r="G851" s="49">
        <f>$E$851*'Parameter Inputs'!J757</f>
        <v>16083</v>
      </c>
      <c r="H851" s="49">
        <f>$E$851*'Parameter Inputs'!V757</f>
        <v>454.3725</v>
      </c>
      <c r="I851" s="49">
        <f>$E$851*'Parameter Inputs'!Q757</f>
        <v>4609.3499999999995</v>
      </c>
      <c r="J851" s="49">
        <f>$E$851*'Parameter Inputs'!G757</f>
        <v>2112.9749999999999</v>
      </c>
      <c r="K851" s="49">
        <f>$E$851*'Parameter Inputs'!H757</f>
        <v>2923.4249999999997</v>
      </c>
      <c r="L851" s="49">
        <f>$E$851*'Parameter Inputs'!I757</f>
        <v>180817.5</v>
      </c>
      <c r="M851" s="49">
        <f>$E$851*'Parameter Inputs'!M757</f>
        <v>13017</v>
      </c>
      <c r="N851" s="49">
        <f>$E$851*'Parameter Inputs'!N757</f>
        <v>47110.5</v>
      </c>
      <c r="O851" s="49">
        <f>$E$851*'Parameter Inputs'!E757</f>
        <v>224.1</v>
      </c>
      <c r="P851" s="49">
        <f>$E$851*'Parameter Inputs'!K757</f>
        <v>23.2485</v>
      </c>
      <c r="Q851" s="49">
        <f>$E$851*'Parameter Inputs'!L757</f>
        <v>2.0503499999999999</v>
      </c>
      <c r="R851" s="49">
        <f>$E$851*'Parameter Inputs'!O757</f>
        <v>5078.2499999999991</v>
      </c>
      <c r="S851" s="49">
        <f>$E$851*'Parameter Inputs'!P757</f>
        <v>1594.0500000000002</v>
      </c>
      <c r="T851" s="49">
        <f>$E$851*'Parameter Inputs'!R757</f>
        <v>1.7903249999999999E-2</v>
      </c>
      <c r="U851" s="49">
        <f>$E$851*'Parameter Inputs'!S757</f>
        <v>122.46000000000001</v>
      </c>
      <c r="V851" s="49">
        <f>$E$851*'Parameter Inputs'!T757</f>
        <v>189.80250000000001</v>
      </c>
      <c r="W851" s="49">
        <f>$E$851*'Parameter Inputs'!U757</f>
        <v>196.51500000000001</v>
      </c>
      <c r="BJ851" s="113" t="e">
        <f t="shared" si="15"/>
        <v>#DIV/0!</v>
      </c>
      <c r="BK851" s="113" t="e">
        <f t="shared" si="16"/>
        <v>#DIV/0!</v>
      </c>
      <c r="BL851" s="113" t="e">
        <f t="shared" si="17"/>
        <v>#DIV/0!</v>
      </c>
      <c r="BM851" s="113" t="e">
        <f t="shared" si="18"/>
        <v>#DIV/0!</v>
      </c>
      <c r="BN851" s="113" t="e">
        <f t="shared" si="19"/>
        <v>#DIV/0!</v>
      </c>
      <c r="BO851" s="113" t="e">
        <f t="shared" si="20"/>
        <v>#DIV/0!</v>
      </c>
      <c r="BP851" s="113" t="e">
        <f t="shared" si="21"/>
        <v>#DIV/0!</v>
      </c>
      <c r="BQ851" s="113" t="e">
        <f t="shared" si="22"/>
        <v>#DIV/0!</v>
      </c>
      <c r="BR851" s="113" t="e">
        <f t="shared" si="23"/>
        <v>#DIV/0!</v>
      </c>
    </row>
    <row r="852" spans="4:70">
      <c r="D852" s="49" t="s">
        <v>1588</v>
      </c>
      <c r="E852" s="49">
        <f ca="1">O890</f>
        <v>18.099643089261793</v>
      </c>
      <c r="F852" s="49">
        <f ca="1">$E$852*'Parameter Inputs'!F729</f>
        <v>6076.5931743578622</v>
      </c>
      <c r="G852" s="49">
        <f ca="1">$E$852*'Parameter Inputs'!J729</f>
        <v>794.91822483728868</v>
      </c>
      <c r="H852" s="49">
        <f ca="1">$E$852*'Parameter Inputs'!V729</f>
        <v>11.565128944745609</v>
      </c>
      <c r="I852" s="49">
        <f ca="1">$E$852*'Parameter Inputs'!Q729</f>
        <v>49.19482991661355</v>
      </c>
      <c r="J852" s="49">
        <f ca="1">$E$852*'Parameter Inputs'!G729</f>
        <v>97.555266286812142</v>
      </c>
      <c r="K852" s="49">
        <f ca="1">$E$852*'Parameter Inputs'!H729</f>
        <v>134.10568554126741</v>
      </c>
      <c r="L852" s="49">
        <f ca="1">$E$852*'Parameter Inputs'!I729</f>
        <v>13514.279509028211</v>
      </c>
      <c r="M852" s="49">
        <f ca="1">$E$852*'Parameter Inputs'!M729</f>
        <v>145.28402511319547</v>
      </c>
      <c r="N852" s="49">
        <f ca="1">$E$852*'Parameter Inputs'!N729</f>
        <v>2536.4839825291474</v>
      </c>
      <c r="O852" s="49">
        <f ca="1">$E$852*'Parameter Inputs'!E729</f>
        <v>12.248028478503455</v>
      </c>
      <c r="P852" s="49">
        <f ca="1">$E$852*'Parameter Inputs'!K729</f>
        <v>0.6930534335309233</v>
      </c>
      <c r="Q852" s="49">
        <f ca="1">$E$852*'Parameter Inputs'!L729</f>
        <v>7.1708975955346296E-2</v>
      </c>
      <c r="R852" s="49">
        <f ca="1">$E$852*'Parameter Inputs'!O729</f>
        <v>60.955977996015868</v>
      </c>
      <c r="S852" s="49">
        <f ca="1">$E$852*'Parameter Inputs'!P729</f>
        <v>127.74366099539189</v>
      </c>
      <c r="T852" s="49">
        <f ca="1">$E$852*'Parameter Inputs'!R729</f>
        <v>5.333783821974558E-4</v>
      </c>
      <c r="U852" s="49">
        <f ca="1">$E$852*'Parameter Inputs'!S729</f>
        <v>5.136316715870711</v>
      </c>
      <c r="V852" s="49">
        <f ca="1">$E$852*'Parameter Inputs'!T729</f>
        <v>15.02704767842871</v>
      </c>
      <c r="W852" s="49">
        <f ca="1">$E$852*'Parameter Inputs'!U729</f>
        <v>15.358633139823986</v>
      </c>
      <c r="BJ852" s="113" t="e">
        <f t="shared" si="15"/>
        <v>#DIV/0!</v>
      </c>
      <c r="BK852" s="113" t="e">
        <f t="shared" si="16"/>
        <v>#DIV/0!</v>
      </c>
      <c r="BL852" s="113" t="e">
        <f t="shared" si="17"/>
        <v>#DIV/0!</v>
      </c>
      <c r="BM852" s="113" t="e">
        <f t="shared" si="18"/>
        <v>#DIV/0!</v>
      </c>
      <c r="BN852" s="113" t="e">
        <f t="shared" si="19"/>
        <v>#DIV/0!</v>
      </c>
      <c r="BO852" s="113" t="e">
        <f t="shared" si="20"/>
        <v>#DIV/0!</v>
      </c>
      <c r="BP852" s="113" t="e">
        <f t="shared" si="21"/>
        <v>#DIV/0!</v>
      </c>
      <c r="BQ852" s="113" t="e">
        <f t="shared" si="22"/>
        <v>#DIV/0!</v>
      </c>
      <c r="BR852" s="113" t="e">
        <f t="shared" si="23"/>
        <v>#DIV/0!</v>
      </c>
    </row>
    <row r="853" spans="4:70">
      <c r="D853" s="49" t="s">
        <v>1589</v>
      </c>
      <c r="E853" s="49">
        <f ca="1">E852*0.01*8000</f>
        <v>1447.9714471409436</v>
      </c>
      <c r="F853" s="49">
        <f ca="1">$E$853*'Parameter Inputs'!F753</f>
        <v>3056.3781306251035</v>
      </c>
      <c r="G853" s="49">
        <f ca="1">$E$853*'Parameter Inputs'!J753</f>
        <v>702.03447643181505</v>
      </c>
      <c r="H853" s="49">
        <f ca="1">$E$853*'Parameter Inputs'!V753</f>
        <v>31.060435512620383</v>
      </c>
      <c r="I853" s="49">
        <f ca="1">$E$853*'Parameter Inputs'!Q753</f>
        <v>1023.4551782681617</v>
      </c>
      <c r="J853" s="49">
        <f ca="1">$E$853*'Parameter Inputs'!G753</f>
        <v>215.87806305424328</v>
      </c>
      <c r="K853" s="49">
        <f ca="1">$E$853*'Parameter Inputs'!H753</f>
        <v>303.30657903261346</v>
      </c>
      <c r="L853" s="49">
        <f ca="1">$E$853*'Parameter Inputs'!I753</f>
        <v>10424.091245112366</v>
      </c>
      <c r="M853" s="49">
        <f ca="1">$E$853*'Parameter Inputs'!M753</f>
        <v>2578.1131616344501</v>
      </c>
      <c r="N853" s="49">
        <f ca="1">$E$853*'Parameter Inputs'!N753</f>
        <v>2626.0410165348153</v>
      </c>
      <c r="O853" s="49">
        <f ca="1">$E$853*'Parameter Inputs'!E753</f>
        <v>7.9694900479190398</v>
      </c>
      <c r="P853" s="49">
        <f ca="1">$E$853*'Parameter Inputs'!K753</f>
        <v>1.398117790215881</v>
      </c>
      <c r="Q853" s="49">
        <f ca="1">$E$853*'Parameter Inputs'!L753</f>
        <v>0.14310881000672801</v>
      </c>
      <c r="R853" s="49">
        <f ca="1">$E$853*'Parameter Inputs'!O753</f>
        <v>102.28615099748339</v>
      </c>
      <c r="S853" s="49">
        <f ca="1">$E$853*'Parameter Inputs'!P753</f>
        <v>50.983074653832624</v>
      </c>
      <c r="T853" s="49">
        <f ca="1">$E$853*'Parameter Inputs'!R753</f>
        <v>4.7367489950321686E-4</v>
      </c>
      <c r="U853" s="49">
        <f ca="1">$E$853*'Parameter Inputs'!S753</f>
        <v>5.2543987873850568</v>
      </c>
      <c r="V853" s="49">
        <f ca="1">$E$853*'Parameter Inputs'!T753</f>
        <v>7.7200045675766544</v>
      </c>
      <c r="W853" s="49">
        <f ca="1">$E$853*'Parameter Inputs'!U753</f>
        <v>8.3814379246306387</v>
      </c>
      <c r="BJ853" s="113" t="e">
        <f t="shared" si="15"/>
        <v>#DIV/0!</v>
      </c>
      <c r="BK853" s="113" t="e">
        <f t="shared" si="16"/>
        <v>#DIV/0!</v>
      </c>
      <c r="BL853" s="113" t="e">
        <f t="shared" si="17"/>
        <v>#DIV/0!</v>
      </c>
      <c r="BM853" s="113" t="e">
        <f t="shared" si="18"/>
        <v>#DIV/0!</v>
      </c>
      <c r="BN853" s="113" t="e">
        <f t="shared" si="19"/>
        <v>#DIV/0!</v>
      </c>
      <c r="BO853" s="113" t="e">
        <f t="shared" si="20"/>
        <v>#DIV/0!</v>
      </c>
      <c r="BP853" s="113" t="e">
        <f t="shared" si="21"/>
        <v>#DIV/0!</v>
      </c>
      <c r="BQ853" s="113" t="e">
        <f t="shared" si="22"/>
        <v>#DIV/0!</v>
      </c>
      <c r="BR853" s="113" t="e">
        <f t="shared" si="23"/>
        <v>#DIV/0!</v>
      </c>
    </row>
    <row r="854" spans="4:70">
      <c r="D854" s="49" t="s">
        <v>1584</v>
      </c>
      <c r="E854" s="49">
        <f ca="1">E885*5+G885+I885+K885+M885+O890</f>
        <v>381.79030758757557</v>
      </c>
      <c r="F854" s="49">
        <f ca="1">$E$854*'Parameter Inputs'!F755</f>
        <v>226.50091787940508</v>
      </c>
      <c r="G854" s="49">
        <f ca="1">$E$854*'Parameter Inputs'!J755</f>
        <v>66.114627564940463</v>
      </c>
      <c r="H854" s="49">
        <f ca="1">$E$854*'Parameter Inputs'!V755</f>
        <v>0.24077223957702867</v>
      </c>
      <c r="I854" s="49">
        <f ca="1">$E$854*'Parameter Inputs'!Q755</f>
        <v>4.847591535439447</v>
      </c>
      <c r="J854" s="49">
        <f ca="1">$E$854*'Parameter Inputs'!G755</f>
        <v>1.4851642965156688</v>
      </c>
      <c r="K854" s="49">
        <f ca="1">$E$854*'Parameter Inputs'!H755</f>
        <v>2.2798990007899662</v>
      </c>
      <c r="L854" s="49">
        <f ca="1">$E$854*'Parameter Inputs'!I755</f>
        <v>268.05497495723677</v>
      </c>
      <c r="M854" s="49">
        <f ca="1">$E$854*'Parameter Inputs'!M755</f>
        <v>14.258722617473184</v>
      </c>
      <c r="N854" s="49">
        <f ca="1">$E$854*'Parameter Inputs'!N755</f>
        <v>27.914598339265588</v>
      </c>
      <c r="O854" s="49">
        <f ca="1">$E$854*'Parameter Inputs'!E755</f>
        <v>1.0235798146422901</v>
      </c>
      <c r="P854" s="49">
        <f ca="1">$E$854*'Parameter Inputs'!K755</f>
        <v>1.0406840204222135E-2</v>
      </c>
      <c r="Q854" s="49">
        <f ca="1">$E$854*'Parameter Inputs'!L755</f>
        <v>5.6539326650644067E-3</v>
      </c>
      <c r="R854" s="49">
        <f ca="1">$E$854*'Parameter Inputs'!O755</f>
        <v>2.0162727934007454</v>
      </c>
      <c r="S854" s="49">
        <f ca="1">$E$854*'Parameter Inputs'!P755</f>
        <v>0.71944565561802742</v>
      </c>
      <c r="T854" s="49">
        <f ca="1">$E$854*'Parameter Inputs'!R755</f>
        <v>8.118007310234619E-5</v>
      </c>
      <c r="U854" s="49">
        <f ca="1">$E$854*'Parameter Inputs'!S755</f>
        <v>0.53492639996095215</v>
      </c>
      <c r="V854" s="49">
        <f ca="1">$E$854*'Parameter Inputs'!T755</f>
        <v>2.4258956144114552</v>
      </c>
      <c r="W854" s="49">
        <f ca="1">$E$854*'Parameter Inputs'!U755</f>
        <v>2.4930525295161097</v>
      </c>
      <c r="AP854" s="86"/>
      <c r="AQ854" s="86"/>
      <c r="AR854" s="86"/>
      <c r="AS854" s="86"/>
      <c r="AT854" s="86"/>
      <c r="AU854" s="86"/>
      <c r="AV854" s="86"/>
      <c r="AW854" s="86"/>
      <c r="AX854" s="86"/>
      <c r="AY854" s="86"/>
      <c r="AZ854" s="86"/>
      <c r="BA854" s="86"/>
      <c r="BB854" s="86"/>
      <c r="BC854" s="86"/>
      <c r="BD854" s="86"/>
      <c r="BE854" s="86"/>
      <c r="BF854" s="86"/>
      <c r="BG854" s="86"/>
      <c r="BJ854" s="113" t="e">
        <f t="shared" si="15"/>
        <v>#DIV/0!</v>
      </c>
      <c r="BK854" s="113" t="e">
        <f t="shared" si="16"/>
        <v>#DIV/0!</v>
      </c>
      <c r="BL854" s="113" t="e">
        <f t="shared" si="17"/>
        <v>#DIV/0!</v>
      </c>
      <c r="BM854" s="113" t="e">
        <f t="shared" si="18"/>
        <v>#DIV/0!</v>
      </c>
      <c r="BN854" s="113" t="e">
        <f t="shared" si="19"/>
        <v>#DIV/0!</v>
      </c>
      <c r="BO854" s="113" t="e">
        <f t="shared" si="20"/>
        <v>#DIV/0!</v>
      </c>
      <c r="BP854" s="113" t="e">
        <f t="shared" si="21"/>
        <v>#DIV/0!</v>
      </c>
      <c r="BQ854" s="113" t="e">
        <f t="shared" si="22"/>
        <v>#DIV/0!</v>
      </c>
      <c r="BR854" s="113" t="e">
        <f t="shared" si="23"/>
        <v>#DIV/0!</v>
      </c>
    </row>
    <row r="855" spans="4:70">
      <c r="F855" s="5">
        <f ca="1">SUM(F849:F854)</f>
        <v>122049.99922286237</v>
      </c>
      <c r="G855" s="5">
        <f t="shared" ref="G855:W855" ca="1" si="24">SUM(G849:G854)</f>
        <v>23955.907928834044</v>
      </c>
      <c r="H855" s="5">
        <f t="shared" ca="1" si="24"/>
        <v>611.48218169694314</v>
      </c>
      <c r="I855" s="5">
        <f t="shared" ca="1" si="24"/>
        <v>6451.120534720214</v>
      </c>
      <c r="J855" s="5">
        <f t="shared" ca="1" si="24"/>
        <v>3634.5286236375709</v>
      </c>
      <c r="K855" s="5">
        <f t="shared" ca="1" si="24"/>
        <v>5008.9365885746702</v>
      </c>
      <c r="L855" s="5">
        <f t="shared" ca="1" si="24"/>
        <v>383474.37772909779</v>
      </c>
      <c r="M855" s="5">
        <f t="shared" ca="1" si="24"/>
        <v>18775.576289365119</v>
      </c>
      <c r="N855" s="5">
        <f t="shared" ca="1" si="24"/>
        <v>78315.858097403223</v>
      </c>
      <c r="O855" s="5">
        <f t="shared" ca="1" si="24"/>
        <v>336.52505284106479</v>
      </c>
      <c r="P855" s="5">
        <f t="shared" ca="1" si="24"/>
        <v>31.144237563951027</v>
      </c>
      <c r="Q855" s="5">
        <f t="shared" ca="1" si="24"/>
        <v>3.0719811086271389</v>
      </c>
      <c r="R855" s="5">
        <f t="shared" ca="1" si="24"/>
        <v>5850.6945267868996</v>
      </c>
      <c r="S855" s="5">
        <f t="shared" ca="1" si="24"/>
        <v>3458.9260913048429</v>
      </c>
      <c r="T855" s="5">
        <f t="shared" ca="1" si="24"/>
        <v>2.4175815454803014E-2</v>
      </c>
      <c r="U855" s="5">
        <f t="shared" ca="1" si="24"/>
        <v>173.87388340321672</v>
      </c>
      <c r="V855" s="5">
        <f t="shared" ca="1" si="24"/>
        <v>324.3379083604168</v>
      </c>
      <c r="W855" s="5">
        <f t="shared" ca="1" si="24"/>
        <v>335.36694609397074</v>
      </c>
      <c r="BJ855" s="113" t="e">
        <f t="shared" si="15"/>
        <v>#DIV/0!</v>
      </c>
      <c r="BK855" s="113" t="e">
        <f t="shared" si="16"/>
        <v>#DIV/0!</v>
      </c>
      <c r="BL855" s="113" t="e">
        <f t="shared" si="17"/>
        <v>#DIV/0!</v>
      </c>
      <c r="BM855" s="113" t="e">
        <f t="shared" si="18"/>
        <v>#DIV/0!</v>
      </c>
      <c r="BN855" s="113" t="e">
        <f t="shared" si="19"/>
        <v>#DIV/0!</v>
      </c>
      <c r="BO855" s="113" t="e">
        <f t="shared" si="20"/>
        <v>#DIV/0!</v>
      </c>
      <c r="BP855" s="113" t="e">
        <f t="shared" si="21"/>
        <v>#DIV/0!</v>
      </c>
      <c r="BQ855" s="113" t="e">
        <f t="shared" si="22"/>
        <v>#DIV/0!</v>
      </c>
      <c r="BR855" s="113" t="e">
        <f t="shared" si="23"/>
        <v>#DIV/0!</v>
      </c>
    </row>
    <row r="856" spans="4:70">
      <c r="BJ856" s="113" t="e">
        <f t="shared" si="15"/>
        <v>#DIV/0!</v>
      </c>
      <c r="BK856" s="113" t="e">
        <f t="shared" si="16"/>
        <v>#DIV/0!</v>
      </c>
      <c r="BL856" s="113" t="e">
        <f t="shared" si="17"/>
        <v>#DIV/0!</v>
      </c>
      <c r="BM856" s="113" t="e">
        <f t="shared" si="18"/>
        <v>#DIV/0!</v>
      </c>
      <c r="BN856" s="113" t="e">
        <f t="shared" si="19"/>
        <v>#DIV/0!</v>
      </c>
      <c r="BO856" s="113" t="e">
        <f t="shared" si="20"/>
        <v>#DIV/0!</v>
      </c>
      <c r="BP856" s="113" t="e">
        <f t="shared" si="21"/>
        <v>#DIV/0!</v>
      </c>
      <c r="BQ856" s="113" t="e">
        <f t="shared" si="22"/>
        <v>#DIV/0!</v>
      </c>
      <c r="BR856" s="113" t="e">
        <f t="shared" si="23"/>
        <v>#DIV/0!</v>
      </c>
    </row>
    <row r="857" spans="4:70">
      <c r="D857" s="8"/>
      <c r="E857" s="8" t="s">
        <v>1435</v>
      </c>
      <c r="F857" s="49" t="s">
        <v>895</v>
      </c>
      <c r="G857" s="8" t="s">
        <v>1298</v>
      </c>
      <c r="H857" s="8" t="s">
        <v>1299</v>
      </c>
      <c r="I857" s="8" t="s">
        <v>1300</v>
      </c>
      <c r="J857" s="49" t="s">
        <v>1010</v>
      </c>
      <c r="K857" s="8" t="s">
        <v>1434</v>
      </c>
      <c r="L857" s="8" t="s">
        <v>1433</v>
      </c>
      <c r="M857" s="8" t="s">
        <v>1301</v>
      </c>
      <c r="N857" s="8" t="s">
        <v>1302</v>
      </c>
      <c r="O857" s="8" t="s">
        <v>1432</v>
      </c>
      <c r="P857" s="8" t="s">
        <v>1431</v>
      </c>
      <c r="Q857" s="8" t="s">
        <v>900</v>
      </c>
      <c r="R857" s="8" t="s">
        <v>1430</v>
      </c>
      <c r="S857" s="8" t="s">
        <v>1429</v>
      </c>
      <c r="T857" s="8" t="s">
        <v>1428</v>
      </c>
      <c r="U857" s="8" t="s">
        <v>1427</v>
      </c>
      <c r="V857" s="8" t="s">
        <v>899</v>
      </c>
      <c r="BJ857" s="113" t="e">
        <f t="shared" si="15"/>
        <v>#DIV/0!</v>
      </c>
      <c r="BK857" s="113" t="e">
        <f t="shared" si="16"/>
        <v>#DIV/0!</v>
      </c>
      <c r="BL857" s="113" t="e">
        <f t="shared" si="17"/>
        <v>#DIV/0!</v>
      </c>
      <c r="BM857" s="113" t="e">
        <f t="shared" si="18"/>
        <v>#DIV/0!</v>
      </c>
      <c r="BN857" s="113" t="e">
        <f t="shared" si="19"/>
        <v>#DIV/0!</v>
      </c>
      <c r="BO857" s="113" t="e">
        <f t="shared" si="20"/>
        <v>#DIV/0!</v>
      </c>
      <c r="BP857" s="113" t="e">
        <f t="shared" si="21"/>
        <v>#DIV/0!</v>
      </c>
      <c r="BQ857" s="113" t="e">
        <f t="shared" si="22"/>
        <v>#DIV/0!</v>
      </c>
      <c r="BR857" s="113" t="e">
        <f t="shared" si="23"/>
        <v>#DIV/0!</v>
      </c>
    </row>
    <row r="858" spans="4:70">
      <c r="D858" s="8" t="s">
        <v>1622</v>
      </c>
      <c r="E858" s="82">
        <f ca="1">AI791+V800+V803+V806+V813+T827+AB846+O855</f>
        <v>4042.6058962916418</v>
      </c>
      <c r="F858" s="82">
        <f ca="1">Z791+M800+M803+M806+M813+K827+S846+F855</f>
        <v>1477004.4501031288</v>
      </c>
      <c r="G858" s="82">
        <f ca="1">AD791+Q800+Q803+Q806+Q813+O827+W846+J855</f>
        <v>80724.29952040677</v>
      </c>
      <c r="H858" s="82">
        <f ca="1">AE791+R800+R803+R806+R813+P827+X846+K855</f>
        <v>114156.92056823359</v>
      </c>
      <c r="I858" s="82">
        <f ca="1">AF791+S800+S803+S806+S813+Q827+Y846+L855</f>
        <v>16683981.061252657</v>
      </c>
      <c r="J858" s="82">
        <f ca="1">AA791+N800+N803+N806+N813+L827+T846+G855</f>
        <v>290739.43471397442</v>
      </c>
      <c r="K858" s="82">
        <f ca="1">AJ791+W800+W803+W806+W813+U827+AC846+P855</f>
        <v>421.91130973230054</v>
      </c>
      <c r="L858" s="82">
        <f ca="1">AK791+X800+X803+X806+X813+V827+AD846+Q855</f>
        <v>57.865789888896643</v>
      </c>
      <c r="M858" s="82">
        <f ca="1">AG791+T800+T803+T806+T813+R827+Z846+M855</f>
        <v>1029859.0655990267</v>
      </c>
      <c r="N858" s="82">
        <f ca="1">AH791+U800+U803+U806+U813+S827+AA846+N855</f>
        <v>1319191.4377961187</v>
      </c>
      <c r="O858" s="82">
        <f ca="1">AL791+Y800+Y803+Y806+Y813+W827+AE846+R855</f>
        <v>74652.273540961425</v>
      </c>
      <c r="P858" s="82">
        <f ca="1">AM791+Z800+Z803+Z806+Z813+X827+AF846+S855</f>
        <v>37615.843306461524</v>
      </c>
      <c r="Q858" s="82">
        <f ca="1">AC791+P800+P803+P806+P813+N827+V846+I855</f>
        <v>156276.92031916283</v>
      </c>
      <c r="R858" s="82">
        <f ca="1">AN791+AA800+AA803+AA806+AA813+Y827+AG846+T855</f>
        <v>0.32498510418185911</v>
      </c>
      <c r="S858" s="82">
        <f ca="1">AO791+AB800+AB803+AB806+AB813+Z827+AH846+U855</f>
        <v>2723.1685522985881</v>
      </c>
      <c r="T858" s="82">
        <f ca="1">AP791+AC800+AC803+AC806+AC813+AA827+AI846+V855</f>
        <v>3584.764135043582</v>
      </c>
      <c r="U858" s="82">
        <f ca="1">AQ791+AD800+AD803+AD806+AD813+AB827+AJ846+W855</f>
        <v>3746.0121060911379</v>
      </c>
      <c r="V858" s="82">
        <f ca="1">AB791+O800+O803+O806+O813+M827+U846+H855</f>
        <v>8879.1545704108848</v>
      </c>
      <c r="AP858" s="86"/>
      <c r="AQ858" s="86"/>
      <c r="AR858" s="86"/>
      <c r="AS858" s="86"/>
      <c r="AT858" s="86"/>
      <c r="AU858" s="86"/>
      <c r="AV858" s="86"/>
      <c r="AW858" s="86"/>
      <c r="AX858" s="86"/>
      <c r="AY858" s="86"/>
      <c r="AZ858" s="86"/>
      <c r="BA858" s="86"/>
      <c r="BB858" s="86"/>
      <c r="BC858" s="86"/>
      <c r="BD858" s="86"/>
      <c r="BE858" s="86"/>
      <c r="BF858" s="86"/>
      <c r="BG858" s="86"/>
      <c r="BJ858" s="113" t="e">
        <f t="shared" si="15"/>
        <v>#DIV/0!</v>
      </c>
      <c r="BK858" s="113" t="e">
        <f t="shared" si="16"/>
        <v>#DIV/0!</v>
      </c>
      <c r="BL858" s="113" t="e">
        <f t="shared" si="17"/>
        <v>#DIV/0!</v>
      </c>
      <c r="BM858" s="113" t="e">
        <f t="shared" si="18"/>
        <v>#DIV/0!</v>
      </c>
      <c r="BN858" s="113" t="e">
        <f t="shared" si="19"/>
        <v>#DIV/0!</v>
      </c>
      <c r="BO858" s="113" t="e">
        <f t="shared" si="20"/>
        <v>#DIV/0!</v>
      </c>
      <c r="BP858" s="113" t="e">
        <f t="shared" si="21"/>
        <v>#DIV/0!</v>
      </c>
      <c r="BQ858" s="113" t="e">
        <f t="shared" si="22"/>
        <v>#DIV/0!</v>
      </c>
      <c r="BR858" s="113" t="e">
        <f t="shared" si="23"/>
        <v>#DIV/0!</v>
      </c>
    </row>
    <row r="859" spans="4:70">
      <c r="D859" s="8" t="s">
        <v>1623</v>
      </c>
      <c r="E859" s="8">
        <f t="shared" ref="E859:V859" ca="1" si="25">E858/20</f>
        <v>202.1302948145821</v>
      </c>
      <c r="F859" s="8">
        <f t="shared" ca="1" si="25"/>
        <v>73850.222505156446</v>
      </c>
      <c r="G859" s="8">
        <f t="shared" ca="1" si="25"/>
        <v>4036.2149760203383</v>
      </c>
      <c r="H859" s="8">
        <f t="shared" ca="1" si="25"/>
        <v>5707.8460284116791</v>
      </c>
      <c r="I859" s="8">
        <f t="shared" ca="1" si="25"/>
        <v>834199.05306263291</v>
      </c>
      <c r="J859" s="8">
        <f t="shared" ca="1" si="25"/>
        <v>14536.97173569872</v>
      </c>
      <c r="K859" s="8">
        <f t="shared" ca="1" si="25"/>
        <v>21.095565486615026</v>
      </c>
      <c r="L859" s="8">
        <f t="shared" ca="1" si="25"/>
        <v>2.893289494444832</v>
      </c>
      <c r="M859" s="8">
        <f t="shared" ca="1" si="25"/>
        <v>51492.95327995134</v>
      </c>
      <c r="N859" s="8">
        <f t="shared" ca="1" si="25"/>
        <v>65959.571889805928</v>
      </c>
      <c r="O859" s="8">
        <f t="shared" ca="1" si="25"/>
        <v>3732.6136770480712</v>
      </c>
      <c r="P859" s="8">
        <f t="shared" ca="1" si="25"/>
        <v>1880.7921653230762</v>
      </c>
      <c r="Q859" s="8">
        <f t="shared" ca="1" si="25"/>
        <v>7813.8460159581418</v>
      </c>
      <c r="R859" s="8">
        <f t="shared" ca="1" si="25"/>
        <v>1.6249255209092955E-2</v>
      </c>
      <c r="S859" s="8">
        <f t="shared" ca="1" si="25"/>
        <v>136.15842761492939</v>
      </c>
      <c r="T859" s="8">
        <f t="shared" ca="1" si="25"/>
        <v>179.23820675217911</v>
      </c>
      <c r="U859" s="8">
        <f t="shared" ca="1" si="25"/>
        <v>187.30060530455688</v>
      </c>
      <c r="V859" s="8">
        <f t="shared" ca="1" si="25"/>
        <v>443.95772852054426</v>
      </c>
      <c r="AP859" s="87"/>
      <c r="AQ859" s="87"/>
      <c r="AR859" s="87"/>
      <c r="AS859" s="87"/>
      <c r="AT859" s="87"/>
      <c r="AU859" s="87"/>
      <c r="AV859" s="87"/>
      <c r="AW859" s="87"/>
      <c r="AX859" s="87"/>
      <c r="AY859" s="87"/>
      <c r="AZ859" s="87"/>
      <c r="BA859" s="87"/>
      <c r="BB859" s="87"/>
      <c r="BC859" s="87"/>
      <c r="BD859" s="87"/>
      <c r="BE859" s="87"/>
      <c r="BF859" s="87"/>
      <c r="BG859" s="87"/>
      <c r="BJ859" s="113" t="e">
        <f t="shared" si="15"/>
        <v>#DIV/0!</v>
      </c>
      <c r="BK859" s="113" t="e">
        <f t="shared" si="16"/>
        <v>#DIV/0!</v>
      </c>
      <c r="BL859" s="113" t="e">
        <f t="shared" si="17"/>
        <v>#DIV/0!</v>
      </c>
      <c r="BM859" s="113" t="e">
        <f t="shared" si="18"/>
        <v>#DIV/0!</v>
      </c>
      <c r="BN859" s="113" t="e">
        <f t="shared" si="19"/>
        <v>#DIV/0!</v>
      </c>
      <c r="BO859" s="113" t="e">
        <f t="shared" si="20"/>
        <v>#DIV/0!</v>
      </c>
      <c r="BP859" s="113" t="e">
        <f t="shared" si="21"/>
        <v>#DIV/0!</v>
      </c>
      <c r="BQ859" s="113" t="e">
        <f t="shared" si="22"/>
        <v>#DIV/0!</v>
      </c>
      <c r="BR859" s="113" t="e">
        <f t="shared" si="23"/>
        <v>#DIV/0!</v>
      </c>
    </row>
    <row r="860" spans="4:70">
      <c r="AP860" s="86"/>
      <c r="AQ860" s="86"/>
      <c r="AR860" s="86"/>
      <c r="AS860" s="86"/>
      <c r="AT860" s="86"/>
      <c r="AU860" s="86"/>
      <c r="AV860" s="86"/>
      <c r="AW860" s="86"/>
      <c r="AX860" s="86"/>
      <c r="AY860" s="86"/>
      <c r="AZ860" s="86"/>
      <c r="BA860" s="86"/>
      <c r="BB860" s="86"/>
      <c r="BC860" s="86"/>
      <c r="BD860" s="86"/>
      <c r="BE860" s="86"/>
      <c r="BF860" s="86"/>
      <c r="BG860" s="86"/>
      <c r="BJ860" s="113" t="e">
        <f>AP860/AP$862</f>
        <v>#DIV/0!</v>
      </c>
      <c r="BK860" s="113" t="e">
        <f t="shared" ref="BK860:BR861" si="26">AQ860/AQ$862</f>
        <v>#DIV/0!</v>
      </c>
      <c r="BL860" s="113" t="e">
        <f t="shared" si="26"/>
        <v>#DIV/0!</v>
      </c>
      <c r="BM860" s="113" t="e">
        <f t="shared" si="26"/>
        <v>#DIV/0!</v>
      </c>
      <c r="BN860" s="113" t="e">
        <f t="shared" si="26"/>
        <v>#DIV/0!</v>
      </c>
      <c r="BO860" s="113" t="e">
        <f t="shared" si="26"/>
        <v>#DIV/0!</v>
      </c>
      <c r="BP860" s="113" t="e">
        <f t="shared" si="26"/>
        <v>#DIV/0!</v>
      </c>
      <c r="BQ860" s="113" t="e">
        <f t="shared" si="26"/>
        <v>#DIV/0!</v>
      </c>
      <c r="BR860" s="113" t="e">
        <f t="shared" si="26"/>
        <v>#DIV/0!</v>
      </c>
    </row>
    <row r="861" spans="4:70">
      <c r="D861" s="5" t="s">
        <v>1052</v>
      </c>
      <c r="BJ861" s="113" t="e">
        <f>AP861/AP$862</f>
        <v>#DIV/0!</v>
      </c>
      <c r="BK861" s="113" t="e">
        <f t="shared" si="26"/>
        <v>#DIV/0!</v>
      </c>
      <c r="BL861" s="113" t="e">
        <f t="shared" si="26"/>
        <v>#DIV/0!</v>
      </c>
      <c r="BM861" s="113" t="e">
        <f t="shared" si="26"/>
        <v>#DIV/0!</v>
      </c>
      <c r="BN861" s="113" t="e">
        <f t="shared" si="26"/>
        <v>#DIV/0!</v>
      </c>
      <c r="BO861" s="113" t="e">
        <f t="shared" si="26"/>
        <v>#DIV/0!</v>
      </c>
      <c r="BP861" s="113" t="e">
        <f t="shared" si="26"/>
        <v>#DIV/0!</v>
      </c>
      <c r="BQ861" s="113" t="e">
        <f t="shared" si="26"/>
        <v>#DIV/0!</v>
      </c>
      <c r="BR861" s="113" t="e">
        <f t="shared" si="26"/>
        <v>#DIV/0!</v>
      </c>
    </row>
    <row r="862" spans="4:70" ht="26">
      <c r="D862" s="326" t="s">
        <v>1036</v>
      </c>
      <c r="E862" s="326"/>
      <c r="F862" s="326" t="s">
        <v>1037</v>
      </c>
      <c r="G862" s="326"/>
      <c r="H862" s="326" t="s">
        <v>1038</v>
      </c>
      <c r="I862" s="326"/>
      <c r="J862" s="326" t="s">
        <v>1039</v>
      </c>
      <c r="K862" s="326"/>
      <c r="L862" s="326"/>
      <c r="M862" s="326" t="s">
        <v>1040</v>
      </c>
      <c r="N862" s="326"/>
      <c r="O862" s="326"/>
      <c r="P862" s="326" t="s">
        <v>378</v>
      </c>
      <c r="Q862" s="326"/>
      <c r="R862" s="326" t="s">
        <v>1041</v>
      </c>
      <c r="S862" s="326"/>
      <c r="T862" s="136" t="s">
        <v>1042</v>
      </c>
      <c r="U862" s="136"/>
      <c r="V862" s="136"/>
      <c r="W862" s="136"/>
      <c r="X862" s="136"/>
    </row>
    <row r="863" spans="4:70" ht="28">
      <c r="D863" s="136" t="s">
        <v>1043</v>
      </c>
      <c r="E863" s="136" t="s">
        <v>1044</v>
      </c>
      <c r="F863" s="136" t="s">
        <v>1045</v>
      </c>
      <c r="G863" s="136" t="s">
        <v>1046</v>
      </c>
      <c r="H863" s="136" t="s">
        <v>1045</v>
      </c>
      <c r="I863" s="136" t="s">
        <v>1046</v>
      </c>
      <c r="J863" s="136" t="s">
        <v>1045</v>
      </c>
      <c r="K863" s="136" t="s">
        <v>1046</v>
      </c>
      <c r="L863" s="136" t="s">
        <v>1047</v>
      </c>
      <c r="M863" s="136" t="s">
        <v>1053</v>
      </c>
      <c r="N863" s="136" t="s">
        <v>1054</v>
      </c>
      <c r="O863" s="136" t="s">
        <v>1055</v>
      </c>
      <c r="P863" s="136" t="s">
        <v>1048</v>
      </c>
      <c r="Q863" s="136" t="s">
        <v>1049</v>
      </c>
      <c r="R863" s="136" t="s">
        <v>1050</v>
      </c>
      <c r="S863" s="136" t="s">
        <v>1051</v>
      </c>
      <c r="T863" s="136" t="s">
        <v>1056</v>
      </c>
      <c r="U863" s="136"/>
      <c r="V863" s="136"/>
      <c r="W863" s="136"/>
      <c r="X863" s="136"/>
    </row>
    <row r="864" spans="4:70">
      <c r="D864" s="137"/>
      <c r="E864" s="137"/>
      <c r="F864" s="137"/>
      <c r="G864" s="137"/>
      <c r="H864" s="137"/>
      <c r="I864" s="137"/>
      <c r="J864" s="137"/>
      <c r="K864" s="137"/>
      <c r="L864" s="137"/>
      <c r="M864" s="137"/>
      <c r="N864" s="137"/>
      <c r="O864" s="137"/>
      <c r="P864" s="137"/>
      <c r="Q864" s="137"/>
      <c r="R864" s="137"/>
      <c r="S864" s="137"/>
      <c r="T864" s="138"/>
      <c r="U864" s="138"/>
      <c r="V864" s="138"/>
      <c r="W864" s="138"/>
      <c r="X864" s="138"/>
    </row>
    <row r="865" spans="4:24">
      <c r="D865" s="8" t="s">
        <v>1548</v>
      </c>
      <c r="E865" s="8" t="s">
        <v>1527</v>
      </c>
      <c r="F865" s="137"/>
      <c r="G865" s="137"/>
      <c r="H865" s="137"/>
      <c r="I865" s="137"/>
      <c r="J865" s="137"/>
      <c r="K865" s="137"/>
      <c r="L865" s="137"/>
      <c r="M865" s="137"/>
      <c r="N865" s="137"/>
      <c r="O865" s="137"/>
      <c r="P865" s="137"/>
      <c r="Q865" s="137"/>
      <c r="R865" s="137"/>
      <c r="S865" s="137"/>
      <c r="T865" s="138"/>
      <c r="U865" s="138"/>
      <c r="V865" s="138"/>
      <c r="W865" s="138"/>
      <c r="X865" s="138"/>
    </row>
    <row r="866" spans="4:24">
      <c r="D866" s="8" t="s">
        <v>1549</v>
      </c>
      <c r="E866" s="8" t="s">
        <v>1528</v>
      </c>
      <c r="F866" s="137"/>
      <c r="G866" s="137"/>
      <c r="H866" s="137"/>
      <c r="I866" s="137"/>
      <c r="J866" s="137"/>
      <c r="K866" s="137"/>
      <c r="L866" s="137"/>
      <c r="M866" s="137"/>
      <c r="N866" s="137"/>
      <c r="O866" s="137"/>
      <c r="P866" s="137"/>
      <c r="Q866" s="137"/>
      <c r="R866" s="137"/>
      <c r="S866" s="137"/>
      <c r="T866" s="138"/>
      <c r="U866" s="138"/>
      <c r="V866" s="138"/>
      <c r="W866" s="138"/>
      <c r="X866" s="138"/>
    </row>
    <row r="867" spans="4:24">
      <c r="D867" s="8" t="s">
        <v>1536</v>
      </c>
      <c r="E867" s="8">
        <v>100</v>
      </c>
      <c r="F867" s="137"/>
      <c r="G867" s="137"/>
      <c r="H867" s="137"/>
      <c r="I867" s="137"/>
      <c r="J867" s="137"/>
      <c r="K867" s="137"/>
      <c r="L867" s="137"/>
      <c r="M867" s="137"/>
      <c r="N867" s="137"/>
      <c r="O867" s="91"/>
      <c r="P867" s="91"/>
      <c r="U867" s="138"/>
      <c r="V867" s="138"/>
      <c r="W867" s="138"/>
      <c r="X867" s="138"/>
    </row>
    <row r="868" spans="4:24">
      <c r="D868" s="8" t="s">
        <v>1530</v>
      </c>
      <c r="E868" s="139">
        <f>E867*101.97</f>
        <v>10197</v>
      </c>
      <c r="F868" s="137"/>
      <c r="G868" s="137"/>
      <c r="H868" s="137"/>
      <c r="I868" s="137"/>
      <c r="J868" s="137"/>
      <c r="K868" s="137"/>
      <c r="L868" s="137"/>
      <c r="M868" s="137"/>
      <c r="N868" s="137"/>
      <c r="O868" s="137"/>
      <c r="U868" s="138"/>
      <c r="V868" s="138"/>
      <c r="W868" s="138"/>
      <c r="X868" s="138"/>
    </row>
    <row r="869" spans="4:24">
      <c r="D869" s="8" t="s">
        <v>1537</v>
      </c>
      <c r="E869" s="8">
        <v>45</v>
      </c>
      <c r="F869" s="137"/>
      <c r="G869" s="137"/>
      <c r="H869" s="137"/>
      <c r="I869" s="137"/>
      <c r="J869" s="137"/>
      <c r="K869" s="137"/>
      <c r="L869" s="137"/>
      <c r="M869" s="137"/>
      <c r="N869" s="137"/>
      <c r="O869" s="137"/>
      <c r="U869" s="138"/>
      <c r="V869" s="138"/>
      <c r="W869" s="138"/>
      <c r="X869" s="138"/>
    </row>
    <row r="870" spans="4:24">
      <c r="D870" s="8" t="s">
        <v>1538</v>
      </c>
      <c r="E870" s="8">
        <f>RADIANS(E869)</f>
        <v>0.78539816339744828</v>
      </c>
      <c r="F870" s="137"/>
      <c r="G870" s="137"/>
      <c r="H870" s="137"/>
      <c r="I870" s="137"/>
      <c r="J870" s="137"/>
      <c r="K870" s="137"/>
      <c r="L870" s="137"/>
      <c r="M870" s="137"/>
      <c r="N870" s="8" t="s">
        <v>1550</v>
      </c>
      <c r="O870" s="8"/>
      <c r="U870" s="138"/>
      <c r="V870" s="138"/>
      <c r="W870" s="138"/>
      <c r="X870" s="138"/>
    </row>
    <row r="871" spans="4:24">
      <c r="D871" s="8" t="s">
        <v>1529</v>
      </c>
      <c r="E871" s="8">
        <v>1760</v>
      </c>
      <c r="F871" s="137"/>
      <c r="G871" s="137"/>
      <c r="H871" s="137"/>
      <c r="I871" s="137"/>
      <c r="J871" s="137"/>
      <c r="K871" s="137"/>
      <c r="L871" s="137"/>
      <c r="M871" s="137"/>
      <c r="N871" s="8" t="s">
        <v>1551</v>
      </c>
      <c r="O871" s="49">
        <f>H797+H798+H799+H803+H806+I811*2+I812+(SUM(I816:I826))+(SUM(I831:I845))</f>
        <v>53716.68456521738</v>
      </c>
      <c r="U871" s="138"/>
      <c r="V871" s="138"/>
      <c r="W871" s="138"/>
      <c r="X871" s="138"/>
    </row>
    <row r="872" spans="4:24">
      <c r="D872" s="8" t="s">
        <v>1531</v>
      </c>
      <c r="E872" s="8">
        <f>(E868/E871)*((1-SIN(E870))/(1+SIN(E870)))^2</f>
        <v>0.17055207601056685</v>
      </c>
      <c r="F872" s="137"/>
      <c r="G872" s="137"/>
      <c r="H872" s="137"/>
      <c r="I872" s="137"/>
      <c r="J872" s="137"/>
      <c r="K872" s="137"/>
      <c r="L872" s="137"/>
      <c r="M872" s="137"/>
      <c r="N872" s="8" t="s">
        <v>1552</v>
      </c>
      <c r="O872" s="49">
        <f ca="1">(M876*1070)+M875</f>
        <v>136737.22703879097</v>
      </c>
      <c r="U872" s="138"/>
      <c r="V872" s="138"/>
      <c r="W872" s="138"/>
      <c r="X872" s="138"/>
    </row>
    <row r="873" spans="4:24">
      <c r="D873" s="137"/>
      <c r="E873" s="137"/>
      <c r="F873" s="137"/>
      <c r="G873" s="137"/>
      <c r="H873" s="137"/>
      <c r="I873" s="137"/>
      <c r="J873" s="137"/>
      <c r="K873" s="137"/>
      <c r="L873" s="137"/>
      <c r="M873" s="137"/>
      <c r="N873" s="8" t="s">
        <v>1553</v>
      </c>
      <c r="O873" s="8">
        <v>7</v>
      </c>
      <c r="U873" s="138"/>
      <c r="V873" s="138"/>
      <c r="W873" s="138"/>
      <c r="X873" s="138"/>
    </row>
    <row r="874" spans="4:24">
      <c r="D874" s="8" t="s">
        <v>1541</v>
      </c>
      <c r="E874" s="47"/>
      <c r="F874" s="8" t="s">
        <v>13</v>
      </c>
      <c r="G874" s="47"/>
      <c r="H874" s="8" t="s">
        <v>25</v>
      </c>
      <c r="I874" s="47">
        <f ca="1">V787</f>
        <v>15.301027927635118</v>
      </c>
      <c r="J874" s="8" t="s">
        <v>935</v>
      </c>
      <c r="K874" s="47">
        <f ca="1">X787</f>
        <v>382.52569819087796</v>
      </c>
      <c r="L874" s="8" t="s">
        <v>650</v>
      </c>
      <c r="M874" s="47">
        <f>F182</f>
        <v>0.7</v>
      </c>
      <c r="N874" s="8" t="s">
        <v>1554</v>
      </c>
      <c r="O874" s="8">
        <v>1800</v>
      </c>
      <c r="P874" s="5" t="s">
        <v>1594</v>
      </c>
      <c r="U874" s="138"/>
      <c r="V874" s="138"/>
      <c r="W874" s="138"/>
      <c r="X874" s="138"/>
    </row>
    <row r="875" spans="4:24">
      <c r="D875" s="8" t="s">
        <v>1532</v>
      </c>
      <c r="E875" s="49">
        <f ca="1">T786+((Q786-H786)*0.01*8000)</f>
        <v>440980.05169203354</v>
      </c>
      <c r="F875" s="8" t="s">
        <v>1532</v>
      </c>
      <c r="G875" s="49">
        <f ca="1">T787+((Q787-H787)*0.01*8000)</f>
        <v>213553.53089494412</v>
      </c>
      <c r="H875" s="8" t="s">
        <v>1532</v>
      </c>
      <c r="I875" s="49">
        <f ca="1">T788+((R788-H788)*0.01*8000)</f>
        <v>206268.60290114192</v>
      </c>
      <c r="J875" s="8" t="s">
        <v>1532</v>
      </c>
      <c r="K875" s="49">
        <f ca="1">T789+((R789-H789)*0.01*8000)</f>
        <v>227749.4421578506</v>
      </c>
      <c r="L875" s="8" t="s">
        <v>1532</v>
      </c>
      <c r="M875" s="49">
        <f ca="1">T790</f>
        <v>64862.606947930064</v>
      </c>
      <c r="N875" s="8" t="s">
        <v>1555</v>
      </c>
      <c r="O875" s="8">
        <v>25</v>
      </c>
      <c r="Q875" s="137"/>
      <c r="R875" s="137"/>
      <c r="S875" s="137"/>
      <c r="T875" s="138"/>
      <c r="U875" s="138"/>
      <c r="V875" s="138"/>
      <c r="W875" s="138"/>
      <c r="X875" s="138"/>
    </row>
    <row r="876" spans="4:24">
      <c r="D876" s="8" t="s">
        <v>1571</v>
      </c>
      <c r="E876" s="49">
        <f ca="1">G786</f>
        <v>1247.6965896061465</v>
      </c>
      <c r="F876" s="8" t="s">
        <v>1571</v>
      </c>
      <c r="G876" s="49">
        <f ca="1">G787</f>
        <v>409.52294533443421</v>
      </c>
      <c r="H876" s="8" t="s">
        <v>1571</v>
      </c>
      <c r="I876" s="49">
        <f ca="1">G788</f>
        <v>507.78283666594785</v>
      </c>
      <c r="J876" s="8" t="s">
        <v>1571</v>
      </c>
      <c r="K876" s="49">
        <f ca="1">G789</f>
        <v>623.84829480307326</v>
      </c>
      <c r="L876" s="8" t="s">
        <v>1571</v>
      </c>
      <c r="M876" s="49">
        <f ca="1">G790</f>
        <v>67.172542140991482</v>
      </c>
      <c r="N876" s="8" t="s">
        <v>1556</v>
      </c>
      <c r="O876" s="8">
        <v>20</v>
      </c>
      <c r="Q876" s="137"/>
      <c r="R876" s="137"/>
      <c r="S876" s="137"/>
      <c r="T876" s="138"/>
      <c r="U876" s="138"/>
      <c r="V876" s="138"/>
      <c r="W876" s="138"/>
      <c r="X876" s="138"/>
    </row>
    <row r="877" spans="4:24" ht="116">
      <c r="D877" s="102" t="s">
        <v>1533</v>
      </c>
      <c r="E877" s="140">
        <f ca="1">E876*1000</f>
        <v>1247696.5896061466</v>
      </c>
      <c r="F877" s="102" t="s">
        <v>1533</v>
      </c>
      <c r="G877" s="140">
        <f ca="1">G876*1000</f>
        <v>409522.94533443422</v>
      </c>
      <c r="H877" s="102" t="s">
        <v>1533</v>
      </c>
      <c r="I877" s="140">
        <f ca="1">I876*1000</f>
        <v>507782.83666594786</v>
      </c>
      <c r="J877" s="102" t="s">
        <v>1533</v>
      </c>
      <c r="K877" s="140">
        <f ca="1">K876*1000</f>
        <v>623848.29480307328</v>
      </c>
      <c r="L877" s="102" t="s">
        <v>1533</v>
      </c>
      <c r="M877" s="140">
        <f ca="1">M876*1000</f>
        <v>67172.542140991485</v>
      </c>
      <c r="N877" s="8" t="s">
        <v>1557</v>
      </c>
      <c r="O877" s="8">
        <f>(O875*O873)*2+(O873*O876)*2</f>
        <v>630</v>
      </c>
      <c r="Q877" s="137"/>
      <c r="R877" s="137"/>
      <c r="S877" s="137"/>
      <c r="T877" s="138"/>
      <c r="U877" s="138"/>
      <c r="V877" s="138"/>
      <c r="W877" s="138"/>
      <c r="X877" s="138"/>
    </row>
    <row r="878" spans="4:24">
      <c r="D878" s="8" t="s">
        <v>1534</v>
      </c>
      <c r="E878" s="49">
        <f ca="1">E877+E875</f>
        <v>1688676.64129818</v>
      </c>
      <c r="F878" s="8" t="s">
        <v>1534</v>
      </c>
      <c r="G878" s="49">
        <f ca="1">G877+G875</f>
        <v>623076.47622937837</v>
      </c>
      <c r="H878" s="8" t="s">
        <v>1534</v>
      </c>
      <c r="I878" s="49">
        <f ca="1">I877+I875</f>
        <v>714051.43956708978</v>
      </c>
      <c r="J878" s="8" t="s">
        <v>1534</v>
      </c>
      <c r="K878" s="49">
        <f ca="1">K877+K875</f>
        <v>851597.73696092388</v>
      </c>
      <c r="L878" s="8" t="s">
        <v>1534</v>
      </c>
      <c r="M878" s="49">
        <f ca="1">M877+M875</f>
        <v>132035.14908892155</v>
      </c>
      <c r="N878" s="8" t="s">
        <v>1558</v>
      </c>
      <c r="O878" s="8">
        <v>2.87</v>
      </c>
      <c r="P878" s="5" t="s">
        <v>1573</v>
      </c>
      <c r="Q878" s="137"/>
      <c r="R878" s="137"/>
      <c r="S878" s="137"/>
      <c r="T878" s="138"/>
      <c r="U878" s="138"/>
      <c r="V878" s="138"/>
      <c r="W878" s="138"/>
      <c r="X878" s="138"/>
    </row>
    <row r="879" spans="4:24">
      <c r="D879" s="8" t="s">
        <v>1535</v>
      </c>
      <c r="E879" s="49">
        <f ca="1">E878/E868</f>
        <v>165.60524088439541</v>
      </c>
      <c r="F879" s="8" t="s">
        <v>1535</v>
      </c>
      <c r="G879" s="49">
        <f ca="1">G878/$E$868</f>
        <v>61.103900777618747</v>
      </c>
      <c r="H879" s="8" t="s">
        <v>1535</v>
      </c>
      <c r="I879" s="49">
        <f ca="1">I878/$E$868</f>
        <v>70.025638870951241</v>
      </c>
      <c r="J879" s="8" t="s">
        <v>1535</v>
      </c>
      <c r="K879" s="49">
        <f ca="1">K878/$E$868</f>
        <v>83.514537311064416</v>
      </c>
      <c r="L879" s="8" t="s">
        <v>1535</v>
      </c>
      <c r="M879" s="49">
        <f ca="1">M878/$E$868</f>
        <v>12.948430821704575</v>
      </c>
      <c r="N879" s="8" t="s">
        <v>1559</v>
      </c>
      <c r="O879" s="49">
        <f>O877*O878*101.97</f>
        <v>184371.95700000002</v>
      </c>
      <c r="Q879" s="137"/>
      <c r="R879" s="137"/>
      <c r="S879" s="137"/>
      <c r="T879" s="138"/>
      <c r="U879" s="138"/>
      <c r="V879" s="138"/>
      <c r="W879" s="138"/>
      <c r="X879" s="138"/>
    </row>
    <row r="880" spans="4:24">
      <c r="D880" s="8" t="s">
        <v>1572</v>
      </c>
      <c r="E880" s="49">
        <f ca="1">SQRT(E879/PI())</f>
        <v>7.2604259776786613</v>
      </c>
      <c r="F880" s="8" t="s">
        <v>1572</v>
      </c>
      <c r="G880" s="49">
        <f ca="1">SQRT(G879/PI())</f>
        <v>4.410212659488141</v>
      </c>
      <c r="H880" s="8" t="s">
        <v>1572</v>
      </c>
      <c r="I880" s="49">
        <f ca="1">SQRT(I879/PI())</f>
        <v>4.7212131003545812</v>
      </c>
      <c r="J880" s="8" t="s">
        <v>1572</v>
      </c>
      <c r="K880" s="49">
        <f ca="1">SQRT(K879/PI())</f>
        <v>5.1559192067154092</v>
      </c>
      <c r="L880" s="8" t="s">
        <v>1572</v>
      </c>
      <c r="M880" s="49">
        <f ca="1">SQRT(M879/PI())</f>
        <v>2.0301757414360635</v>
      </c>
      <c r="N880" s="8" t="s">
        <v>1560</v>
      </c>
      <c r="O880" s="8"/>
      <c r="Q880" s="137"/>
      <c r="R880" s="137"/>
      <c r="S880" s="137"/>
      <c r="T880" s="138"/>
      <c r="U880" s="138"/>
      <c r="V880" s="138"/>
      <c r="W880" s="138"/>
      <c r="X880" s="138"/>
    </row>
    <row r="881" spans="4:24">
      <c r="D881" s="8" t="s">
        <v>1539</v>
      </c>
      <c r="E881" s="49">
        <f ca="1">SQRT(E879)</f>
        <v>12.868769983350989</v>
      </c>
      <c r="F881" s="8" t="s">
        <v>1539</v>
      </c>
      <c r="G881" s="49">
        <f ca="1">SQRT(G879)</f>
        <v>7.816898411622013</v>
      </c>
      <c r="H881" s="8" t="s">
        <v>1539</v>
      </c>
      <c r="I881" s="49">
        <f ca="1">SQRT(I879)</f>
        <v>8.3681323406690478</v>
      </c>
      <c r="J881" s="8" t="s">
        <v>1539</v>
      </c>
      <c r="K881" s="49">
        <f ca="1">SQRT(K879)</f>
        <v>9.1386288529004407</v>
      </c>
      <c r="L881" s="8" t="s">
        <v>1539</v>
      </c>
      <c r="M881" s="49">
        <f ca="1">SQRT(M879)</f>
        <v>3.5983928109233121</v>
      </c>
      <c r="N881" s="8" t="s">
        <v>1561</v>
      </c>
      <c r="O881" s="8">
        <v>1.6</v>
      </c>
      <c r="P881" s="5" t="s">
        <v>1574</v>
      </c>
      <c r="Q881" s="137"/>
      <c r="R881" s="137"/>
      <c r="S881" s="137"/>
      <c r="T881" s="138"/>
      <c r="U881" s="138"/>
      <c r="V881" s="138"/>
      <c r="W881" s="138"/>
      <c r="X881" s="138"/>
    </row>
    <row r="882" spans="4:24">
      <c r="D882" s="8" t="s">
        <v>1540</v>
      </c>
      <c r="E882" s="50">
        <v>0.3</v>
      </c>
      <c r="F882" s="8" t="s">
        <v>1540</v>
      </c>
      <c r="G882" s="50">
        <v>0.3</v>
      </c>
      <c r="H882" s="8" t="s">
        <v>1540</v>
      </c>
      <c r="I882" s="50">
        <v>0.3</v>
      </c>
      <c r="J882" s="8" t="s">
        <v>1540</v>
      </c>
      <c r="K882" s="50">
        <v>0.3</v>
      </c>
      <c r="L882" s="8" t="s">
        <v>1540</v>
      </c>
      <c r="M882" s="50">
        <v>0.3</v>
      </c>
      <c r="N882" s="8" t="s">
        <v>1562</v>
      </c>
      <c r="O882" s="8">
        <v>3</v>
      </c>
      <c r="Q882" s="137"/>
      <c r="R882" s="137"/>
      <c r="S882" s="137"/>
      <c r="T882" s="138"/>
      <c r="U882" s="138"/>
      <c r="V882" s="138"/>
      <c r="W882" s="138"/>
      <c r="X882" s="138"/>
    </row>
    <row r="883" spans="4:24">
      <c r="D883" s="8" t="s">
        <v>1542</v>
      </c>
      <c r="E883" s="49">
        <f ca="1">E879*E882</f>
        <v>49.681572265318621</v>
      </c>
      <c r="F883" s="8" t="s">
        <v>1542</v>
      </c>
      <c r="G883" s="49">
        <f ca="1">G879*G882</f>
        <v>18.331170233285622</v>
      </c>
      <c r="H883" s="8" t="s">
        <v>1542</v>
      </c>
      <c r="I883" s="49">
        <f ca="1">I879*I882</f>
        <v>21.007691661285371</v>
      </c>
      <c r="J883" s="8" t="s">
        <v>1542</v>
      </c>
      <c r="K883" s="49">
        <f ca="1">K879*K882</f>
        <v>25.054361193319323</v>
      </c>
      <c r="L883" s="8" t="s">
        <v>1542</v>
      </c>
      <c r="M883" s="49">
        <f ca="1">M879*M882</f>
        <v>3.8845292465113723</v>
      </c>
      <c r="N883" s="8" t="s">
        <v>1563</v>
      </c>
      <c r="O883" s="8">
        <f>O881+O882</f>
        <v>4.5999999999999996</v>
      </c>
      <c r="Q883" s="137"/>
      <c r="R883" s="137"/>
      <c r="S883" s="137"/>
      <c r="T883" s="138"/>
      <c r="U883" s="138"/>
      <c r="V883" s="138"/>
      <c r="W883" s="138"/>
      <c r="X883" s="138"/>
    </row>
    <row r="884" spans="4:24">
      <c r="D884" s="8" t="s">
        <v>1543</v>
      </c>
      <c r="E884" s="49">
        <v>1</v>
      </c>
      <c r="F884" s="8" t="s">
        <v>1543</v>
      </c>
      <c r="G884" s="49">
        <v>1</v>
      </c>
      <c r="H884" s="8" t="s">
        <v>1543</v>
      </c>
      <c r="I884" s="49">
        <v>1</v>
      </c>
      <c r="J884" s="8" t="s">
        <v>1543</v>
      </c>
      <c r="K884" s="49">
        <v>1</v>
      </c>
      <c r="L884" s="8" t="s">
        <v>1543</v>
      </c>
      <c r="M884" s="49">
        <v>1</v>
      </c>
      <c r="N884" s="8" t="s">
        <v>1564</v>
      </c>
      <c r="O884" s="8">
        <f>O883*(O875*O876)*101.97</f>
        <v>234531</v>
      </c>
      <c r="Q884" s="137"/>
      <c r="R884" s="137"/>
      <c r="S884" s="137"/>
      <c r="T884" s="138"/>
      <c r="U884" s="138"/>
      <c r="V884" s="138"/>
      <c r="W884" s="138"/>
      <c r="X884" s="138"/>
    </row>
    <row r="885" spans="4:24">
      <c r="D885" s="8" t="s">
        <v>1544</v>
      </c>
      <c r="E885" s="49">
        <f ca="1">E883*E884</f>
        <v>49.681572265318621</v>
      </c>
      <c r="F885" s="8" t="s">
        <v>1544</v>
      </c>
      <c r="G885" s="49">
        <f ca="1">G883*G884</f>
        <v>18.331170233285622</v>
      </c>
      <c r="H885" s="8" t="s">
        <v>1544</v>
      </c>
      <c r="I885" s="49">
        <f ca="1">+G885+E885</f>
        <v>68.01274249860424</v>
      </c>
      <c r="J885" s="8" t="s">
        <v>1544</v>
      </c>
      <c r="K885" s="49">
        <f ca="1">K883*K884</f>
        <v>25.054361193319323</v>
      </c>
      <c r="L885" s="8" t="s">
        <v>1544</v>
      </c>
      <c r="M885" s="49">
        <f ca="1">M883*M884</f>
        <v>3.8845292465113723</v>
      </c>
      <c r="N885" s="8" t="s">
        <v>1565</v>
      </c>
      <c r="O885" s="8">
        <v>11.7</v>
      </c>
      <c r="Q885" s="137"/>
      <c r="R885" s="137"/>
      <c r="S885" s="137"/>
      <c r="T885" s="138"/>
      <c r="U885" s="138"/>
      <c r="V885" s="138"/>
      <c r="W885" s="138"/>
      <c r="X885" s="138"/>
    </row>
    <row r="886" spans="4:24">
      <c r="D886" s="137"/>
      <c r="E886" s="137"/>
      <c r="F886" s="137"/>
      <c r="G886" s="137"/>
      <c r="H886" s="137"/>
      <c r="I886" s="137"/>
      <c r="J886" s="137"/>
      <c r="K886" s="137"/>
      <c r="L886" s="137"/>
      <c r="M886" s="137"/>
      <c r="N886" s="8" t="s">
        <v>1566</v>
      </c>
      <c r="O886" s="8">
        <f>O885*O875*O876</f>
        <v>5850</v>
      </c>
      <c r="Q886" s="137"/>
      <c r="R886" s="137"/>
      <c r="S886" s="137"/>
      <c r="T886" s="138"/>
      <c r="U886" s="138"/>
      <c r="V886" s="138"/>
      <c r="W886" s="138"/>
      <c r="X886" s="138"/>
    </row>
    <row r="887" spans="4:24">
      <c r="D887" s="137"/>
      <c r="E887" s="137"/>
      <c r="F887" s="137"/>
      <c r="G887" s="137"/>
      <c r="H887" s="137"/>
      <c r="I887" s="137"/>
      <c r="J887" s="137"/>
      <c r="K887" s="137"/>
      <c r="L887" s="137"/>
      <c r="M887" s="137"/>
      <c r="N887" s="8" t="s">
        <v>1567</v>
      </c>
      <c r="O887" s="49">
        <f ca="1">O886+O871+O872+O884+O879</f>
        <v>615206.86860400834</v>
      </c>
      <c r="Q887" s="137"/>
      <c r="R887" s="137"/>
      <c r="S887" s="137"/>
      <c r="T887" s="138"/>
      <c r="U887" s="138"/>
      <c r="V887" s="138"/>
      <c r="W887" s="138"/>
      <c r="X887" s="138"/>
    </row>
    <row r="888" spans="4:24">
      <c r="D888" s="137"/>
      <c r="E888" s="137"/>
      <c r="F888" s="137"/>
      <c r="G888" s="137"/>
      <c r="H888" s="137"/>
      <c r="I888" s="137"/>
      <c r="J888" s="137"/>
      <c r="K888" s="137"/>
      <c r="L888" s="137"/>
      <c r="M888" s="137"/>
      <c r="N888" s="8" t="s">
        <v>1568</v>
      </c>
      <c r="O888" s="8">
        <f ca="1">O887/E868</f>
        <v>60.332143630872643</v>
      </c>
      <c r="Q888" s="137"/>
      <c r="R888" s="137"/>
      <c r="S888" s="137"/>
      <c r="T888" s="138"/>
      <c r="U888" s="138"/>
      <c r="V888" s="138"/>
      <c r="W888" s="138"/>
      <c r="X888" s="138"/>
    </row>
    <row r="889" spans="4:24">
      <c r="D889" s="137"/>
      <c r="E889" s="137"/>
      <c r="F889" s="137"/>
      <c r="G889" s="137"/>
      <c r="H889" s="137"/>
      <c r="I889" s="137"/>
      <c r="J889" s="137"/>
      <c r="K889" s="137"/>
      <c r="L889" s="137"/>
      <c r="M889" s="137"/>
      <c r="N889" s="8" t="s">
        <v>1569</v>
      </c>
      <c r="O889" s="8">
        <v>0.3</v>
      </c>
      <c r="Q889" s="137"/>
      <c r="R889" s="137"/>
      <c r="S889" s="137"/>
      <c r="T889" s="138"/>
      <c r="U889" s="138"/>
      <c r="V889" s="138"/>
      <c r="W889" s="138"/>
      <c r="X889" s="138"/>
    </row>
    <row r="890" spans="4:24">
      <c r="D890" s="137"/>
      <c r="E890" s="137"/>
      <c r="F890" s="137"/>
      <c r="G890" s="137"/>
      <c r="H890" s="137"/>
      <c r="I890" s="137"/>
      <c r="J890" s="137"/>
      <c r="K890" s="137"/>
      <c r="L890" s="137"/>
      <c r="M890" s="137"/>
      <c r="N890" s="8" t="s">
        <v>1570</v>
      </c>
      <c r="O890" s="8">
        <f ca="1">O889*O888</f>
        <v>18.099643089261793</v>
      </c>
      <c r="Q890" s="137"/>
      <c r="R890" s="137"/>
      <c r="S890" s="137"/>
      <c r="T890" s="138"/>
      <c r="U890" s="138"/>
      <c r="V890" s="138"/>
      <c r="W890" s="138"/>
      <c r="X890" s="138"/>
    </row>
    <row r="891" spans="4:24">
      <c r="D891" s="137"/>
      <c r="E891" s="137"/>
      <c r="F891" s="137"/>
      <c r="G891" s="137"/>
      <c r="H891" s="137"/>
      <c r="I891" s="137"/>
      <c r="J891" s="137"/>
      <c r="K891" s="137"/>
      <c r="L891" s="137"/>
      <c r="M891" s="137"/>
      <c r="N891" s="8"/>
      <c r="O891" s="8"/>
      <c r="Q891" s="137"/>
      <c r="R891" s="137"/>
      <c r="S891" s="137"/>
      <c r="T891" s="138"/>
      <c r="U891" s="138"/>
      <c r="V891" s="138"/>
      <c r="W891" s="138"/>
      <c r="X891" s="138"/>
    </row>
    <row r="892" spans="4:24">
      <c r="D892" s="137"/>
      <c r="E892" s="137"/>
      <c r="F892" s="137"/>
      <c r="G892" s="137"/>
      <c r="H892" s="137"/>
      <c r="I892" s="137"/>
      <c r="J892" s="137"/>
      <c r="K892" s="137"/>
      <c r="L892" s="137"/>
      <c r="M892" s="137"/>
      <c r="N892" s="8"/>
      <c r="O892" s="50"/>
      <c r="Q892" s="137"/>
      <c r="R892" s="137"/>
      <c r="S892" s="137"/>
      <c r="T892" s="138"/>
      <c r="U892" s="138"/>
      <c r="V892" s="138"/>
      <c r="W892" s="138"/>
      <c r="X892" s="138"/>
    </row>
    <row r="893" spans="4:24">
      <c r="D893" s="137"/>
      <c r="E893" s="137"/>
      <c r="F893" s="137"/>
      <c r="G893" s="137"/>
      <c r="H893" s="137"/>
      <c r="I893" s="137"/>
      <c r="J893" s="137"/>
      <c r="K893" s="137"/>
      <c r="L893" s="137"/>
      <c r="M893" s="137"/>
      <c r="O893" s="105"/>
      <c r="Q893" s="137"/>
      <c r="R893" s="137"/>
      <c r="S893" s="137"/>
      <c r="T893" s="138"/>
      <c r="U893" s="138"/>
      <c r="V893" s="138"/>
      <c r="W893" s="138"/>
      <c r="X893" s="138"/>
    </row>
    <row r="894" spans="4:24">
      <c r="D894" s="137"/>
      <c r="E894" s="137"/>
      <c r="F894" s="137"/>
      <c r="G894" s="137"/>
      <c r="H894" s="137"/>
      <c r="I894" s="137"/>
      <c r="J894" s="137"/>
      <c r="K894" s="137"/>
      <c r="L894" s="137"/>
      <c r="M894" s="137"/>
      <c r="O894" s="105"/>
      <c r="Q894" s="137"/>
      <c r="R894" s="137"/>
      <c r="S894" s="137"/>
      <c r="T894" s="138"/>
      <c r="U894" s="138"/>
      <c r="V894" s="138"/>
      <c r="W894" s="138"/>
      <c r="X894" s="138"/>
    </row>
    <row r="895" spans="4:24" s="217" customFormat="1">
      <c r="D895" s="218" t="s">
        <v>1701</v>
      </c>
      <c r="E895" s="219"/>
      <c r="F895" s="219"/>
      <c r="G895" s="219"/>
      <c r="H895" s="219"/>
      <c r="I895" s="219"/>
      <c r="J895" s="219"/>
      <c r="K895" s="219"/>
      <c r="L895" s="219"/>
      <c r="M895" s="219"/>
      <c r="N895" s="219"/>
      <c r="O895" s="219"/>
      <c r="P895" s="219"/>
      <c r="Q895" s="219"/>
      <c r="R895" s="219"/>
      <c r="S895" s="219"/>
      <c r="T895" s="220"/>
      <c r="U895" s="220"/>
      <c r="V895" s="220"/>
      <c r="W895" s="220"/>
      <c r="X895" s="220"/>
    </row>
    <row r="897" spans="8:14">
      <c r="H897" s="81" t="s">
        <v>740</v>
      </c>
      <c r="I897" s="17"/>
      <c r="K897" s="81" t="s">
        <v>1151</v>
      </c>
      <c r="L897" s="17"/>
    </row>
    <row r="898" spans="8:14">
      <c r="H898" s="10" t="s">
        <v>743</v>
      </c>
      <c r="I898" s="141">
        <f ca="1">L936</f>
        <v>66718.593792969259</v>
      </c>
      <c r="K898" s="10" t="s">
        <v>757</v>
      </c>
      <c r="L898" s="44" cm="1">
        <f t="array" aca="1" ref="L898" ca="1">IF('Parameter Inputs'!E18='Parameter Inputs'!BK35,'Parameter Inputs'!F18*'Parameter Inputs'!G7,_xlfn.IFS('Parameter Inputs'!F7="Primary",'Parameter Inputs'!G7*I898,'Parameter Inputs'!F7="WAS",'Parameter Inputs'!G7*I903,'Parameter Inputs'!F7="Combined",'Parameter Inputs'!G7*(I908)))</f>
        <v>72147.394848568947</v>
      </c>
      <c r="N898" s="105"/>
    </row>
    <row r="899" spans="8:14">
      <c r="H899" s="10" t="s">
        <v>744</v>
      </c>
      <c r="I899" s="79">
        <f ca="1">L936*L947</f>
        <v>44909.586518699667</v>
      </c>
      <c r="K899" s="10" t="s">
        <v>758</v>
      </c>
      <c r="L899" s="44" cm="1">
        <f t="array" aca="1" ref="L899" ca="1">IF('Parameter Inputs'!E20='Parameter Inputs'!BK35,'Parameter Inputs'!F20*'Parameter Inputs'!G7,_xlfn.IFS('Parameter Inputs'!F7="Primary",'Parameter Inputs'!G7*I899,'Parameter Inputs'!F7="WAS",'Parameter Inputs'!G7*I904,'Parameter Inputs'!F7="Combined",'Parameter Inputs'!G7*(I909)))</f>
        <v>49252.627363179403</v>
      </c>
    </row>
    <row r="900" spans="8:14">
      <c r="H900" s="10" t="s">
        <v>745</v>
      </c>
      <c r="I900" s="65">
        <v>0.06</v>
      </c>
      <c r="K900" s="10" t="s">
        <v>759</v>
      </c>
      <c r="L900" s="44" cm="1">
        <f t="array" aca="1" ref="L900" ca="1">IF('Parameter Inputs'!E24='Parameter Inputs'!BK35,'Parameter Inputs'!F24*'Parameter Inputs'!G7,_xlfn.IFS('Parameter Inputs'!F7="Primary",'Parameter Inputs'!G7*I901,'Parameter Inputs'!F7="WAS",'Parameter Inputs'!G7*I906,'Parameter Inputs'!F7="Combined",'Parameter Inputs'!G7*(I911)))</f>
        <v>1247696.5896061466</v>
      </c>
    </row>
    <row r="901" spans="8:14">
      <c r="H901" s="10" t="s">
        <v>746</v>
      </c>
      <c r="I901" s="94">
        <f ca="1">I898/I900</f>
        <v>1111976.5632161545</v>
      </c>
      <c r="K901" s="10" t="s">
        <v>800</v>
      </c>
      <c r="L901" s="44" cm="1">
        <f t="array" aca="1" ref="L901" ca="1">IF('Parameter Inputs'!E26='Parameter Inputs'!BK35,'Parameter Inputs'!F26*'Parameter Inputs'!G7,_xlfn.IFS('Parameter Inputs'!F7="Primary",'Parameter Inputs'!G7*I902,'Parameter Inputs'!F7="WAS",'Parameter Inputs'!G7*I907,'Parameter Inputs'!F7="Combined",'Parameter Inputs'!G7*(I912)))</f>
        <v>1247.6965896061465</v>
      </c>
    </row>
    <row r="902" spans="8:14">
      <c r="H902" s="10" t="s">
        <v>747</v>
      </c>
      <c r="I902" s="44">
        <f ca="1">I901/1000</f>
        <v>1111.9765632161545</v>
      </c>
      <c r="K902" s="10"/>
      <c r="L902" s="36"/>
    </row>
    <row r="903" spans="8:14">
      <c r="H903" s="10" t="s">
        <v>748</v>
      </c>
      <c r="I903" s="141">
        <f ca="1">L988</f>
        <v>5428.8010555996816</v>
      </c>
      <c r="K903" s="10" t="s">
        <v>1003</v>
      </c>
      <c r="L903" s="36" t="s">
        <v>1289</v>
      </c>
    </row>
    <row r="904" spans="8:14">
      <c r="H904" s="10" t="s">
        <v>742</v>
      </c>
      <c r="I904" s="94">
        <f ca="1">L1010</f>
        <v>4343.0408444797458</v>
      </c>
      <c r="K904" s="10" t="s">
        <v>1004</v>
      </c>
      <c r="L904" s="94">
        <f ca="1">L996</f>
        <v>12081.052097350001</v>
      </c>
      <c r="M904" s="91"/>
      <c r="N904" s="91"/>
    </row>
    <row r="905" spans="8:14">
      <c r="H905" s="10" t="s">
        <v>749</v>
      </c>
      <c r="I905" s="65">
        <v>0.04</v>
      </c>
      <c r="K905" s="10" t="s">
        <v>1005</v>
      </c>
      <c r="L905" s="94">
        <f ca="1">L997</f>
        <v>10301.151289518453</v>
      </c>
      <c r="M905" s="91"/>
      <c r="N905" s="91"/>
    </row>
    <row r="906" spans="8:14">
      <c r="H906" s="10" t="s">
        <v>750</v>
      </c>
      <c r="I906" s="94">
        <f ca="1">I903/I905</f>
        <v>135720.02638999204</v>
      </c>
      <c r="K906" s="10" t="s">
        <v>1006</v>
      </c>
      <c r="L906" s="94">
        <f ca="1">L998</f>
        <v>25283.801978745327</v>
      </c>
      <c r="M906" s="91"/>
      <c r="N906" s="91"/>
    </row>
    <row r="907" spans="8:14">
      <c r="H907" s="10" t="s">
        <v>751</v>
      </c>
      <c r="I907" s="44">
        <f ca="1">I906/1000</f>
        <v>135.72002638999203</v>
      </c>
      <c r="K907" s="10" t="s">
        <v>1007</v>
      </c>
      <c r="L907" s="94">
        <f ca="1">L906/1000</f>
        <v>25.283801978745327</v>
      </c>
      <c r="M907" s="91"/>
      <c r="N907" s="91"/>
    </row>
    <row r="908" spans="8:14">
      <c r="H908" s="10" t="s">
        <v>752</v>
      </c>
      <c r="I908" s="36">
        <f ca="1">L987+L988</f>
        <v>72147.394848568947</v>
      </c>
      <c r="K908" s="10" t="s">
        <v>1173</v>
      </c>
      <c r="L908" s="36">
        <f ca="1">((L1045/F400)*1000)*F402</f>
        <v>318.85463567017018</v>
      </c>
      <c r="M908" s="91"/>
      <c r="N908" s="91"/>
    </row>
    <row r="909" spans="8:14">
      <c r="H909" s="10" t="s">
        <v>753</v>
      </c>
      <c r="I909" s="36">
        <f ca="1">L1009+L1010</f>
        <v>49252.62736317941</v>
      </c>
      <c r="K909" s="11" t="s">
        <v>1178</v>
      </c>
      <c r="L909" s="22">
        <f ca="1">L908*365</f>
        <v>116381.94201961212</v>
      </c>
    </row>
    <row r="910" spans="8:14">
      <c r="H910" s="10" t="s">
        <v>754</v>
      </c>
      <c r="I910" s="66">
        <f ca="1">(I898+I903)/(I901+I906)</f>
        <v>5.7824470668260235E-2</v>
      </c>
      <c r="N910" s="133"/>
    </row>
    <row r="911" spans="8:14">
      <c r="H911" s="10" t="s">
        <v>755</v>
      </c>
      <c r="I911" s="44">
        <f ca="1">I908/I910</f>
        <v>1247696.5896061466</v>
      </c>
      <c r="N911" s="133"/>
    </row>
    <row r="912" spans="8:14">
      <c r="H912" s="11" t="s">
        <v>756</v>
      </c>
      <c r="I912" s="142">
        <f ca="1">I911/1000</f>
        <v>1247.6965896061465</v>
      </c>
    </row>
    <row r="913" spans="8:12">
      <c r="H913" s="324" t="s">
        <v>741</v>
      </c>
      <c r="I913" s="324"/>
      <c r="J913" s="324"/>
      <c r="K913" s="324"/>
      <c r="L913" s="324"/>
    </row>
    <row r="914" spans="8:12">
      <c r="H914" s="327" t="s">
        <v>242</v>
      </c>
      <c r="I914" s="328"/>
      <c r="K914" s="81" t="s">
        <v>734</v>
      </c>
      <c r="L914" s="17"/>
    </row>
    <row r="915" spans="8:12">
      <c r="H915" s="10" t="s">
        <v>198</v>
      </c>
      <c r="I915" s="36"/>
      <c r="K915" s="10" t="s">
        <v>198</v>
      </c>
      <c r="L915" s="36"/>
    </row>
    <row r="916" spans="8:12">
      <c r="H916" s="10" t="s">
        <v>199</v>
      </c>
      <c r="I916" s="36">
        <f>(F315*F313)/1000</f>
        <v>109015.929</v>
      </c>
      <c r="K916" s="10" t="s">
        <v>199</v>
      </c>
      <c r="L916" s="44">
        <f ca="1">I916+I1043</f>
        <v>110713.3238287893</v>
      </c>
    </row>
    <row r="917" spans="8:12">
      <c r="H917" s="10" t="s">
        <v>201</v>
      </c>
      <c r="I917" s="36">
        <f>(F317*F313)/1000</f>
        <v>174425.48639999999</v>
      </c>
      <c r="K917" s="10" t="s">
        <v>201</v>
      </c>
      <c r="L917" s="36"/>
    </row>
    <row r="918" spans="8:12">
      <c r="H918" s="10" t="s">
        <v>202</v>
      </c>
      <c r="I918" s="94">
        <f>(F319*F313)/1000</f>
        <v>104706.999</v>
      </c>
      <c r="K918" s="10" t="s">
        <v>202</v>
      </c>
      <c r="L918" s="94">
        <f>I918</f>
        <v>104706.999</v>
      </c>
    </row>
    <row r="919" spans="8:12">
      <c r="H919" s="11" t="s">
        <v>203</v>
      </c>
      <c r="I919" s="22">
        <f>(F323*F313)/1000</f>
        <v>94236.299100000004</v>
      </c>
      <c r="K919" s="11" t="s">
        <v>203</v>
      </c>
      <c r="L919" s="142">
        <f ca="1">I919+L1053</f>
        <v>95312.276847098954</v>
      </c>
    </row>
    <row r="922" spans="8:12">
      <c r="H922" s="327" t="s">
        <v>241</v>
      </c>
      <c r="I922" s="328"/>
      <c r="K922" s="327" t="s">
        <v>241</v>
      </c>
      <c r="L922" s="328"/>
    </row>
    <row r="923" spans="8:12" ht="72.5">
      <c r="H923" s="64" t="s">
        <v>204</v>
      </c>
      <c r="I923" s="36"/>
      <c r="K923" s="64" t="s">
        <v>204</v>
      </c>
      <c r="L923" s="36"/>
    </row>
    <row r="924" spans="8:12">
      <c r="H924" s="10" t="s">
        <v>205</v>
      </c>
      <c r="I924" s="36"/>
      <c r="K924" s="10" t="s">
        <v>205</v>
      </c>
      <c r="L924" s="36"/>
    </row>
    <row r="925" spans="8:12">
      <c r="H925" s="10" t="s">
        <v>206</v>
      </c>
      <c r="I925" s="36">
        <f>F327*F335</f>
        <v>22.75</v>
      </c>
      <c r="K925" s="10" t="s">
        <v>206</v>
      </c>
      <c r="L925" s="36">
        <f>I925</f>
        <v>22.75</v>
      </c>
    </row>
    <row r="926" spans="8:12">
      <c r="H926" s="10" t="s">
        <v>207</v>
      </c>
      <c r="I926" s="36">
        <f>I925*F329</f>
        <v>32.305</v>
      </c>
      <c r="K926" s="10" t="s">
        <v>207</v>
      </c>
      <c r="L926" s="44">
        <f>I926</f>
        <v>32.305</v>
      </c>
    </row>
    <row r="927" spans="8:12">
      <c r="H927" s="10" t="s">
        <v>210</v>
      </c>
      <c r="I927" s="36">
        <f>I926*0.68</f>
        <v>21.967400000000001</v>
      </c>
      <c r="K927" s="10" t="s">
        <v>210</v>
      </c>
      <c r="L927" s="44">
        <f>I927</f>
        <v>21.967400000000001</v>
      </c>
    </row>
    <row r="928" spans="8:12">
      <c r="H928" s="10" t="s">
        <v>211</v>
      </c>
      <c r="I928" s="36"/>
      <c r="K928" s="10" t="s">
        <v>211</v>
      </c>
      <c r="L928" s="44"/>
    </row>
    <row r="929" spans="8:14">
      <c r="H929" s="11" t="s">
        <v>212</v>
      </c>
      <c r="I929" s="22">
        <f>F333-I927</f>
        <v>3.0325999999999986</v>
      </c>
      <c r="K929" s="11" t="s">
        <v>212</v>
      </c>
      <c r="L929" s="142">
        <f>F333-L927</f>
        <v>3.0325999999999986</v>
      </c>
    </row>
    <row r="931" spans="8:14">
      <c r="H931" s="81" t="s">
        <v>213</v>
      </c>
      <c r="I931" s="17"/>
    </row>
    <row r="932" spans="8:14">
      <c r="H932" s="145" t="s">
        <v>214</v>
      </c>
      <c r="I932" s="146"/>
      <c r="K932" s="143" t="s">
        <v>214</v>
      </c>
      <c r="L932" s="144"/>
    </row>
    <row r="933" spans="8:14">
      <c r="H933" s="10" t="s">
        <v>215</v>
      </c>
      <c r="I933" s="36">
        <f>I916*F340</f>
        <v>54507.964500000002</v>
      </c>
      <c r="K933" s="10" t="s">
        <v>215</v>
      </c>
      <c r="L933" s="44">
        <f ca="1">L916*F340</f>
        <v>55356.661914394652</v>
      </c>
    </row>
    <row r="934" spans="8:14">
      <c r="H934" s="10" t="s">
        <v>225</v>
      </c>
      <c r="I934" s="36">
        <f>I916-I933</f>
        <v>54507.964500000002</v>
      </c>
      <c r="K934" s="10" t="s">
        <v>225</v>
      </c>
      <c r="L934" s="44">
        <f ca="1">L916-L933</f>
        <v>55356.661914394652</v>
      </c>
    </row>
    <row r="935" spans="8:14">
      <c r="H935" s="10" t="s">
        <v>226</v>
      </c>
      <c r="I935" s="36">
        <f>(I934/F313)*1000</f>
        <v>126.5</v>
      </c>
      <c r="K935" s="10" t="s">
        <v>226</v>
      </c>
      <c r="L935" s="44">
        <f ca="1">(L934/F313)*1000</f>
        <v>128.46962451094507</v>
      </c>
      <c r="N935" s="91"/>
    </row>
    <row r="936" spans="8:14">
      <c r="H936" s="10" t="s">
        <v>286</v>
      </c>
      <c r="I936" s="36">
        <f>I919*F342</f>
        <v>65965.409369999994</v>
      </c>
      <c r="K936" s="10" t="s">
        <v>286</v>
      </c>
      <c r="L936" s="44">
        <f ca="1">L919*F342</f>
        <v>66718.593792969259</v>
      </c>
      <c r="N936" s="91"/>
    </row>
    <row r="937" spans="8:14">
      <c r="H937" s="11" t="s">
        <v>216</v>
      </c>
      <c r="I937" s="22">
        <f>I919-I936</f>
        <v>28270.88973000001</v>
      </c>
      <c r="K937" s="11" t="s">
        <v>216</v>
      </c>
      <c r="L937" s="142">
        <f ca="1">L919-L936</f>
        <v>28593.683054129695</v>
      </c>
    </row>
    <row r="939" spans="8:14">
      <c r="H939" s="143" t="s">
        <v>217</v>
      </c>
      <c r="I939" s="144"/>
      <c r="K939" s="143" t="s">
        <v>217</v>
      </c>
      <c r="L939" s="144"/>
    </row>
    <row r="940" spans="8:14">
      <c r="H940" s="10" t="s">
        <v>219</v>
      </c>
      <c r="I940" s="37">
        <f>F281</f>
        <v>0.67</v>
      </c>
      <c r="K940" s="10" t="s">
        <v>219</v>
      </c>
      <c r="L940" s="65">
        <f>F281</f>
        <v>0.67</v>
      </c>
    </row>
    <row r="941" spans="8:14">
      <c r="H941" s="10" t="s">
        <v>182</v>
      </c>
      <c r="I941" s="37">
        <f>F325</f>
        <v>0.1</v>
      </c>
      <c r="K941" s="10" t="s">
        <v>182</v>
      </c>
      <c r="L941" s="37">
        <f>F325</f>
        <v>0.1</v>
      </c>
    </row>
    <row r="942" spans="8:14">
      <c r="H942" s="10" t="s">
        <v>220</v>
      </c>
      <c r="I942" s="37">
        <f>F344</f>
        <v>0.85</v>
      </c>
      <c r="K942" s="10" t="s">
        <v>220</v>
      </c>
      <c r="L942" s="37">
        <f>F344</f>
        <v>0.85</v>
      </c>
    </row>
    <row r="943" spans="8:14">
      <c r="H943" s="10" t="s">
        <v>282</v>
      </c>
      <c r="I943" s="36">
        <f>I918*I940</f>
        <v>70153.689330000008</v>
      </c>
      <c r="K943" s="10" t="s">
        <v>282</v>
      </c>
      <c r="L943" s="36">
        <f>L918*L940</f>
        <v>70153.689330000008</v>
      </c>
    </row>
    <row r="944" spans="8:14">
      <c r="H944" s="10" t="s">
        <v>283</v>
      </c>
      <c r="I944" s="36">
        <f>(I918-I919)*I941</f>
        <v>1047.0699899999993</v>
      </c>
      <c r="K944" s="10" t="s">
        <v>283</v>
      </c>
      <c r="L944" s="36">
        <f ca="1">(L918-L919)*L941</f>
        <v>939.47221529010426</v>
      </c>
    </row>
    <row r="945" spans="8:12">
      <c r="H945" s="10" t="s">
        <v>284</v>
      </c>
      <c r="I945" s="36">
        <f>I937*I942</f>
        <v>24030.256270500009</v>
      </c>
      <c r="K945" s="10" t="s">
        <v>284</v>
      </c>
      <c r="L945" s="36">
        <f ca="1">L937*L942</f>
        <v>24304.63059601024</v>
      </c>
    </row>
    <row r="946" spans="8:12">
      <c r="H946" s="10" t="s">
        <v>285</v>
      </c>
      <c r="I946" s="36">
        <f>I943-I944-I945</f>
        <v>45076.363069499996</v>
      </c>
      <c r="K946" s="10" t="s">
        <v>285</v>
      </c>
      <c r="L946" s="36">
        <f ca="1">L943-L944-L945</f>
        <v>44909.58651869966</v>
      </c>
    </row>
    <row r="947" spans="8:12">
      <c r="H947" s="11" t="s">
        <v>221</v>
      </c>
      <c r="I947" s="114">
        <f>I946/I936</f>
        <v>0.68333333333333335</v>
      </c>
      <c r="K947" s="11" t="s">
        <v>221</v>
      </c>
      <c r="L947" s="114">
        <f ca="1">L946/L936</f>
        <v>0.67311950036081525</v>
      </c>
    </row>
    <row r="949" spans="8:12">
      <c r="H949" s="147" t="s">
        <v>222</v>
      </c>
      <c r="I949" s="148"/>
      <c r="K949" s="143" t="s">
        <v>222</v>
      </c>
      <c r="L949" s="144"/>
    </row>
    <row r="950" spans="8:12">
      <c r="H950" s="10" t="s">
        <v>223</v>
      </c>
      <c r="I950" s="36" t="s">
        <v>224</v>
      </c>
      <c r="K950" s="10" t="s">
        <v>223</v>
      </c>
      <c r="L950" s="36" t="s">
        <v>224</v>
      </c>
    </row>
    <row r="951" spans="8:12">
      <c r="H951" s="10" t="s">
        <v>227</v>
      </c>
      <c r="I951" s="36">
        <f>(F313*F351*(I935-I929)*F355)/((1+F353*F355)*F349)</f>
        <v>35373.163821941489</v>
      </c>
      <c r="K951" s="10" t="s">
        <v>227</v>
      </c>
      <c r="L951" s="94">
        <f ca="1">(F313*F351*(L935-L929)*F355)/((1+F353*F355)*F349)</f>
        <v>35937.457315554951</v>
      </c>
    </row>
    <row r="952" spans="8:12">
      <c r="H952" s="10" t="s">
        <v>228</v>
      </c>
      <c r="I952" s="36">
        <f>I951/F347</f>
        <v>44216.454777426858</v>
      </c>
      <c r="K952" s="10" t="s">
        <v>1188</v>
      </c>
      <c r="L952" s="94">
        <f ca="1">L951/F347</f>
        <v>44921.821644443684</v>
      </c>
    </row>
    <row r="953" spans="8:12">
      <c r="H953" s="10" t="s">
        <v>229</v>
      </c>
      <c r="I953" s="36" t="s">
        <v>230</v>
      </c>
      <c r="K953" s="10" t="s">
        <v>229</v>
      </c>
      <c r="L953" s="36" t="s">
        <v>230</v>
      </c>
    </row>
    <row r="954" spans="8:12">
      <c r="H954" s="11" t="s">
        <v>229</v>
      </c>
      <c r="I954" s="22">
        <f>F351/(1+F353*F355)</f>
        <v>0.3125</v>
      </c>
      <c r="K954" s="11" t="s">
        <v>229</v>
      </c>
      <c r="L954" s="22">
        <f>F351/(1+F353*F355)</f>
        <v>0.3125</v>
      </c>
    </row>
    <row r="956" spans="8:12">
      <c r="H956" s="143" t="s">
        <v>231</v>
      </c>
      <c r="I956" s="144"/>
      <c r="K956" s="143" t="s">
        <v>231</v>
      </c>
      <c r="L956" s="144"/>
    </row>
    <row r="957" spans="8:12">
      <c r="H957" s="10" t="s">
        <v>199</v>
      </c>
      <c r="I957" s="36">
        <f>(F313*F333)/1000</f>
        <v>10772.325000000001</v>
      </c>
      <c r="K957" s="10" t="s">
        <v>199</v>
      </c>
      <c r="L957" s="36">
        <f>(F313*F333)/1000</f>
        <v>10772.325000000001</v>
      </c>
    </row>
    <row r="958" spans="8:12">
      <c r="H958" s="11" t="s">
        <v>236</v>
      </c>
      <c r="I958" s="22">
        <f>(F313*F335)/1000</f>
        <v>15081.254999999999</v>
      </c>
      <c r="K958" s="11" t="s">
        <v>236</v>
      </c>
      <c r="L958" s="22">
        <f>(F313*F335)/1000</f>
        <v>15081.254999999999</v>
      </c>
    </row>
    <row r="960" spans="8:12" ht="72.5">
      <c r="H960" s="149" t="s">
        <v>232</v>
      </c>
      <c r="I960" s="150"/>
      <c r="K960" s="149" t="s">
        <v>232</v>
      </c>
      <c r="L960" s="150"/>
    </row>
    <row r="961" spans="8:12">
      <c r="H961" s="10" t="s">
        <v>233</v>
      </c>
      <c r="I961" s="36" t="s">
        <v>234</v>
      </c>
      <c r="K961" s="10" t="s">
        <v>233</v>
      </c>
      <c r="L961" s="36" t="s">
        <v>234</v>
      </c>
    </row>
    <row r="962" spans="8:12">
      <c r="H962" s="11" t="s">
        <v>233</v>
      </c>
      <c r="I962" s="22">
        <f>(I954*F313*(I935-I929))/1000</f>
        <v>16625.3869963125</v>
      </c>
      <c r="K962" s="11" t="s">
        <v>233</v>
      </c>
      <c r="L962" s="22">
        <f ca="1">(L954*F313*(L935-L929))/1000</f>
        <v>16890.604938310829</v>
      </c>
    </row>
    <row r="964" spans="8:12" ht="116">
      <c r="H964" s="149" t="s">
        <v>235</v>
      </c>
      <c r="I964" s="150"/>
      <c r="K964" s="149" t="s">
        <v>235</v>
      </c>
      <c r="L964" s="150"/>
    </row>
    <row r="965" spans="8:12">
      <c r="H965" s="10" t="s">
        <v>238</v>
      </c>
      <c r="I965" s="36">
        <f>I962/F347</f>
        <v>20781.733745390622</v>
      </c>
      <c r="K965" s="10" t="s">
        <v>238</v>
      </c>
      <c r="L965" s="36">
        <f ca="1">L962/F347</f>
        <v>21113.256172888534</v>
      </c>
    </row>
    <row r="966" spans="8:12">
      <c r="H966" s="10" t="s">
        <v>239</v>
      </c>
      <c r="I966" s="36">
        <f>I958</f>
        <v>15081.254999999999</v>
      </c>
      <c r="K966" s="10" t="s">
        <v>239</v>
      </c>
      <c r="L966" s="36">
        <f>L958</f>
        <v>15081.254999999999</v>
      </c>
    </row>
    <row r="967" spans="8:12">
      <c r="H967" s="10" t="s">
        <v>237</v>
      </c>
      <c r="I967" s="36">
        <f>I965-I958</f>
        <v>5700.4787453906229</v>
      </c>
      <c r="K967" s="10" t="s">
        <v>237</v>
      </c>
      <c r="L967" s="36">
        <f ca="1">L965-L958</f>
        <v>6032.0011728885347</v>
      </c>
    </row>
    <row r="968" spans="8:12">
      <c r="H968" s="11" t="s">
        <v>240</v>
      </c>
      <c r="I968" s="22">
        <f>(I967*1000)/I952</f>
        <v>128.9221122336746</v>
      </c>
      <c r="K968" s="11" t="s">
        <v>240</v>
      </c>
      <c r="L968" s="22">
        <f ca="1">(L967*1000)/L952</f>
        <v>134.27775081411073</v>
      </c>
    </row>
    <row r="970" spans="8:12">
      <c r="H970" s="143" t="s">
        <v>243</v>
      </c>
      <c r="I970" s="144"/>
      <c r="K970" s="143" t="s">
        <v>243</v>
      </c>
      <c r="L970" s="144"/>
    </row>
    <row r="971" spans="8:12">
      <c r="H971" s="10" t="s">
        <v>244</v>
      </c>
      <c r="I971" s="37">
        <v>0.16</v>
      </c>
      <c r="K971" s="10" t="s">
        <v>244</v>
      </c>
      <c r="L971" s="37">
        <v>0.16</v>
      </c>
    </row>
    <row r="972" spans="8:12">
      <c r="H972" s="10" t="s">
        <v>245</v>
      </c>
      <c r="I972" s="37">
        <f>F357</f>
        <v>0.9</v>
      </c>
      <c r="K972" s="10" t="s">
        <v>245</v>
      </c>
      <c r="L972" s="37">
        <f>F357</f>
        <v>0.9</v>
      </c>
    </row>
    <row r="973" spans="8:12">
      <c r="H973" s="10" t="s">
        <v>247</v>
      </c>
      <c r="I973" s="79">
        <f>F295</f>
        <v>1</v>
      </c>
      <c r="K973" s="10" t="s">
        <v>247</v>
      </c>
      <c r="L973" s="79">
        <f>F295</f>
        <v>1</v>
      </c>
    </row>
    <row r="974" spans="8:12">
      <c r="H974" s="10" t="s">
        <v>248</v>
      </c>
      <c r="I974" s="44">
        <f>(I967*I972)/(1000*I971)</f>
        <v>32.065192942822257</v>
      </c>
      <c r="K974" s="10" t="s">
        <v>248</v>
      </c>
      <c r="L974" s="44">
        <f ca="1">(L967*L972)/(1000*L971)</f>
        <v>33.930006597498007</v>
      </c>
    </row>
    <row r="975" spans="8:12">
      <c r="H975" s="10" t="s">
        <v>249</v>
      </c>
      <c r="I975" s="44">
        <f>I968-I974</f>
        <v>96.856919290852346</v>
      </c>
      <c r="K975" s="10" t="s">
        <v>249</v>
      </c>
      <c r="L975" s="44">
        <f ca="1">L968-L974</f>
        <v>100.34774421661272</v>
      </c>
    </row>
    <row r="976" spans="8:12">
      <c r="H976" s="10" t="s">
        <v>251</v>
      </c>
      <c r="I976" s="44">
        <f>I967*I972</f>
        <v>5130.4308708515609</v>
      </c>
      <c r="K976" s="10" t="s">
        <v>251</v>
      </c>
      <c r="L976" s="44">
        <f ca="1">L967*L972</f>
        <v>5428.8010555996816</v>
      </c>
    </row>
    <row r="977" spans="8:15">
      <c r="H977" s="11" t="s">
        <v>250</v>
      </c>
      <c r="I977" s="142">
        <f>I967-I976</f>
        <v>570.04787453906192</v>
      </c>
      <c r="K977" s="10" t="s">
        <v>250</v>
      </c>
      <c r="L977" s="44">
        <f ca="1">L967-L976</f>
        <v>603.20011728885311</v>
      </c>
    </row>
    <row r="978" spans="8:15">
      <c r="K978" s="11" t="s">
        <v>1187</v>
      </c>
      <c r="L978" s="142">
        <f ca="1">L977*L947</f>
        <v>406.02576156705794</v>
      </c>
    </row>
    <row r="980" spans="8:15">
      <c r="H980" s="143" t="s">
        <v>252</v>
      </c>
      <c r="I980" s="144"/>
      <c r="K980" s="147" t="s">
        <v>252</v>
      </c>
      <c r="L980" s="148"/>
    </row>
    <row r="981" spans="8:15">
      <c r="H981" s="10" t="s">
        <v>253</v>
      </c>
      <c r="I981" s="36">
        <f>(I977*1000)/I975</f>
        <v>5885.4636169798159</v>
      </c>
      <c r="K981" s="10" t="s">
        <v>1144</v>
      </c>
      <c r="L981" s="36">
        <f ca="1">L977*F327*F329*F331</f>
        <v>378.59252161517583</v>
      </c>
    </row>
    <row r="982" spans="8:15">
      <c r="H982" s="10" t="s">
        <v>254</v>
      </c>
      <c r="I982" s="36">
        <f>I981*F327*F329*F331</f>
        <v>3693.9523845612121</v>
      </c>
      <c r="K982" s="11" t="s">
        <v>199</v>
      </c>
      <c r="L982" s="22">
        <f ca="1">(L981*L975)/1000</f>
        <v>37.990905521362087</v>
      </c>
    </row>
    <row r="983" spans="8:15">
      <c r="H983" s="11" t="s">
        <v>199</v>
      </c>
      <c r="I983" s="22">
        <f>(I982*I975)/1000</f>
        <v>357.78484797569689</v>
      </c>
    </row>
    <row r="985" spans="8:15">
      <c r="H985" s="143" t="s">
        <v>255</v>
      </c>
      <c r="I985" s="144"/>
      <c r="K985" s="143" t="s">
        <v>255</v>
      </c>
      <c r="L985" s="144"/>
    </row>
    <row r="986" spans="8:15">
      <c r="H986" s="145" t="s">
        <v>259</v>
      </c>
      <c r="I986" s="146"/>
      <c r="K986" s="145" t="s">
        <v>259</v>
      </c>
      <c r="L986" s="146"/>
    </row>
    <row r="987" spans="8:15">
      <c r="H987" s="38" t="s">
        <v>712</v>
      </c>
      <c r="I987" s="151">
        <f>I936</f>
        <v>65965.409369999994</v>
      </c>
      <c r="K987" s="38" t="s">
        <v>712</v>
      </c>
      <c r="L987" s="151">
        <f ca="1">L936</f>
        <v>66718.593792969259</v>
      </c>
      <c r="M987" s="91"/>
      <c r="N987" s="91"/>
      <c r="O987" s="91"/>
    </row>
    <row r="988" spans="8:15">
      <c r="H988" s="38" t="s">
        <v>713</v>
      </c>
      <c r="I988" s="151">
        <f>I976</f>
        <v>5130.4308708515609</v>
      </c>
      <c r="K988" s="38" t="s">
        <v>713</v>
      </c>
      <c r="L988" s="151">
        <f ca="1">L976</f>
        <v>5428.8010555996816</v>
      </c>
      <c r="M988" s="91"/>
      <c r="N988" s="91"/>
    </row>
    <row r="989" spans="8:15">
      <c r="H989" s="10" t="s">
        <v>200</v>
      </c>
      <c r="I989" s="36" t="s">
        <v>260</v>
      </c>
      <c r="K989" s="10" t="s">
        <v>200</v>
      </c>
      <c r="L989" s="36" t="s">
        <v>260</v>
      </c>
    </row>
    <row r="990" spans="8:15">
      <c r="H990" s="10" t="s">
        <v>1085</v>
      </c>
      <c r="I990" s="36" cm="1">
        <f t="array" ref="I990">_xlfn.IFS('Parameter Inputs'!F9="Primary",'Parameter Inputs'!I987*'Parameter Inputs'!G9,'Parameter Inputs'!F9="WAS",'Parameter Inputs'!G9*'Parameter Inputs'!I988,'Parameter Inputs'!F9="Combined",'Parameter Inputs'!G9*('Parameter Inputs'!I987+'Parameter Inputs'!I988))</f>
        <v>7.1095840240851553E-96</v>
      </c>
      <c r="K990" s="10" t="s">
        <v>1085</v>
      </c>
      <c r="L990" s="79" cm="1">
        <f t="array" aca="1" ref="L990" ca="1">_xlfn.IFS('Parameter Inputs'!F9="Primary",'Parameter Inputs'!L987*'Parameter Inputs'!G9,'Parameter Inputs'!F9="WAS",'Parameter Inputs'!G9*'Parameter Inputs'!L988,'Parameter Inputs'!F9="Combined",'Parameter Inputs'!G9*('Parameter Inputs'!L987+'Parameter Inputs'!L988))</f>
        <v>7.2147394848568945E-96</v>
      </c>
    </row>
    <row r="991" spans="8:15">
      <c r="H991" s="10" t="s">
        <v>1084</v>
      </c>
      <c r="I991" s="36" cm="1">
        <f t="array" ref="I991">_xlfn.IFS('Parameter Inputs'!F9="Primary",I1007*'Parameter Inputs'!G9,'Parameter Inputs'!F9="WAS",'Parameter Inputs'!G9*'Parameter Inputs'!I1008,'Parameter Inputs'!F9="Combined",'Parameter Inputs'!G9*('Parameter Inputs'!I1007+'Results. Energy Balance'!I1064))</f>
        <v>4.5076363069499995E-96</v>
      </c>
      <c r="K991" s="10" t="s">
        <v>1089</v>
      </c>
      <c r="L991" s="79" cm="1">
        <f t="array" aca="1" ref="L991" ca="1">_xlfn.IFS('Parameter Inputs'!F9="Primary",'Parameter Inputs'!L1009*'Parameter Inputs'!G9,'Parameter Inputs'!F9="WAS",'Parameter Inputs'!L1010*'Parameter Inputs'!G9,'Parameter Inputs'!F9="Combined",'Parameter Inputs'!L1011*'Parameter Inputs'!G9)</f>
        <v>4.9252627363179415E-96</v>
      </c>
    </row>
    <row r="992" spans="8:15">
      <c r="H992" s="10" t="s">
        <v>1088</v>
      </c>
      <c r="I992" s="36" cm="1">
        <f t="array" ref="I992">_xlfn.IFS('Parameter Inputs'!F9="Primary",('Parameter Inputs'!I987/I971)*'Parameter Inputs'!G9,'Parameter Inputs'!F9="WAS",'Parameter Inputs'!G9*('Parameter Inputs'!I988/I971),'Parameter Inputs'!F9="Combined",'Parameter Inputs'!G9*(('Parameter Inputs'!I987/I971)+('Parameter Inputs'!I988/I971)))</f>
        <v>4.4434900150532219E-95</v>
      </c>
      <c r="K992" s="10" t="s">
        <v>1090</v>
      </c>
      <c r="L992" s="79" cm="1">
        <f t="array" aca="1" ref="L992" ca="1">_xlfn.IFS('Parameter Inputs'!F9="Primary",('Parameter Inputs'!L987/L971)*'Parameter Inputs'!G9,'Parameter Inputs'!F9="WAS",'Parameter Inputs'!G9*('Parameter Inputs'!L988/L971),'Parameter Inputs'!F9="Combined",'Parameter Inputs'!G9*(('Parameter Inputs'!L987/L971)+('Parameter Inputs'!L988/L971)))</f>
        <v>4.5092121780355588E-95</v>
      </c>
    </row>
    <row r="993" spans="8:12">
      <c r="H993" s="10" t="s">
        <v>1079</v>
      </c>
      <c r="I993" s="36">
        <f ca="1">IFERROR('Parameter Inputs'!N1082,0)</f>
        <v>12081.052097350006</v>
      </c>
      <c r="K993" s="10" t="s">
        <v>1079</v>
      </c>
      <c r="L993" s="36">
        <f ca="1">IFERROR('Parameter Inputs'!N1082,0)</f>
        <v>12081.052097350006</v>
      </c>
    </row>
    <row r="994" spans="8:12">
      <c r="H994" s="10" t="s">
        <v>1080</v>
      </c>
      <c r="I994" s="36">
        <f ca="1">IFERROR('Parameter Inputs'!N1083,0)</f>
        <v>10301.15128951845</v>
      </c>
      <c r="K994" s="10" t="s">
        <v>1080</v>
      </c>
      <c r="L994" s="36">
        <f ca="1">IFERROR('Parameter Inputs'!N1083,0)</f>
        <v>10301.15128951845</v>
      </c>
    </row>
    <row r="995" spans="8:12">
      <c r="H995" s="10" t="s">
        <v>1082</v>
      </c>
      <c r="I995" s="36">
        <f ca="1">IFERROR('Parameter Inputs'!N1080,0)</f>
        <v>25283.801978745334</v>
      </c>
      <c r="K995" s="10" t="s">
        <v>1082</v>
      </c>
      <c r="L995" s="36">
        <f ca="1">IFERROR('Parameter Inputs'!N1080,0)</f>
        <v>25283.801978745334</v>
      </c>
    </row>
    <row r="996" spans="8:12">
      <c r="H996" s="10" t="s">
        <v>1081</v>
      </c>
      <c r="I996" s="36">
        <f ca="1">I990+I993</f>
        <v>12081.052097350006</v>
      </c>
      <c r="K996" s="10" t="s">
        <v>1081</v>
      </c>
      <c r="L996" s="94">
        <f ca="1">L990+L993</f>
        <v>12081.052097350006</v>
      </c>
    </row>
    <row r="997" spans="8:12">
      <c r="H997" s="10" t="s">
        <v>1083</v>
      </c>
      <c r="I997" s="36">
        <f ca="1">I991+I994</f>
        <v>10301.15128951845</v>
      </c>
      <c r="K997" s="10" t="s">
        <v>1083</v>
      </c>
      <c r="L997" s="94">
        <f ca="1">L991+L994</f>
        <v>10301.15128951845</v>
      </c>
    </row>
    <row r="998" spans="8:12">
      <c r="H998" s="10" t="s">
        <v>1143</v>
      </c>
      <c r="I998" s="36">
        <f ca="1">I992+I995</f>
        <v>25283.801978745334</v>
      </c>
      <c r="K998" s="10" t="s">
        <v>1143</v>
      </c>
      <c r="L998" s="94">
        <f ca="1">L992+L995</f>
        <v>25283.801978745334</v>
      </c>
    </row>
    <row r="999" spans="8:12">
      <c r="H999" s="10" t="s">
        <v>548</v>
      </c>
      <c r="I999" s="94">
        <f ca="1">(I998/'Parameter Inputs'!F309)*'Parameter Inputs'!F360</f>
        <v>379.25702968118003</v>
      </c>
      <c r="K999" s="10" t="s">
        <v>548</v>
      </c>
      <c r="L999" s="94">
        <f ca="1">(L998/'Parameter Inputs'!F309)*'Parameter Inputs'!F360</f>
        <v>379.25702968118003</v>
      </c>
    </row>
    <row r="1000" spans="8:12">
      <c r="H1000" s="10" t="s">
        <v>714</v>
      </c>
      <c r="I1000" s="36" cm="1">
        <f t="array" ref="I1000">IF('Parameter Inputs'!E18='Parameter Inputs'!BK35,'Parameter Inputs'!F18,_xlfn.IFS('Parameter Inputs'!F7="Primary",'Parameter Inputs'!G7*'Parameter Inputs'!I987,'Parameter Inputs'!F7="WAS",'Parameter Inputs'!G7*'Parameter Inputs'!I988,'Parameter Inputs'!F7="Combined",'Parameter Inputs'!G7*('Parameter Inputs'!I987+'Parameter Inputs'!I988)))</f>
        <v>71095.840240851554</v>
      </c>
      <c r="K1000" s="10" t="s">
        <v>714</v>
      </c>
      <c r="L1000" s="36" cm="1">
        <f t="array" aca="1" ref="L1000" ca="1">IF('Parameter Inputs'!E18='Parameter Inputs'!BK35,'Parameter Inputs'!F18*'Parameter Inputs'!G7,_xlfn.IFS('Parameter Inputs'!F7="Primary",'Parameter Inputs'!G7*'Parameter Inputs'!L987,'Parameter Inputs'!F7="WAS",'Parameter Inputs'!G7*'Parameter Inputs'!L988,'Parameter Inputs'!F7="Combined",'Parameter Inputs'!G7*('Parameter Inputs'!L987+'Parameter Inputs'!L988)))</f>
        <v>72147.394848568947</v>
      </c>
    </row>
    <row r="1001" spans="8:12">
      <c r="H1001" s="10" t="s">
        <v>261</v>
      </c>
      <c r="I1001" s="36">
        <f>I936/(F291*1000)</f>
        <v>1099.4234895</v>
      </c>
      <c r="K1001" s="10" t="s">
        <v>1075</v>
      </c>
      <c r="L1001" s="36" cm="1">
        <f t="array" aca="1" ref="L1001" ca="1">_xlfn.IFS('Parameter Inputs'!F9="Primary",'Parameter Inputs'!L1009*'Parameter Inputs'!G7,'Parameter Inputs'!F9="WAS",'Parameter Inputs'!L1010*'Parameter Inputs'!G7,'Parameter Inputs'!F9="Combined",'Parameter Inputs'!L1011*'Parameter Inputs'!G7)</f>
        <v>49252.62736317941</v>
      </c>
    </row>
    <row r="1002" spans="8:12">
      <c r="H1002" s="10" t="s">
        <v>262</v>
      </c>
      <c r="I1002" s="36">
        <f>I976/(F293*1000)</f>
        <v>128.26077177128903</v>
      </c>
      <c r="K1002" s="10" t="s">
        <v>261</v>
      </c>
      <c r="L1002" s="36">
        <f ca="1">L936/(F291*1000)</f>
        <v>1111.9765632161543</v>
      </c>
    </row>
    <row r="1003" spans="8:12">
      <c r="H1003" s="11" t="s">
        <v>263</v>
      </c>
      <c r="I1003" s="22">
        <f>I1001+I1002</f>
        <v>1227.684261271289</v>
      </c>
      <c r="K1003" s="11" t="s">
        <v>262</v>
      </c>
      <c r="L1003" s="22">
        <f ca="1">L976/(F293*1000)</f>
        <v>135.72002638999203</v>
      </c>
    </row>
    <row r="1004" spans="8:12">
      <c r="K1004" s="5" t="s">
        <v>263</v>
      </c>
      <c r="L1004" s="5">
        <f ca="1">L1002+L1003</f>
        <v>1247.6965896061463</v>
      </c>
    </row>
    <row r="1005" spans="8:12">
      <c r="H1005" s="143" t="s">
        <v>264</v>
      </c>
      <c r="I1005" s="144"/>
    </row>
    <row r="1006" spans="8:12">
      <c r="H1006" s="10" t="s">
        <v>641</v>
      </c>
      <c r="I1006" s="36" cm="1">
        <f t="array" ref="I1006">_xlfn.IFS('Parameter Inputs'!F9="Primary",'Parameter Inputs'!I1007*'Parameter Inputs'!G9,'Parameter Inputs'!F9="WAS",'Parameter Inputs'!I1008*'Parameter Inputs'!G9,'Parameter Inputs'!F9="Combined",'Parameter Inputs'!I1009*'Parameter Inputs'!G9)</f>
        <v>4.9180707766181246E-96</v>
      </c>
    </row>
    <row r="1007" spans="8:12">
      <c r="H1007" s="10" t="s">
        <v>265</v>
      </c>
      <c r="I1007" s="36">
        <f>I936*I947</f>
        <v>45076.363069499996</v>
      </c>
      <c r="K1007" s="143" t="s">
        <v>1078</v>
      </c>
      <c r="L1007" s="144"/>
    </row>
    <row r="1008" spans="8:12">
      <c r="H1008" s="10" t="s">
        <v>266</v>
      </c>
      <c r="I1008" s="36">
        <f>F347*I976</f>
        <v>4104.3446966812489</v>
      </c>
      <c r="K1008" s="10"/>
      <c r="L1008" s="36"/>
    </row>
    <row r="1009" spans="8:14">
      <c r="H1009" s="10" t="s">
        <v>588</v>
      </c>
      <c r="I1009" s="36">
        <f>I1007+I1008</f>
        <v>49180.707766181244</v>
      </c>
      <c r="K1009" s="10" t="s">
        <v>265</v>
      </c>
      <c r="L1009" s="36">
        <f ca="1">L936*L947</f>
        <v>44909.58651869966</v>
      </c>
    </row>
    <row r="1010" spans="8:14">
      <c r="H1010" s="10" t="s">
        <v>582</v>
      </c>
      <c r="I1010" s="36">
        <f>I1008*F329</f>
        <v>5828.1694692873734</v>
      </c>
      <c r="K1010" s="10" t="s">
        <v>266</v>
      </c>
      <c r="L1010" s="36">
        <f ca="1">F347*L976</f>
        <v>4343.0408444797458</v>
      </c>
    </row>
    <row r="1011" spans="8:14">
      <c r="H1011" s="10" t="s">
        <v>583</v>
      </c>
      <c r="I1011" s="36">
        <f>(F317/1000)*F313*'Parameter Inputs'!F52</f>
        <v>122097.84047999998</v>
      </c>
      <c r="K1011" s="10" t="s">
        <v>588</v>
      </c>
      <c r="L1011" s="36">
        <f ca="1">(L1009+L1010)</f>
        <v>49252.627363179403</v>
      </c>
    </row>
    <row r="1012" spans="8:14">
      <c r="H1012" s="11" t="s">
        <v>581</v>
      </c>
      <c r="I1012" s="22">
        <f>I1010+I1011</f>
        <v>127926.00994928736</v>
      </c>
      <c r="K1012" s="10" t="s">
        <v>1076</v>
      </c>
      <c r="L1012" s="36">
        <f ca="1">L1010*F329</f>
        <v>6167.1179991612389</v>
      </c>
    </row>
    <row r="1013" spans="8:14">
      <c r="I1013" s="91"/>
      <c r="K1013" s="10" t="s">
        <v>583</v>
      </c>
      <c r="L1013" s="36">
        <f>((F317/1000)*F313*'Parameter Inputs'!F52)</f>
        <v>122097.84047999998</v>
      </c>
    </row>
    <row r="1014" spans="8:14">
      <c r="K1014" s="11" t="s">
        <v>1077</v>
      </c>
      <c r="L1014" s="22">
        <f ca="1">L1012+L1013</f>
        <v>128264.95847916123</v>
      </c>
    </row>
    <row r="1015" spans="8:14">
      <c r="L1015" s="91"/>
    </row>
    <row r="1016" spans="8:14" ht="130.5">
      <c r="H1016" s="152" t="s">
        <v>267</v>
      </c>
      <c r="I1016" s="153"/>
    </row>
    <row r="1017" spans="8:14">
      <c r="H1017" s="11" t="s">
        <v>268</v>
      </c>
      <c r="I1017" s="142">
        <f ca="1">I996-I997</f>
        <v>1779.9008078315564</v>
      </c>
    </row>
    <row r="1018" spans="8:14" ht="174">
      <c r="H1018" s="9" t="s">
        <v>269</v>
      </c>
      <c r="I1018" s="43">
        <f ca="1">I1017+(I997*(1-F362))</f>
        <v>5385.3037591630136</v>
      </c>
      <c r="K1018" s="152" t="s">
        <v>267</v>
      </c>
      <c r="L1018" s="153"/>
    </row>
    <row r="1019" spans="8:14">
      <c r="H1019" s="10" t="s">
        <v>274</v>
      </c>
      <c r="I1019" s="44">
        <f ca="1">F364*I997*F362</f>
        <v>6260.5246962048386</v>
      </c>
      <c r="K1019" s="10" t="s">
        <v>268</v>
      </c>
      <c r="L1019" s="44">
        <f ca="1">L996-L997</f>
        <v>1779.9008078315564</v>
      </c>
    </row>
    <row r="1020" spans="8:14">
      <c r="H1020" s="11" t="s">
        <v>273</v>
      </c>
      <c r="I1020" s="142">
        <f ca="1">I1019*F376</f>
        <v>6482.3976914383375</v>
      </c>
      <c r="K1020" s="10" t="s">
        <v>269</v>
      </c>
      <c r="L1020" s="44">
        <f ca="1">L1019+(L1021)</f>
        <v>5385.3037591630145</v>
      </c>
    </row>
    <row r="1021" spans="8:14">
      <c r="K1021" s="10" t="s">
        <v>1179</v>
      </c>
      <c r="L1021" s="44">
        <f ca="1">L997*(1-F362)</f>
        <v>3605.4029513314572</v>
      </c>
      <c r="N1021" s="91"/>
    </row>
    <row r="1022" spans="8:14">
      <c r="H1022" s="147" t="s">
        <v>275</v>
      </c>
      <c r="I1022" s="148"/>
      <c r="K1022" s="10" t="s">
        <v>1180</v>
      </c>
      <c r="L1022" s="65">
        <f ca="1">L1021/L1020</f>
        <v>0.66948924565246992</v>
      </c>
    </row>
    <row r="1023" spans="8:14">
      <c r="H1023" s="10" t="s">
        <v>276</v>
      </c>
      <c r="I1023" s="94">
        <f ca="1">I998</f>
        <v>25283.801978745334</v>
      </c>
      <c r="K1023" s="10" t="s">
        <v>274</v>
      </c>
      <c r="L1023" s="44">
        <f ca="1">F364*L997*F362</f>
        <v>6260.5246962048386</v>
      </c>
      <c r="M1023" s="91"/>
    </row>
    <row r="1024" spans="8:14">
      <c r="H1024" s="10" t="s">
        <v>277</v>
      </c>
      <c r="I1024" s="94">
        <f ca="1">I1020</f>
        <v>6482.3976914383375</v>
      </c>
      <c r="K1024" s="11" t="s">
        <v>273</v>
      </c>
      <c r="L1024" s="142">
        <f ca="1">L1023*F376</f>
        <v>6482.3976914383375</v>
      </c>
    </row>
    <row r="1025" spans="8:12">
      <c r="H1025" s="11" t="s">
        <v>278</v>
      </c>
      <c r="I1025" s="95">
        <f ca="1">I1023-I1024</f>
        <v>18801.404287306996</v>
      </c>
    </row>
    <row r="1026" spans="8:12">
      <c r="H1026" s="9"/>
      <c r="I1026" s="41"/>
      <c r="K1026" s="147" t="s">
        <v>275</v>
      </c>
      <c r="L1026" s="148"/>
    </row>
    <row r="1027" spans="8:12" ht="58">
      <c r="H1027" s="154" t="s">
        <v>1087</v>
      </c>
      <c r="I1027" s="155"/>
      <c r="K1027" s="10" t="s">
        <v>276</v>
      </c>
      <c r="L1027" s="94">
        <f ca="1">L998</f>
        <v>25283.801978745334</v>
      </c>
    </row>
    <row r="1028" spans="8:12">
      <c r="H1028" s="10" t="s">
        <v>718</v>
      </c>
      <c r="I1028" s="94">
        <f ca="1">((F368*I1025)-((F368/F370)*I1018))/(1-(F368/F370))</f>
        <v>38.052105066983643</v>
      </c>
      <c r="K1028" s="10" t="s">
        <v>277</v>
      </c>
      <c r="L1028" s="94">
        <f ca="1">L1024</f>
        <v>6482.3976914383375</v>
      </c>
    </row>
    <row r="1029" spans="8:12">
      <c r="H1029" s="10" t="s">
        <v>719</v>
      </c>
      <c r="I1029" s="44">
        <f ca="1">I1018-I1028</f>
        <v>5347.2516540960296</v>
      </c>
      <c r="K1029" s="11" t="s">
        <v>278</v>
      </c>
      <c r="L1029" s="95">
        <f ca="1">L1027-L1028</f>
        <v>18801.404287306996</v>
      </c>
    </row>
    <row r="1030" spans="8:12">
      <c r="H1030" s="11" t="s">
        <v>720</v>
      </c>
      <c r="I1030" s="142">
        <f ca="1">I1028/(F368*1000)</f>
        <v>7.6104210133967287</v>
      </c>
    </row>
    <row r="1031" spans="8:12" ht="101.5">
      <c r="H1031" s="9" t="s">
        <v>721</v>
      </c>
      <c r="I1031" s="43">
        <f ca="1">I1029/(F370*1000)</f>
        <v>11.190983273910268</v>
      </c>
      <c r="K1031" s="152" t="s">
        <v>279</v>
      </c>
      <c r="L1031" s="153"/>
    </row>
    <row r="1032" spans="8:12">
      <c r="H1032" s="10" t="s">
        <v>722</v>
      </c>
      <c r="I1032" s="44">
        <f ca="1">I1030*(F366*1000)</f>
        <v>7.6104210133967287</v>
      </c>
      <c r="K1032" s="10" t="s">
        <v>718</v>
      </c>
      <c r="L1032" s="94">
        <f ca="1">((F368*L1029)-((F368/F370)*L1020))/(1-(F368/F370))</f>
        <v>38.052105066983636</v>
      </c>
    </row>
    <row r="1033" spans="8:12">
      <c r="H1033" s="11" t="s">
        <v>200</v>
      </c>
      <c r="I1033" s="142">
        <f ca="1">I1030*(F368*1000)</f>
        <v>38.052105066983643</v>
      </c>
      <c r="K1033" s="10" t="s">
        <v>1181</v>
      </c>
      <c r="L1033" s="94">
        <f ca="1">L1032*L1022</f>
        <v>25.475475116783404</v>
      </c>
    </row>
    <row r="1034" spans="8:12">
      <c r="K1034" s="10" t="s">
        <v>1182</v>
      </c>
      <c r="L1034" s="44">
        <f ca="1">L1020-L1032</f>
        <v>5347.2516540960305</v>
      </c>
    </row>
    <row r="1035" spans="8:12">
      <c r="H1035" s="9" t="s">
        <v>723</v>
      </c>
      <c r="I1035" s="41"/>
      <c r="K1035" s="10" t="s">
        <v>1183</v>
      </c>
      <c r="L1035" s="44">
        <f ca="1">L1021-L1033</f>
        <v>3579.9274762146738</v>
      </c>
    </row>
    <row r="1036" spans="8:12">
      <c r="H1036" s="10" t="s">
        <v>729</v>
      </c>
      <c r="I1036" s="36">
        <f ca="1">IF(F370&lt;F380,I1029*F385,0)</f>
        <v>0</v>
      </c>
      <c r="K1036" s="10" t="s">
        <v>720</v>
      </c>
      <c r="L1036" s="44">
        <f ca="1">L1032/(F368*1000)</f>
        <v>7.6104210133967269</v>
      </c>
    </row>
    <row r="1037" spans="8:12">
      <c r="H1037" s="10" t="s">
        <v>730</v>
      </c>
      <c r="I1037" s="36">
        <f ca="1">I1036/(F382*F380*1000)</f>
        <v>0</v>
      </c>
      <c r="K1037" s="10" t="s">
        <v>721</v>
      </c>
      <c r="L1037" s="44">
        <f ca="1">L1034/(F370*1000)</f>
        <v>11.19098327391027</v>
      </c>
    </row>
    <row r="1038" spans="8:12">
      <c r="H1038" s="10" t="s">
        <v>731</v>
      </c>
      <c r="I1038" s="44">
        <f ca="1">IF(I1036&gt;0, I1031-I1037,0)</f>
        <v>0</v>
      </c>
      <c r="K1038" s="10" t="s">
        <v>722</v>
      </c>
      <c r="L1038" s="44">
        <f ca="1">L1036*(F366*1000)</f>
        <v>7.6104210133967269</v>
      </c>
    </row>
    <row r="1039" spans="8:12">
      <c r="H1039" s="10" t="s">
        <v>732</v>
      </c>
      <c r="I1039" s="44">
        <f ca="1">I1038*F387</f>
        <v>0</v>
      </c>
      <c r="K1039" s="11" t="s">
        <v>200</v>
      </c>
      <c r="L1039" s="142">
        <f ca="1">L1036*(F368*1000)</f>
        <v>38.052105066983636</v>
      </c>
    </row>
    <row r="1040" spans="8:12">
      <c r="H1040" s="11" t="s">
        <v>733</v>
      </c>
      <c r="I1040" s="142">
        <f ca="1">IF(I1036&gt;0, I1029*(1-F385), 0)</f>
        <v>0</v>
      </c>
    </row>
    <row r="1041" spans="8:15">
      <c r="K1041" s="9" t="s">
        <v>723</v>
      </c>
      <c r="L1041" s="41"/>
    </row>
    <row r="1042" spans="8:15">
      <c r="H1042" s="9" t="s">
        <v>735</v>
      </c>
      <c r="I1042" s="43">
        <f ca="1">I977+I1033+I1040+(IFERROR('Parameter Inputs'!N1136*'Parameter Inputs'!N1134,0))</f>
        <v>1042.825504349154</v>
      </c>
      <c r="K1042" s="10" t="s">
        <v>1186</v>
      </c>
      <c r="L1042" s="94">
        <f ca="1">IF(F370&lt;F380,L1034*F385,0)</f>
        <v>0</v>
      </c>
    </row>
    <row r="1043" spans="8:15">
      <c r="H1043" s="10" t="s">
        <v>736</v>
      </c>
      <c r="I1043" s="44">
        <f ca="1">I983+I1032+I1039+(IFERROR('Parameter Inputs'!N1139,0))</f>
        <v>1697.3948287892945</v>
      </c>
      <c r="K1043" s="10" t="s">
        <v>1185</v>
      </c>
      <c r="L1043" s="94">
        <f ca="1">L1042*L1022</f>
        <v>0</v>
      </c>
    </row>
    <row r="1044" spans="8:15">
      <c r="H1044" s="11" t="s">
        <v>1091</v>
      </c>
      <c r="I1044" s="142">
        <f ca="1">I975+I1030+I1038+(IFERROR('Parameter Inputs'!N1134,0))</f>
        <v>1100.7808832546641</v>
      </c>
      <c r="K1044" s="10" t="s">
        <v>1196</v>
      </c>
      <c r="L1044" s="94" cm="1">
        <f t="array" aca="1" ref="L1044" ca="1">_xlfn.IFS(L1042&gt;0,L1042*F392, L1042=0,L1034*F392)</f>
        <v>176.45930458516901</v>
      </c>
    </row>
    <row r="1045" spans="8:15">
      <c r="K1045" s="10" t="s">
        <v>1197</v>
      </c>
      <c r="L1045" s="94" cm="1">
        <f t="array" aca="1" ref="L1045" ca="1">_xlfn.IFS(L1042&gt;0,L1042*F394, L1042=0,L1034*F394)</f>
        <v>122.98678804420869</v>
      </c>
      <c r="O1045" s="113"/>
    </row>
    <row r="1046" spans="8:15">
      <c r="K1046" s="10" t="s">
        <v>1198</v>
      </c>
      <c r="L1046" s="94" cm="1">
        <f t="array" aca="1" ref="L1046" ca="1">_xlfn.IFS(L1042&gt;0,L1042*F396, L1042=0,L1034*F396)</f>
        <v>16.041754962288092</v>
      </c>
      <c r="O1046" s="92"/>
    </row>
    <row r="1047" spans="8:15">
      <c r="K1047" s="10" t="s">
        <v>730</v>
      </c>
      <c r="L1047" s="94">
        <f ca="1">L1042/(F382*F380*1000)</f>
        <v>0</v>
      </c>
    </row>
    <row r="1048" spans="8:15">
      <c r="K1048" s="10" t="s">
        <v>731</v>
      </c>
      <c r="L1048" s="44">
        <f ca="1">IF(L1042&gt;0, L1037-L1047,0)</f>
        <v>0</v>
      </c>
    </row>
    <row r="1049" spans="8:15">
      <c r="K1049" s="10" t="s">
        <v>732</v>
      </c>
      <c r="L1049" s="44">
        <f ca="1">L1048*F387</f>
        <v>0</v>
      </c>
    </row>
    <row r="1050" spans="8:15">
      <c r="K1050" s="10" t="s">
        <v>733</v>
      </c>
      <c r="L1050" s="44">
        <f ca="1">IF(L1042&gt;0, L1034*(1-F385), 0)</f>
        <v>0</v>
      </c>
    </row>
    <row r="1051" spans="8:15">
      <c r="K1051" s="11" t="s">
        <v>1184</v>
      </c>
      <c r="L1051" s="95">
        <f ca="1">L1050*L1022</f>
        <v>0</v>
      </c>
    </row>
    <row r="1053" spans="8:15">
      <c r="K1053" s="9" t="s">
        <v>735</v>
      </c>
      <c r="L1053" s="43">
        <f ca="1">IFERROR(L977,0)+IFERROR(L1039,0)+IFERROR(L1050,0)+(IFERROR('Parameter Inputs'!N1136*'Parameter Inputs'!N1134,0))</f>
        <v>1075.9777470989452</v>
      </c>
    </row>
    <row r="1054" spans="8:15">
      <c r="K1054" s="10" t="s">
        <v>736</v>
      </c>
      <c r="L1054" s="44">
        <f ca="1">IFERROR(L982,0)+IFERROR(L1038,0)+IFERROR(L1049,0)+(IFERROR('Parameter Inputs'!N1139,0))</f>
        <v>1377.6008863349596</v>
      </c>
    </row>
    <row r="1055" spans="8:15">
      <c r="K1055" s="11" t="s">
        <v>737</v>
      </c>
      <c r="L1055" s="142">
        <f ca="1">IFERROR(L975,0)+IFERROR(L1036,0)+IFERROR(L1048,0)+(IFERROR('Parameter Inputs'!N1134,0))</f>
        <v>1104.2717081804246</v>
      </c>
    </row>
    <row r="1057" spans="4:19" s="4" customFormat="1">
      <c r="D1057" s="211" t="s">
        <v>110</v>
      </c>
    </row>
    <row r="1059" spans="4:19" ht="15" thickBot="1"/>
    <row r="1060" spans="4:19">
      <c r="G1060" s="329" t="s">
        <v>1</v>
      </c>
      <c r="H1060" s="330"/>
      <c r="I1060" s="330"/>
      <c r="J1060" s="330"/>
      <c r="K1060" s="331"/>
    </row>
    <row r="1061" spans="4:19">
      <c r="G1061" s="332" t="s">
        <v>0</v>
      </c>
      <c r="H1061" s="317"/>
      <c r="I1061" s="318"/>
      <c r="J1061" s="316" t="s">
        <v>4</v>
      </c>
      <c r="K1061" s="333"/>
    </row>
    <row r="1062" spans="4:19">
      <c r="G1062" s="8" t="s">
        <v>5</v>
      </c>
      <c r="H1062" s="8" t="str" cm="1">
        <f t="array" ref="H1062">_xlfn.IFS('Parameter Inputs'!E7="Yes",'Parameter Inputs'!F7)</f>
        <v>Combined</v>
      </c>
      <c r="I1062" s="319"/>
      <c r="J1062" s="8" t="s">
        <v>2</v>
      </c>
      <c r="K1062" s="50">
        <f ca="1">H1065</f>
        <v>1247.6965896061465</v>
      </c>
      <c r="M1062" s="105"/>
    </row>
    <row r="1063" spans="4:19">
      <c r="G1063" s="8" t="s">
        <v>304</v>
      </c>
      <c r="H1063" s="50">
        <f ca="1">'Parameter Inputs'!L898</f>
        <v>72147.394848568947</v>
      </c>
      <c r="I1063" s="319"/>
      <c r="J1063" s="8" t="s">
        <v>6</v>
      </c>
      <c r="K1063" s="159" cm="1">
        <f t="array" aca="1" ref="K1063" ca="1">_xlfn.IFS(H1062="Primary",K1065*'Parameter Inputs'!F413,H1062="WAS",K1065*'Parameter Inputs'!F415,H1062="Combined",K1065*'Parameter Inputs'!F417)</f>
        <v>12985.356699047526</v>
      </c>
    </row>
    <row r="1064" spans="4:19">
      <c r="E1064" s="105"/>
      <c r="G1064" s="8" t="s">
        <v>760</v>
      </c>
      <c r="H1064" s="8">
        <f ca="1">'Parameter Inputs'!L900</f>
        <v>1247696.5896061466</v>
      </c>
      <c r="I1064" s="319"/>
      <c r="J1064" s="8" t="s">
        <v>3</v>
      </c>
      <c r="K1064" s="50">
        <f ca="1">IFERROR(K1063/K1062,0)</f>
        <v>10.40746348689351</v>
      </c>
    </row>
    <row r="1065" spans="4:19">
      <c r="G1065" s="8" t="s">
        <v>706</v>
      </c>
      <c r="H1065" s="50">
        <f ca="1">'Parameter Inputs'!L901</f>
        <v>1247.6965896061465</v>
      </c>
      <c r="I1065" s="319"/>
      <c r="J1065" s="8" t="s">
        <v>336</v>
      </c>
      <c r="K1065" s="159" cm="1">
        <f t="array" aca="1" ref="K1065" ca="1">_xlfn.IFS(H1062="Primary",(H1067*'Parameter Inputs'!F405),H1062="WAS",(H1067*'Parameter Inputs'!F407),H1062="Combined",(H1067*'Parameter Inputs'!F409))</f>
        <v>16864.099609152629</v>
      </c>
      <c r="S1065" s="160"/>
    </row>
    <row r="1066" spans="4:19">
      <c r="E1066" s="5" t="s">
        <v>542</v>
      </c>
      <c r="G1066" s="8" t="s">
        <v>60</v>
      </c>
      <c r="H1066" s="50">
        <v>365</v>
      </c>
      <c r="I1066" s="319"/>
      <c r="J1066" s="8" t="s">
        <v>337</v>
      </c>
      <c r="K1066" s="50">
        <f ca="1">IFERROR(K1065/K1062,0)</f>
        <v>13.516186346614946</v>
      </c>
    </row>
    <row r="1067" spans="4:19">
      <c r="G1067" s="8" t="s">
        <v>305</v>
      </c>
      <c r="H1067" s="50">
        <f ca="1">H1069*1.6</f>
        <v>78804.203781087068</v>
      </c>
      <c r="I1067" s="319"/>
      <c r="J1067" s="8" t="s">
        <v>307</v>
      </c>
      <c r="K1067" s="50">
        <f ca="1">H1068*'Parameter Inputs'!F421</f>
        <v>7214.7394848568947</v>
      </c>
    </row>
    <row r="1068" spans="4:19">
      <c r="G1068" s="8" t="s">
        <v>307</v>
      </c>
      <c r="H1068" s="50">
        <f ca="1">'Parameter Inputs'!L898</f>
        <v>72147.394848568947</v>
      </c>
      <c r="I1068" s="319"/>
      <c r="J1068" s="8" t="s">
        <v>303</v>
      </c>
      <c r="K1068" s="50">
        <f ca="1">IFERROR(K1067/K1062,0)</f>
        <v>5.7824470668260233</v>
      </c>
      <c r="M1068" s="97"/>
    </row>
    <row r="1069" spans="4:19">
      <c r="G1069" s="8" t="s">
        <v>287</v>
      </c>
      <c r="H1069" s="50">
        <f ca="1">'Parameter Inputs'!L899</f>
        <v>49252.627363179403</v>
      </c>
      <c r="I1069" s="319"/>
      <c r="J1069" s="8" t="s">
        <v>310</v>
      </c>
      <c r="K1069" s="50">
        <f ca="1">H1069*'Parameter Inputs'!F419</f>
        <v>5417.7890099497345</v>
      </c>
    </row>
    <row r="1070" spans="4:19">
      <c r="G1070" s="8" t="s">
        <v>1490</v>
      </c>
      <c r="H1070" s="50">
        <f ca="1">H1064-H1063</f>
        <v>1175549.1947575775</v>
      </c>
      <c r="I1070" s="319"/>
      <c r="J1070" s="8" t="s">
        <v>838</v>
      </c>
      <c r="K1070" s="50">
        <f ca="1">IFERROR(K1069/K1062,0)</f>
        <v>4.3422327632232589</v>
      </c>
    </row>
    <row r="1071" spans="4:19">
      <c r="G1071" s="8" t="s">
        <v>1491</v>
      </c>
      <c r="H1071" s="50">
        <f ca="1">H1070/1000</f>
        <v>1175.5491947575774</v>
      </c>
      <c r="I1071" s="319"/>
      <c r="J1071" s="8" t="s">
        <v>412</v>
      </c>
      <c r="K1071" s="50" cm="1">
        <f t="array" aca="1" ref="K1071" ca="1">_xlfn.IFS(H1062="Primary",H1069*'Parameter Inputs'!F423,H1062="WAS",H1069*'Parameter Inputs'!F425,H1062="Combined",H1069*'Parameter Inputs'!F427)</f>
        <v>498.43658891537558</v>
      </c>
      <c r="S1071" s="105"/>
    </row>
    <row r="1072" spans="4:19">
      <c r="G1072" s="8"/>
      <c r="H1072" s="8"/>
      <c r="I1072" s="319"/>
      <c r="J1072" s="8" t="s">
        <v>413</v>
      </c>
      <c r="K1072" s="50" cm="1">
        <f t="array" aca="1" ref="K1072" ca="1">_xlfn.IFS(H1062="Primary",H1069*'Parameter Inputs'!F429,H1062="WAS",H1069*'Parameter Inputs'!F431,H1062="Combined",H1069*'Parameter Inputs'!F433)</f>
        <v>53.685363825865551</v>
      </c>
      <c r="S1072" s="105"/>
    </row>
    <row r="1073" spans="5:19">
      <c r="G1073" s="8"/>
      <c r="H1073" s="8"/>
      <c r="I1073" s="319"/>
      <c r="J1073" s="8" t="s">
        <v>844</v>
      </c>
      <c r="K1073" s="49">
        <f ca="1">(H1069-K1069)*'Parameter Inputs'!F441*'Parameter Inputs'!F443</f>
        <v>12.506079382176425</v>
      </c>
      <c r="O1073" s="105"/>
      <c r="S1073" s="105"/>
    </row>
    <row r="1074" spans="5:19">
      <c r="G1074" s="8"/>
      <c r="H1074" s="8"/>
      <c r="I1074" s="319"/>
      <c r="J1074" s="8" t="s">
        <v>845</v>
      </c>
      <c r="K1074" s="50">
        <f ca="1">((H1069-K1069)*'Parameter Inputs'!F441)/'Parameter Inputs'!F447</f>
        <v>295.65199485050653</v>
      </c>
      <c r="S1074" s="105"/>
    </row>
    <row r="1075" spans="5:19">
      <c r="E1075" s="105"/>
      <c r="G1075" s="8"/>
      <c r="H1075" s="8"/>
      <c r="I1075" s="319"/>
      <c r="J1075" s="8" t="s">
        <v>847</v>
      </c>
      <c r="K1075" s="50">
        <f ca="1">K1074*'Parameter Inputs'!F449</f>
        <v>156.69555727076846</v>
      </c>
      <c r="S1075" s="105"/>
    </row>
    <row r="1076" spans="5:19">
      <c r="G1076" s="8"/>
      <c r="H1076" s="8"/>
      <c r="I1076" s="319"/>
      <c r="J1076" s="8" t="s">
        <v>846</v>
      </c>
      <c r="K1076" s="50">
        <f ca="1">K1075*'Parameter Inputs'!F445</f>
        <v>293.02069209633703</v>
      </c>
      <c r="S1076" s="105"/>
    </row>
    <row r="1077" spans="5:19" ht="15" thickBot="1"/>
    <row r="1078" spans="5:19">
      <c r="G1078" s="329" t="s">
        <v>10</v>
      </c>
      <c r="H1078" s="330"/>
      <c r="I1078" s="330"/>
      <c r="J1078" s="330"/>
      <c r="K1078" s="330"/>
      <c r="M1078" s="334" t="s">
        <v>359</v>
      </c>
      <c r="N1078" s="334"/>
      <c r="O1078" s="334"/>
      <c r="P1078" s="334"/>
      <c r="Q1078" s="334"/>
    </row>
    <row r="1079" spans="5:19">
      <c r="G1079" s="316" t="s">
        <v>0</v>
      </c>
      <c r="H1079" s="317"/>
      <c r="I1079" s="318"/>
      <c r="J1079" s="316" t="s">
        <v>4</v>
      </c>
      <c r="K1079" s="317"/>
      <c r="M1079" s="8" t="s">
        <v>28</v>
      </c>
      <c r="N1079" s="8"/>
      <c r="O1079" s="8"/>
      <c r="P1079" s="8" t="s">
        <v>29</v>
      </c>
      <c r="Q1079" s="8"/>
    </row>
    <row r="1080" spans="5:19">
      <c r="G1080" s="8" t="s">
        <v>353</v>
      </c>
      <c r="H1080" s="50">
        <f ca="1">H1081/1000</f>
        <v>1247.391062834668</v>
      </c>
      <c r="I1080" s="319"/>
      <c r="J1080" s="8" t="s">
        <v>15</v>
      </c>
      <c r="K1080" s="50">
        <f ca="1">H1081-K1092</f>
        <v>1225025.3704316115</v>
      </c>
      <c r="M1080" s="8" t="s">
        <v>358</v>
      </c>
      <c r="N1080" s="50">
        <f ca="1">K1092+T1162</f>
        <v>25283.801978745327</v>
      </c>
      <c r="O1080" s="8"/>
      <c r="P1080" s="8" t="s">
        <v>1001</v>
      </c>
      <c r="Q1080" s="50">
        <f ca="1">N1080-Q1084</f>
        <v>18801.404287306988</v>
      </c>
    </row>
    <row r="1081" spans="5:19">
      <c r="G1081" s="8" t="s">
        <v>354</v>
      </c>
      <c r="H1081" s="50">
        <f ca="1">H1064-(K1076+K1073)</f>
        <v>1247391.062834668</v>
      </c>
      <c r="I1081" s="319"/>
      <c r="J1081" s="8" t="s">
        <v>14</v>
      </c>
      <c r="K1081" s="50">
        <f ca="1">K1080/'Parameter Inputs'!F309</f>
        <v>1225.0253704316115</v>
      </c>
      <c r="M1081" s="8" t="s">
        <v>1136</v>
      </c>
      <c r="N1081" s="50">
        <f ca="1">N1080/('Parameter Inputs'!F472*1000)</f>
        <v>84.279339929151092</v>
      </c>
      <c r="O1081" s="8"/>
      <c r="P1081" s="8" t="s">
        <v>190</v>
      </c>
      <c r="Q1081" s="50">
        <f ca="1">N1082-N1083+Q1082</f>
        <v>8475.6491460185516</v>
      </c>
    </row>
    <row r="1082" spans="5:19">
      <c r="G1082" s="8" t="s">
        <v>8</v>
      </c>
      <c r="H1082" s="50">
        <f ca="1">K1067</f>
        <v>7214.7394848568947</v>
      </c>
      <c r="I1082" s="319"/>
      <c r="J1082" s="8" t="s">
        <v>18</v>
      </c>
      <c r="K1082" s="50">
        <f ca="1">K1064</f>
        <v>10.40746348689351</v>
      </c>
      <c r="M1082" s="8" t="s">
        <v>307</v>
      </c>
      <c r="N1082" s="50">
        <f ca="1">K1090+T1163</f>
        <v>12081.052097350001</v>
      </c>
      <c r="O1082" s="8"/>
      <c r="P1082" s="8" t="s">
        <v>766</v>
      </c>
      <c r="Q1082" s="8">
        <f ca="1">N1083*'Parameter Inputs'!F362</f>
        <v>6695.7483381869924</v>
      </c>
    </row>
    <row r="1083" spans="5:19">
      <c r="G1083" s="8" t="s">
        <v>310</v>
      </c>
      <c r="H1083" s="50">
        <f ca="1">K1069</f>
        <v>5417.7890099497345</v>
      </c>
      <c r="I1083" s="319"/>
      <c r="J1083" s="8" t="s">
        <v>352</v>
      </c>
      <c r="K1083" s="50">
        <f ca="1">K1066</f>
        <v>13.516186346614946</v>
      </c>
      <c r="M1083" s="8" t="s">
        <v>310</v>
      </c>
      <c r="N1083" s="50">
        <f ca="1">K1091+T1164</f>
        <v>10301.151289518453</v>
      </c>
      <c r="O1083" s="8"/>
      <c r="P1083" s="8" t="s">
        <v>999</v>
      </c>
      <c r="Q1083" s="8">
        <f ca="1">N1083*'Parameter Inputs'!F362*'Parameter Inputs'!F364</f>
        <v>6260.5246962048404</v>
      </c>
    </row>
    <row r="1084" spans="5:19">
      <c r="G1084" s="8" t="s">
        <v>419</v>
      </c>
      <c r="H1084" s="50">
        <f ca="1">K1071</f>
        <v>498.43658891537558</v>
      </c>
      <c r="I1084" s="319"/>
      <c r="J1084" s="8" t="s">
        <v>308</v>
      </c>
      <c r="K1084" s="50">
        <f ca="1">H1082-K1090</f>
        <v>505.03176393998092</v>
      </c>
      <c r="M1084" s="8"/>
      <c r="N1084" s="8"/>
      <c r="O1084" s="8"/>
      <c r="P1084" s="8" t="s">
        <v>1000</v>
      </c>
      <c r="Q1084" s="8">
        <f ca="1">Q1083*'Parameter Inputs'!F376</f>
        <v>6482.3976914383393</v>
      </c>
    </row>
    <row r="1085" spans="5:19">
      <c r="G1085" s="8" t="s">
        <v>420</v>
      </c>
      <c r="H1085" s="47">
        <f ca="1">IFERROR(H1084/H1080,0)</f>
        <v>0.39958326122899235</v>
      </c>
      <c r="I1085" s="319"/>
      <c r="J1085" s="8" t="s">
        <v>309</v>
      </c>
      <c r="K1085" s="50">
        <f ca="1">IFERROR(K1084/K1081,0)</f>
        <v>0.41226228952470084</v>
      </c>
    </row>
    <row r="1086" spans="5:19">
      <c r="G1086" s="8" t="s">
        <v>421</v>
      </c>
      <c r="H1086" s="50">
        <f ca="1">K1072</f>
        <v>53.685363825865551</v>
      </c>
      <c r="I1086" s="319"/>
      <c r="J1086" s="8" t="s">
        <v>314</v>
      </c>
      <c r="K1086" s="50">
        <f ca="1">H1083-K1091</f>
        <v>379.24523069648058</v>
      </c>
    </row>
    <row r="1087" spans="5:19">
      <c r="G1087" s="8" t="s">
        <v>422</v>
      </c>
      <c r="H1087" s="47">
        <f ca="1">IFERROR(H1086/H1080,0)</f>
        <v>4.3038118057272895E-2</v>
      </c>
      <c r="I1087" s="319"/>
      <c r="J1087" s="8" t="s">
        <v>313</v>
      </c>
      <c r="K1087" s="50">
        <f ca="1">IFERROR(K1086/K1081,0)</f>
        <v>0.30958153181991788</v>
      </c>
    </row>
    <row r="1088" spans="5:19">
      <c r="G1088" s="8"/>
      <c r="H1088" s="8"/>
      <c r="I1088" s="319"/>
      <c r="J1088" s="8" t="s">
        <v>423</v>
      </c>
      <c r="K1088" s="50">
        <f ca="1">H1085</f>
        <v>0.39958326122899235</v>
      </c>
    </row>
    <row r="1089" spans="4:14">
      <c r="G1089" s="8"/>
      <c r="H1089" s="8"/>
      <c r="I1089" s="319"/>
      <c r="J1089" s="8" t="s">
        <v>424</v>
      </c>
      <c r="K1089" s="103">
        <f ca="1">H1087</f>
        <v>4.3038118057272895E-2</v>
      </c>
    </row>
    <row r="1090" spans="4:14">
      <c r="G1090" s="8"/>
      <c r="H1090" s="8"/>
      <c r="I1090" s="319"/>
      <c r="J1090" s="8" t="s">
        <v>311</v>
      </c>
      <c r="K1090" s="50">
        <f ca="1">H1082*'Parameter Inputs'!F468</f>
        <v>6709.7077209169129</v>
      </c>
    </row>
    <row r="1091" spans="4:14">
      <c r="G1091" s="8"/>
      <c r="H1091" s="8"/>
      <c r="I1091" s="319"/>
      <c r="J1091" s="8" t="s">
        <v>312</v>
      </c>
      <c r="K1091" s="50">
        <f ca="1">H1083*'Parameter Inputs'!F468</f>
        <v>5038.543779253253</v>
      </c>
    </row>
    <row r="1092" spans="4:14">
      <c r="G1092" s="8"/>
      <c r="H1092" s="8"/>
      <c r="I1092" s="319"/>
      <c r="J1092" s="8" t="s">
        <v>357</v>
      </c>
      <c r="K1092" s="50">
        <f ca="1">(H1082*'Parameter Inputs'!F468)/'Parameter Inputs'!F472</f>
        <v>22365.692403056379</v>
      </c>
    </row>
    <row r="1093" spans="4:14">
      <c r="G1093" s="8"/>
      <c r="H1093" s="8"/>
      <c r="I1093" s="320"/>
      <c r="J1093" s="8" t="s">
        <v>425</v>
      </c>
      <c r="K1093" s="50"/>
    </row>
    <row r="1094" spans="4:14"/>
    <row r="1104" spans="4:14">
      <c r="D1104" s="341" t="s">
        <v>13</v>
      </c>
      <c r="E1104" s="341"/>
      <c r="F1104" s="341"/>
      <c r="G1104" s="341"/>
      <c r="H1104" s="341"/>
      <c r="J1104" s="342" t="s">
        <v>25</v>
      </c>
      <c r="K1104" s="343"/>
      <c r="L1104" s="343"/>
      <c r="M1104" s="343"/>
      <c r="N1104" s="344"/>
    </row>
    <row r="1105" spans="4:29">
      <c r="D1105" s="316" t="s">
        <v>0</v>
      </c>
      <c r="E1105" s="345"/>
      <c r="F1105" s="98"/>
      <c r="G1105" s="345" t="s">
        <v>4</v>
      </c>
      <c r="H1105" s="317"/>
      <c r="J1105" s="346" t="s">
        <v>28</v>
      </c>
      <c r="K1105" s="346"/>
      <c r="L1105" s="334"/>
      <c r="M1105" s="346" t="s">
        <v>29</v>
      </c>
      <c r="N1105" s="346"/>
    </row>
    <row r="1106" spans="4:29">
      <c r="D1106" s="8" t="s">
        <v>857</v>
      </c>
      <c r="E1106" s="50">
        <f ca="1">E1131</f>
        <v>409.52294533443433</v>
      </c>
      <c r="F1106" s="8"/>
      <c r="G1106" s="8" t="s">
        <v>867</v>
      </c>
      <c r="H1106" s="50">
        <f ca="1">E1110*'Parameter Inputs'!F482*'Parameter Inputs'!F478</f>
        <v>1734.1066659468406</v>
      </c>
      <c r="J1106" s="8" t="s">
        <v>27</v>
      </c>
      <c r="K1106" s="50">
        <f ca="1">K1081*'Parameter Inputs'!F532</f>
        <v>985.03562639621168</v>
      </c>
      <c r="L1106" s="334"/>
      <c r="M1106" s="8" t="s">
        <v>342</v>
      </c>
      <c r="N1106" s="50">
        <f ca="1">IFERROR(K1114+K1106+'Parameter Inputs'!F583+'Parameter Inputs'!G583+'Parameter Inputs'!H583,0)</f>
        <v>1015.5656733318955</v>
      </c>
    </row>
    <row r="1107" spans="4:29">
      <c r="D1107" s="8" t="s">
        <v>16</v>
      </c>
      <c r="E1107" s="50">
        <v>4</v>
      </c>
      <c r="F1107" s="8"/>
      <c r="G1107" s="8" t="s">
        <v>395</v>
      </c>
      <c r="H1107" s="50">
        <f ca="1">E1110*'Parameter Inputs'!F482*'Parameter Inputs'!F480</f>
        <v>1156.0711106312269</v>
      </c>
      <c r="J1107" s="8" t="s">
        <v>394</v>
      </c>
      <c r="K1107" s="50">
        <f ca="1">K1082</f>
        <v>10.40746348689351</v>
      </c>
      <c r="L1107" s="334"/>
      <c r="M1107" s="8" t="s">
        <v>236</v>
      </c>
      <c r="N1107" s="50">
        <f ca="1">N1108+(K1113-K1110)</f>
        <v>6210.3646391872926</v>
      </c>
      <c r="P1107" s="5" t="s">
        <v>542</v>
      </c>
    </row>
    <row r="1108" spans="4:29">
      <c r="D1108" s="8" t="s">
        <v>17</v>
      </c>
      <c r="E1108" s="50">
        <f ca="1">K1081*'Parameter Inputs'!F476</f>
        <v>239.9897440353997</v>
      </c>
      <c r="F1108" s="8"/>
      <c r="G1108" s="8" t="s">
        <v>868</v>
      </c>
      <c r="H1108" s="8">
        <f ca="1">H1107*(1-'Parameter Inputs'!F506)</f>
        <v>115.60711106312267</v>
      </c>
      <c r="J1108" s="8" t="s">
        <v>1022</v>
      </c>
      <c r="K1108" s="50">
        <f ca="1">K1106*K1109</f>
        <v>13313.925084425777</v>
      </c>
      <c r="L1108" s="334"/>
      <c r="M1108" s="8" t="s">
        <v>763</v>
      </c>
      <c r="N1108" s="50">
        <f ca="1">(K1110-K1111)+N1109+N1112</f>
        <v>6084.6427451326135</v>
      </c>
      <c r="O1108" s="105"/>
    </row>
    <row r="1109" spans="4:29">
      <c r="D1109" s="8" t="s">
        <v>337</v>
      </c>
      <c r="E1109" s="50">
        <f ca="1">K1083</f>
        <v>13.516186346614946</v>
      </c>
      <c r="F1109" s="8"/>
      <c r="G1109" s="8" t="s">
        <v>881</v>
      </c>
      <c r="H1109" s="8">
        <f ca="1">((H1108*'Parameter Inputs'!F703)/'Parameter Inputs'!E1658)+(('Parameter Inputs'!I474*'Parameter Inputs'!F705)/'Parameter Inputs'!E1659)</f>
        <v>42.148425908430141</v>
      </c>
      <c r="J1109" s="8" t="s">
        <v>337</v>
      </c>
      <c r="K1109" s="50">
        <f ca="1">K1083</f>
        <v>13.516186346614946</v>
      </c>
      <c r="L1109" s="334"/>
      <c r="M1109" s="8" t="s">
        <v>399</v>
      </c>
      <c r="N1109" s="50">
        <f ca="1">((((K1109*K1106)+K1116)*'Parameter Inputs'!F536*'Parameter Inputs'!F538)/'Parameter Inputs'!E1657)+K1111</f>
        <v>3327.2691889555776</v>
      </c>
    </row>
    <row r="1110" spans="4:29">
      <c r="D1110" s="8" t="s">
        <v>336</v>
      </c>
      <c r="E1110" s="50">
        <f ca="1">E1109*E1108</f>
        <v>3243.746101658885</v>
      </c>
      <c r="F1110" s="8"/>
      <c r="G1110" s="8" t="s">
        <v>396</v>
      </c>
      <c r="H1110" s="50">
        <f ca="1">H1106-H1107</f>
        <v>578.03555531561369</v>
      </c>
      <c r="J1110" s="8" t="s">
        <v>762</v>
      </c>
      <c r="K1110" s="50">
        <f ca="1">H1115+(K1106*K1087)</f>
        <v>1597.0488920658102</v>
      </c>
      <c r="L1110" s="334"/>
      <c r="M1110" s="8" t="s">
        <v>400</v>
      </c>
      <c r="N1110" s="50">
        <f ca="1">((N1109*'Parameter Inputs'!F542)/(1-'Parameter Inputs'!F542))</f>
        <v>2722.3111546000177</v>
      </c>
      <c r="O1110" s="86"/>
    </row>
    <row r="1111" spans="4:29">
      <c r="D1111" s="8" t="s">
        <v>20</v>
      </c>
      <c r="E1111" s="50">
        <f ca="1">K1082</f>
        <v>10.40746348689351</v>
      </c>
      <c r="F1111" s="8"/>
      <c r="G1111" s="8" t="s">
        <v>397</v>
      </c>
      <c r="H1111" s="50">
        <f ca="1">H1110/'Parameter Inputs'!E1657</f>
        <v>407.06729247578431</v>
      </c>
      <c r="J1111" s="8" t="s">
        <v>370</v>
      </c>
      <c r="K1111" s="50">
        <f ca="1">K1110-K1112</f>
        <v>1555.2045122256668</v>
      </c>
      <c r="L1111" s="334"/>
      <c r="M1111" s="8" t="s">
        <v>339</v>
      </c>
      <c r="N1111" s="50">
        <f ca="1">((K1109*K1106)+(K1116*'Parameter Inputs'!E1665))*'Parameter Inputs'!F540*'Parameter Inputs'!F536</f>
        <v>4912.8383561531109</v>
      </c>
    </row>
    <row r="1112" spans="4:29">
      <c r="D1112" s="8" t="s">
        <v>315</v>
      </c>
      <c r="E1112" s="50">
        <f ca="1">IFERROR(K1087*E1108,0)</f>
        <v>74.296392579549035</v>
      </c>
      <c r="F1112" s="8"/>
      <c r="G1112" s="8" t="s">
        <v>390</v>
      </c>
      <c r="H1112" s="50">
        <f ca="1">H1107*'Parameter Inputs'!F506*'Parameter Inputs'!F510</f>
        <v>905.82723211887571</v>
      </c>
      <c r="J1112" s="8" t="s">
        <v>882</v>
      </c>
      <c r="K1112" s="47">
        <f ca="1">H1109-(H1124*H1117)</f>
        <v>41.844379840143297</v>
      </c>
      <c r="L1112" s="334"/>
      <c r="M1112" s="8" t="s">
        <v>1626</v>
      </c>
      <c r="N1112" s="50">
        <f ca="1">'Parameter Inputs'!E1662+K1112</f>
        <v>2715.5291763368941</v>
      </c>
    </row>
    <row r="1113" spans="4:29">
      <c r="D1113" s="8" t="s">
        <v>316</v>
      </c>
      <c r="E1113" s="50">
        <f ca="1">K1085*E1108</f>
        <v>98.938721338480789</v>
      </c>
      <c r="F1113" s="8"/>
      <c r="G1113" s="8" t="s">
        <v>398</v>
      </c>
      <c r="H1113" s="50">
        <f ca="1">(H1106-H1108)/1.42</f>
        <v>1139.7884189321958</v>
      </c>
      <c r="J1113" s="8" t="s">
        <v>236</v>
      </c>
      <c r="K1113" s="50">
        <f ca="1">H1116+(K1085*K1106)</f>
        <v>1722.7707861204867</v>
      </c>
      <c r="L1113" s="334"/>
      <c r="M1113" s="8" t="s">
        <v>366</v>
      </c>
      <c r="N1113" s="50">
        <f ca="1">IFERROR(N1112/N1106,0)</f>
        <v>2.6739079979217024</v>
      </c>
    </row>
    <row r="1114" spans="4:29">
      <c r="D1114" s="8" t="s">
        <v>861</v>
      </c>
      <c r="E1114" s="50">
        <v>3</v>
      </c>
      <c r="F1114" s="8"/>
      <c r="G1114" s="8" t="s">
        <v>761</v>
      </c>
      <c r="H1114" s="50">
        <f ca="1">H1106/1.42</f>
        <v>1221.2018774273527</v>
      </c>
      <c r="I1114" s="105"/>
      <c r="J1114" s="8" t="s">
        <v>439</v>
      </c>
      <c r="K1114" s="50">
        <f ca="1">H1114/('Parameter Inputs'!F514*'Parameter Inputs'!F309)</f>
        <v>30.530046935683817</v>
      </c>
      <c r="L1114" s="334"/>
      <c r="M1114" s="8"/>
      <c r="N1114" s="8"/>
    </row>
    <row r="1115" spans="4:29">
      <c r="D1115" s="8" t="s">
        <v>862</v>
      </c>
      <c r="E1115" s="50">
        <f ca="1">IFERROR(E1114*H1131,0)</f>
        <v>2.9440006720906027</v>
      </c>
      <c r="F1115" s="8"/>
      <c r="G1115" s="8" t="s">
        <v>869</v>
      </c>
      <c r="H1115" s="50">
        <f ca="1">IFERROR(H1132,0)</f>
        <v>1292.1000539488782</v>
      </c>
      <c r="I1115" s="105"/>
      <c r="J1115" s="8" t="s">
        <v>599</v>
      </c>
      <c r="K1115" s="50">
        <v>0.2</v>
      </c>
      <c r="L1115" s="334"/>
      <c r="M1115" s="8"/>
      <c r="N1115" s="8"/>
    </row>
    <row r="1116" spans="4:29">
      <c r="D1116" s="8" t="s">
        <v>371</v>
      </c>
      <c r="E1116" s="50">
        <f>'Parameter Inputs'!E1114-'Parameter Inputs'!F504</f>
        <v>2.98</v>
      </c>
      <c r="F1116" s="8"/>
      <c r="G1116" s="8" t="s">
        <v>871</v>
      </c>
      <c r="H1116" s="50">
        <f ca="1">H1130</f>
        <v>1316.6777435189865</v>
      </c>
      <c r="J1116" s="8" t="s">
        <v>598</v>
      </c>
      <c r="K1116" s="50">
        <f ca="1">IFERROR('Parameter Inputs'!F581,0)</f>
        <v>0</v>
      </c>
      <c r="L1116" s="334"/>
      <c r="M1116" s="8"/>
      <c r="N1116" s="8"/>
    </row>
    <row r="1117" spans="4:29">
      <c r="D1117" s="8" t="s">
        <v>19</v>
      </c>
      <c r="E1117" s="50">
        <f ca="1">E1136</f>
        <v>169.53320129903457</v>
      </c>
      <c r="F1117" s="8"/>
      <c r="G1117" s="8" t="s">
        <v>24</v>
      </c>
      <c r="H1117" s="50">
        <f ca="1">E1106/2</f>
        <v>204.76147266721716</v>
      </c>
      <c r="J1117" s="8" t="s">
        <v>634</v>
      </c>
      <c r="K1117" s="8">
        <f ca="1">IFERROR('Parameter Inputs'!G583,0)</f>
        <v>0</v>
      </c>
      <c r="L1117" s="334"/>
      <c r="M1117" s="8"/>
      <c r="N1117" s="8"/>
      <c r="O1117" s="105"/>
      <c r="W1117" s="128"/>
      <c r="X1117" s="128"/>
      <c r="Y1117" s="128"/>
      <c r="Z1117" s="128"/>
      <c r="AA1117" s="128"/>
      <c r="AB1117" s="128"/>
      <c r="AC1117" s="128"/>
    </row>
    <row r="1118" spans="4:29">
      <c r="D1118" s="8" t="s">
        <v>412</v>
      </c>
      <c r="E1118" s="50">
        <f ca="1">K1088*E1108</f>
        <v>95.895884583176127</v>
      </c>
      <c r="F1118" s="8"/>
      <c r="G1118" s="8" t="s">
        <v>858</v>
      </c>
      <c r="H1118" s="47">
        <f ca="1">IFERROR(((E1110+(E1110*'Parameter Inputs'!F484))*'Parameter Inputs'!F484)/E1106,0)</f>
        <v>8.0000000000000057E-2</v>
      </c>
      <c r="J1118" s="8" t="s">
        <v>635</v>
      </c>
      <c r="K1118" s="8">
        <f ca="1">'Parameter Inputs'!H583</f>
        <v>0</v>
      </c>
      <c r="L1118" s="8"/>
      <c r="M1118" s="8"/>
      <c r="N1118" s="8"/>
      <c r="O1118" s="105"/>
    </row>
    <row r="1119" spans="4:29">
      <c r="D1119" s="8" t="s">
        <v>413</v>
      </c>
      <c r="E1119" s="50">
        <f ca="1">K1089*E1108</f>
        <v>10.328706936330235</v>
      </c>
      <c r="F1119" s="286"/>
      <c r="G1119" s="8" t="s">
        <v>98</v>
      </c>
      <c r="H1119" s="50">
        <f ca="1">H1106/('Parameter Inputs'!F500*1000)</f>
        <v>57.803555531561351</v>
      </c>
      <c r="J1119" s="8" t="s">
        <v>649</v>
      </c>
      <c r="K1119" s="49">
        <f ca="1">(K1111*1.42)*2</f>
        <v>4416.7808147208934</v>
      </c>
      <c r="L1119" s="8"/>
      <c r="M1119" s="8"/>
      <c r="N1119" s="8"/>
    </row>
    <row r="1120" spans="4:29">
      <c r="D1120" s="8" t="s">
        <v>593</v>
      </c>
      <c r="E1120" s="8">
        <f>IFERROR('Parameter Inputs'!F563,0)</f>
        <v>0</v>
      </c>
      <c r="F1120" s="286"/>
      <c r="G1120" s="8" t="s">
        <v>853</v>
      </c>
      <c r="H1120" s="50">
        <f ca="1">H1106+E1113</f>
        <v>1833.0453872853213</v>
      </c>
      <c r="J1120" s="8" t="s">
        <v>639</v>
      </c>
      <c r="K1120" s="50">
        <f ca="1">IFERROR((K1116+K1108)/K1106,0)</f>
        <v>13.516186346614946</v>
      </c>
      <c r="L1120" s="8"/>
      <c r="M1120" s="8"/>
      <c r="N1120" s="8"/>
    </row>
    <row r="1121" spans="4:29">
      <c r="D1121" s="8" t="s">
        <v>636</v>
      </c>
      <c r="E1121" s="8">
        <f>IFERROR('Parameter Inputs'!F567,0)</f>
        <v>0</v>
      </c>
      <c r="F1121" s="286"/>
      <c r="G1121" s="8" t="s">
        <v>856</v>
      </c>
      <c r="H1121" s="159">
        <f ca="1">IFERROR((E1113/(E1108+E1117))*(1-'Parameter Inputs'!F496),0)</f>
        <v>1.6911654334869599E-2</v>
      </c>
      <c r="J1121" s="8" t="s">
        <v>640</v>
      </c>
      <c r="K1121" s="49">
        <f ca="1">IFERROR((K1111*1.42)/K1120,0)</f>
        <v>163.38857357597217</v>
      </c>
      <c r="L1121" s="8"/>
      <c r="M1121" s="297"/>
      <c r="N1121" s="8"/>
    </row>
    <row r="1122" spans="4:29">
      <c r="D1122" s="8" t="s">
        <v>594</v>
      </c>
      <c r="E1122" s="8">
        <f>IFERROR('Parameter Inputs'!G565,0)</f>
        <v>0</v>
      </c>
      <c r="F1122" s="286"/>
      <c r="G1122" s="8" t="s">
        <v>863</v>
      </c>
      <c r="H1122" s="159">
        <f ca="1">IFERROR(H1121*H1131,0)</f>
        <v>1.6595973909340016E-2</v>
      </c>
      <c r="J1122" s="8" t="s">
        <v>913</v>
      </c>
      <c r="K1122" s="8">
        <f ca="1">H1136*1.42*2</f>
        <v>2208.3904073604485</v>
      </c>
      <c r="L1122" s="8"/>
      <c r="M1122" s="8"/>
      <c r="N1122" s="8"/>
    </row>
    <row r="1123" spans="4:29">
      <c r="D1123" s="8" t="s">
        <v>637</v>
      </c>
      <c r="E1123" s="8">
        <f>IFERROR('Parameter Inputs'!G567,0)</f>
        <v>0</v>
      </c>
      <c r="F1123" s="286"/>
      <c r="G1123" s="8" t="s">
        <v>864</v>
      </c>
      <c r="H1123" s="159">
        <f ca="1">IFERROR((H1113/H1114)*H1122,0)</f>
        <v>1.5489575648717349E-2</v>
      </c>
      <c r="J1123" s="8" t="s">
        <v>914</v>
      </c>
      <c r="K1123" s="8">
        <f ca="1">IFERROR(K1122/K1109,0)</f>
        <v>163.38857357597232</v>
      </c>
      <c r="L1123" s="8"/>
      <c r="M1123" s="8"/>
      <c r="N1123" s="8"/>
    </row>
    <row r="1124" spans="4:29">
      <c r="D1124" s="8" t="s">
        <v>595</v>
      </c>
      <c r="E1124" s="8">
        <f>IFERROR('Parameter Inputs'!H563,0)</f>
        <v>0</v>
      </c>
      <c r="F1124" s="286"/>
      <c r="G1124" s="8" t="s">
        <v>865</v>
      </c>
      <c r="H1124" s="159">
        <f ca="1">IFERROR((H1107*(1-'Parameter Inputs'!F506)/H1115)*H1122,0)</f>
        <v>1.4848792808839766E-3</v>
      </c>
      <c r="J1124" s="8" t="s">
        <v>1019</v>
      </c>
      <c r="K1124" s="8">
        <f ca="1">IFERROR(K1108*'Parameter Inputs'!F536*'Parameter Inputs'!F550,0)</f>
        <v>9774.1421686227532</v>
      </c>
      <c r="L1124" s="8"/>
      <c r="M1124" s="8"/>
      <c r="N1124" s="8"/>
    </row>
    <row r="1125" spans="4:29">
      <c r="D1125" s="8" t="s">
        <v>638</v>
      </c>
      <c r="E1125" s="8">
        <f>IFERROR('Parameter Inputs'!H567,0)</f>
        <v>0</v>
      </c>
      <c r="F1125" s="286"/>
      <c r="G1125" s="8" t="s">
        <v>866</v>
      </c>
      <c r="H1125" s="103">
        <f ca="1">H1122*1.42</f>
        <v>2.3566282951262823E-2</v>
      </c>
    </row>
    <row r="1126" spans="4:29">
      <c r="D1126" s="8"/>
      <c r="E1126" s="8"/>
      <c r="F1126" s="8"/>
      <c r="G1126" s="8" t="s">
        <v>859</v>
      </c>
      <c r="H1126" s="103">
        <f ca="1">(H1125)+H1118</f>
        <v>0.10356628295126288</v>
      </c>
    </row>
    <row r="1127" spans="4:29">
      <c r="D1127" s="8" t="s">
        <v>992</v>
      </c>
      <c r="E1127" s="50">
        <f ca="1">E1108/2</f>
        <v>119.99487201769985</v>
      </c>
      <c r="F1127" s="8"/>
      <c r="G1127" s="8" t="s">
        <v>860</v>
      </c>
      <c r="H1127" s="47">
        <f ca="1">H1126*1000</f>
        <v>103.56628295126288</v>
      </c>
      <c r="J1127" s="338" t="s">
        <v>31</v>
      </c>
      <c r="K1127" s="339"/>
      <c r="L1127" s="339"/>
      <c r="M1127" s="339"/>
      <c r="N1127" s="340"/>
      <c r="V1127" s="128"/>
    </row>
    <row r="1128" spans="4:29">
      <c r="D1128" s="8" t="s">
        <v>993</v>
      </c>
      <c r="E1128" s="49">
        <f ca="1">E1127*E1109</f>
        <v>1621.8730508294425</v>
      </c>
      <c r="F1128" s="8"/>
      <c r="G1128" s="8" t="s">
        <v>870</v>
      </c>
      <c r="H1128" s="47">
        <f ca="1">(E1114*E1106)+H1114</f>
        <v>2449.7707134306556</v>
      </c>
      <c r="I1128" s="105"/>
      <c r="J1128" s="316" t="s">
        <v>28</v>
      </c>
      <c r="K1128" s="345"/>
      <c r="L1128" s="98"/>
      <c r="M1128" s="345" t="s">
        <v>29</v>
      </c>
      <c r="N1128" s="317"/>
    </row>
    <row r="1129" spans="4:29">
      <c r="D1129" s="8" t="s">
        <v>778</v>
      </c>
      <c r="E1129" s="49">
        <f ca="1">(E1128*(1-'Parameter Inputs'!F482))</f>
        <v>16.218730508294438</v>
      </c>
      <c r="F1129" s="8"/>
      <c r="G1129" s="8" t="s">
        <v>872</v>
      </c>
      <c r="H1129" s="47">
        <f ca="1">(E1114*E1106)-E1113</f>
        <v>1129.6301146648223</v>
      </c>
      <c r="I1129" s="105"/>
      <c r="J1129" s="8" t="s">
        <v>32</v>
      </c>
      <c r="K1129" s="50">
        <f ca="1">N1106</f>
        <v>1015.5656733318955</v>
      </c>
      <c r="L1129" s="8"/>
      <c r="M1129" s="8" t="s">
        <v>764</v>
      </c>
      <c r="N1129" s="50">
        <f ca="1">(K1131*'Parameter Inputs'!F587)/'Parameter Inputs'!F591</f>
        <v>19252.130381480598</v>
      </c>
    </row>
    <row r="1130" spans="4:29">
      <c r="D1130" s="8" t="s">
        <v>771</v>
      </c>
      <c r="E1130" s="49">
        <f ca="1">E1128+E1129</f>
        <v>1638.0917813377368</v>
      </c>
      <c r="F1130" s="8"/>
      <c r="G1130" s="8" t="s">
        <v>873</v>
      </c>
      <c r="H1130" s="47">
        <f ca="1">H1128-H1129-(H1121*H1117)</f>
        <v>1316.6777435189865</v>
      </c>
      <c r="J1130" s="8" t="s">
        <v>35</v>
      </c>
      <c r="K1130" s="50">
        <f ca="1">K1129*'Parameter Inputs'!F309</f>
        <v>1015565.6733318955</v>
      </c>
      <c r="L1130" s="8"/>
      <c r="M1130" s="8" t="s">
        <v>236</v>
      </c>
      <c r="N1130" s="8">
        <f ca="1">K1131*'Parameter Inputs'!F587</f>
        <v>5775.6391144441795</v>
      </c>
    </row>
    <row r="1131" spans="4:29">
      <c r="D1131" s="8" t="s">
        <v>772</v>
      </c>
      <c r="E1131" s="8">
        <f ca="1">E1130/4</f>
        <v>409.52294533443421</v>
      </c>
      <c r="F1131" s="8"/>
      <c r="G1131" s="8" t="s">
        <v>874</v>
      </c>
      <c r="H1131" s="47">
        <f ca="1">IFERROR((H1114+E1112)/(H1114+E1113),0)</f>
        <v>0.98133355736353456</v>
      </c>
      <c r="J1131" s="8" t="s">
        <v>236</v>
      </c>
      <c r="K1131" s="50">
        <f ca="1">N1107</f>
        <v>6210.3646391872926</v>
      </c>
      <c r="L1131" s="8"/>
      <c r="M1131" s="8" t="s">
        <v>763</v>
      </c>
      <c r="N1131" s="8">
        <f ca="1">N1130*K1133</f>
        <v>5658.7177529733317</v>
      </c>
    </row>
    <row r="1132" spans="4:29">
      <c r="D1132" s="8" t="s">
        <v>773</v>
      </c>
      <c r="E1132" s="8">
        <f ca="1">E1131*0.5</f>
        <v>204.76147266721711</v>
      </c>
      <c r="F1132" s="8"/>
      <c r="G1132" s="8" t="s">
        <v>875</v>
      </c>
      <c r="H1132" s="47">
        <f ca="1">H1130*H1131</f>
        <v>1292.1000539488787</v>
      </c>
      <c r="J1132" s="8" t="s">
        <v>401</v>
      </c>
      <c r="K1132" s="50">
        <f ca="1">N1108</f>
        <v>6084.6427451326135</v>
      </c>
      <c r="L1132" s="8"/>
      <c r="M1132" s="8" t="s">
        <v>46</v>
      </c>
      <c r="N1132" s="50">
        <f ca="1">N1112*'Parameter Inputs'!F587</f>
        <v>2525.4421339933115</v>
      </c>
    </row>
    <row r="1133" spans="4:29" ht="15" thickBot="1">
      <c r="D1133" s="8" t="s">
        <v>774</v>
      </c>
      <c r="E1133" s="8">
        <f ca="1">E1131-E1132</f>
        <v>204.76147266721711</v>
      </c>
      <c r="F1133" s="8"/>
      <c r="G1133" s="8" t="s">
        <v>159</v>
      </c>
      <c r="H1133" s="47">
        <f ca="1">IFERROR(((E1114*E1106)+E1113)/((H1121*H1117)+H1130),0)</f>
        <v>1.0055804348285611</v>
      </c>
      <c r="I1133" s="105"/>
      <c r="J1133" s="8" t="s">
        <v>767</v>
      </c>
      <c r="K1133" s="8">
        <f ca="1">IFERROR(K1132/K1131,0)</f>
        <v>0.97975611717524991</v>
      </c>
      <c r="L1133" s="8"/>
      <c r="M1133" s="8" t="s">
        <v>37</v>
      </c>
      <c r="N1133" s="50">
        <f ca="1">K1130-N1129</f>
        <v>996313.54295041494</v>
      </c>
    </row>
    <row r="1134" spans="4:29" ht="15" thickBot="1">
      <c r="D1134" s="8" t="s">
        <v>775</v>
      </c>
      <c r="E1134" s="50">
        <f ca="1">IF(E1133-E1127&gt;0,E1133-E1127,0)</f>
        <v>84.766600649517258</v>
      </c>
      <c r="F1134" s="8"/>
      <c r="G1134" s="8" t="s">
        <v>878</v>
      </c>
      <c r="H1134" s="296">
        <f ca="1">IFERROR(((E1118+E1122)*'Parameter Inputs'!F520)/E1106,0)</f>
        <v>1.170824317363504E-3</v>
      </c>
      <c r="J1134" s="8" t="s">
        <v>455</v>
      </c>
      <c r="K1134" s="50">
        <f ca="1">N1110</f>
        <v>2722.3111546000177</v>
      </c>
      <c r="L1134" s="8"/>
      <c r="M1134" s="8" t="s">
        <v>39</v>
      </c>
      <c r="N1134" s="50">
        <f ca="1">N1133/'Parameter Inputs'!F309</f>
        <v>996.3135429504149</v>
      </c>
      <c r="V1134" s="335"/>
      <c r="W1134" s="336"/>
      <c r="X1134" s="336"/>
      <c r="Y1134" s="336"/>
      <c r="Z1134" s="336"/>
      <c r="AA1134" s="336"/>
      <c r="AB1134" s="336"/>
      <c r="AC1134" s="337"/>
    </row>
    <row r="1135" spans="4:29">
      <c r="D1135" s="8" t="s">
        <v>776</v>
      </c>
      <c r="E1135" s="50">
        <f ca="1">E1134</f>
        <v>84.766600649517258</v>
      </c>
      <c r="F1135" s="8"/>
      <c r="G1135" s="8" t="s">
        <v>879</v>
      </c>
      <c r="H1135" s="296">
        <f ca="1">IFERROR(((E1119+E1124)*'Parameter Inputs'!F522)/E1106,0)</f>
        <v>4.035410295418876E-5</v>
      </c>
      <c r="J1135" s="8" t="s">
        <v>768</v>
      </c>
      <c r="K1135" s="47">
        <f ca="1">IFERROR(K1134/K1132,0)</f>
        <v>0.44740690105063607</v>
      </c>
      <c r="L1135" s="8"/>
      <c r="M1135" s="8" t="s">
        <v>769</v>
      </c>
      <c r="N1135" s="103">
        <f ca="1">(K1109*K1106)*(1-'Parameter Inputs'!F536)</f>
        <v>1331.3925084425773</v>
      </c>
      <c r="V1135" s="128"/>
      <c r="W1135" s="128"/>
      <c r="X1135" s="128"/>
      <c r="Y1135" s="128"/>
      <c r="Z1135" s="128"/>
      <c r="AA1135" s="128"/>
      <c r="AB1135" s="128"/>
      <c r="AC1135" s="128"/>
    </row>
    <row r="1136" spans="4:29">
      <c r="D1136" s="8" t="s">
        <v>777</v>
      </c>
      <c r="E1136" s="8">
        <f ca="1">E1135*2</f>
        <v>169.53320129903452</v>
      </c>
      <c r="F1136" s="8"/>
      <c r="G1136" s="8" t="s">
        <v>912</v>
      </c>
      <c r="H1136" s="8">
        <f ca="1">K1111/2</f>
        <v>777.6022561128334</v>
      </c>
      <c r="J1136" s="8"/>
      <c r="K1136" s="50"/>
      <c r="L1136" s="8"/>
      <c r="M1136" s="8" t="s">
        <v>880</v>
      </c>
      <c r="N1136" s="50">
        <f ca="1">IFERROR((K1131-N1130)/N1134,0)</f>
        <v>0.43633405148317722</v>
      </c>
      <c r="V1136" s="128"/>
      <c r="W1136" s="128"/>
      <c r="X1136" s="128"/>
      <c r="Y1136" s="128"/>
      <c r="Z1136" s="128"/>
      <c r="AA1136" s="128"/>
      <c r="AB1136" s="128"/>
      <c r="AC1136" s="128"/>
    </row>
    <row r="1137" spans="4:29">
      <c r="D1137" s="8" t="s">
        <v>1016</v>
      </c>
      <c r="E1137" s="8">
        <f ca="1">E1110*'Parameter Inputs'!F482*'Parameter Inputs'!F526</f>
        <v>3211.3086406422963</v>
      </c>
      <c r="F1137" s="8"/>
      <c r="G1137" s="8"/>
      <c r="H1137" s="8"/>
      <c r="J1137" s="8"/>
      <c r="K1137" s="50"/>
      <c r="L1137" s="8"/>
      <c r="M1137" s="8" t="s">
        <v>902</v>
      </c>
      <c r="N1137" s="50">
        <f ca="1">IFERROR((K1132-N1131)/N1134,0)</f>
        <v>0.42750095607249966</v>
      </c>
      <c r="V1137" s="128"/>
      <c r="W1137" s="128"/>
      <c r="X1137" s="128"/>
      <c r="Y1137" s="128"/>
      <c r="Z1137" s="128"/>
      <c r="AA1137" s="128"/>
      <c r="AB1137" s="128"/>
      <c r="AC1137" s="128"/>
    </row>
    <row r="1138" spans="4:29">
      <c r="E1138" s="105"/>
      <c r="J1138" s="8"/>
      <c r="K1138" s="50"/>
      <c r="L1138" s="8"/>
      <c r="M1138" s="8" t="s">
        <v>1630</v>
      </c>
      <c r="N1138" s="50">
        <f ca="1">N1137*1.42</f>
        <v>0.60705135762294948</v>
      </c>
      <c r="V1138" s="128"/>
      <c r="W1138" s="128"/>
      <c r="X1138" s="128"/>
      <c r="Y1138" s="128"/>
      <c r="Z1138" s="128"/>
      <c r="AA1138" s="128"/>
      <c r="AB1138" s="128"/>
      <c r="AC1138" s="128"/>
    </row>
    <row r="1139" spans="4:29">
      <c r="J1139" s="8"/>
      <c r="K1139" s="50"/>
      <c r="L1139" s="8"/>
      <c r="M1139" s="8" t="s">
        <v>1631</v>
      </c>
      <c r="N1139" s="50">
        <f ca="1">N1135+N1138</f>
        <v>1331.9995598002004</v>
      </c>
      <c r="V1139" s="128"/>
      <c r="W1139" s="128"/>
      <c r="X1139" s="128"/>
      <c r="Y1139" s="128"/>
      <c r="Z1139" s="128"/>
      <c r="AA1139" s="128"/>
      <c r="AB1139" s="128"/>
      <c r="AC1139" s="128"/>
    </row>
    <row r="1140" spans="4:29">
      <c r="J1140" s="8"/>
      <c r="K1140" s="285"/>
      <c r="L1140" s="8"/>
      <c r="M1140" s="8" t="s">
        <v>1632</v>
      </c>
      <c r="N1140" s="103">
        <f ca="1">IFERROR(N1139/N1134,0)</f>
        <v>1.3369280877741638</v>
      </c>
      <c r="V1140" s="128"/>
      <c r="W1140" s="128"/>
      <c r="X1140" s="128"/>
      <c r="Y1140" s="128"/>
      <c r="Z1140" s="128"/>
      <c r="AA1140" s="128"/>
      <c r="AB1140" s="128"/>
      <c r="AC1140" s="128"/>
    </row>
    <row r="1141" spans="4:29">
      <c r="H1141" s="105"/>
      <c r="J1141" s="8"/>
      <c r="K1141" s="50"/>
      <c r="L1141" s="8"/>
      <c r="M1141" s="8" t="s">
        <v>1628</v>
      </c>
      <c r="N1141" s="159">
        <f ca="1">('Parameter Inputs'!F520*'Parameter Inputs'!G573)/N1134</f>
        <v>1.9753006009360788E-3</v>
      </c>
      <c r="V1141" s="128"/>
      <c r="W1141" s="128"/>
      <c r="X1141" s="128"/>
      <c r="Y1141" s="128"/>
      <c r="Z1141" s="128"/>
      <c r="AA1141" s="128"/>
      <c r="AB1141" s="128"/>
      <c r="AC1141" s="128"/>
    </row>
    <row r="1142" spans="4:29">
      <c r="H1142" s="105"/>
      <c r="J1142" s="8"/>
      <c r="K1142" s="8"/>
      <c r="L1142" s="8"/>
      <c r="M1142" s="8" t="s">
        <v>1629</v>
      </c>
      <c r="N1142" s="8">
        <f ca="1">('Parameter Inputs'!H573*'Parameter Inputs'!F522)/N1134</f>
        <v>6.8081506878113078E-5</v>
      </c>
    </row>
    <row r="1144" spans="4:29">
      <c r="G1144" s="105"/>
    </row>
    <row r="1145" spans="4:29">
      <c r="J1145" s="338" t="s">
        <v>40</v>
      </c>
      <c r="K1145" s="339"/>
      <c r="L1145" s="339"/>
      <c r="M1145" s="339"/>
      <c r="N1145" s="340"/>
    </row>
    <row r="1146" spans="4:29">
      <c r="G1146" s="105"/>
      <c r="H1146" s="105"/>
      <c r="J1146" s="158" t="s">
        <v>28</v>
      </c>
      <c r="K1146" s="162"/>
      <c r="L1146" s="98"/>
      <c r="M1146" s="162" t="s">
        <v>29</v>
      </c>
      <c r="N1146" s="156"/>
    </row>
    <row r="1147" spans="4:29">
      <c r="G1147" s="105"/>
      <c r="J1147" s="8" t="s">
        <v>765</v>
      </c>
      <c r="K1147" s="50">
        <f ca="1">N1129</f>
        <v>19252.130381480598</v>
      </c>
      <c r="L1147" s="8"/>
      <c r="M1147" s="8" t="s">
        <v>368</v>
      </c>
      <c r="N1147" s="50">
        <f ca="1">K1148/(1-'Parameter Inputs'!F605)</f>
        <v>6417.3767938268684</v>
      </c>
    </row>
    <row r="1148" spans="4:29">
      <c r="J1148" s="8" t="s">
        <v>236</v>
      </c>
      <c r="K1148" s="50">
        <f ca="1">N1130</f>
        <v>5775.6391144441795</v>
      </c>
      <c r="L1148" s="8"/>
      <c r="M1148" s="8" t="s">
        <v>236</v>
      </c>
      <c r="N1148" s="50">
        <f ca="1">K1148</f>
        <v>5775.6391144441795</v>
      </c>
      <c r="P1148" s="105"/>
    </row>
    <row r="1149" spans="4:29">
      <c r="J1149" s="8" t="s">
        <v>763</v>
      </c>
      <c r="K1149" s="8">
        <f ca="1">N1131</f>
        <v>5658.7177529733317</v>
      </c>
      <c r="L1149" s="8"/>
      <c r="M1149" s="8" t="s">
        <v>763</v>
      </c>
      <c r="N1149" s="8">
        <f ca="1">K1149</f>
        <v>5658.7177529733317</v>
      </c>
      <c r="Q1149" s="86"/>
    </row>
    <row r="1150" spans="4:29">
      <c r="H1150" s="163"/>
      <c r="J1150" s="8" t="s">
        <v>45</v>
      </c>
      <c r="K1150" s="50">
        <f ca="1">N1132</f>
        <v>2525.4421339933115</v>
      </c>
      <c r="L1150" s="286"/>
      <c r="M1150" s="8" t="s">
        <v>45</v>
      </c>
      <c r="N1150" s="50">
        <f ca="1">K1150</f>
        <v>2525.4421339933115</v>
      </c>
      <c r="P1150" s="105"/>
    </row>
    <row r="1151" spans="4:29">
      <c r="J1151" s="8"/>
      <c r="K1151" s="8"/>
      <c r="L1151" s="8"/>
      <c r="M1151" s="8" t="s">
        <v>41</v>
      </c>
      <c r="N1151" s="50">
        <f ca="1">K1147-N1147</f>
        <v>12834.753587653729</v>
      </c>
    </row>
    <row r="1152" spans="4:29">
      <c r="P1152" s="105"/>
    </row>
    <row r="1153" spans="5:23">
      <c r="H1153" s="163"/>
      <c r="J1153" s="338" t="s">
        <v>707</v>
      </c>
      <c r="K1153" s="339"/>
      <c r="L1153" s="339"/>
      <c r="M1153" s="339"/>
      <c r="N1153" s="340"/>
    </row>
    <row r="1154" spans="5:23">
      <c r="J1154" s="158" t="s">
        <v>28</v>
      </c>
      <c r="K1154" s="162"/>
      <c r="L1154" s="98"/>
      <c r="M1154" s="162" t="s">
        <v>29</v>
      </c>
      <c r="N1154" s="156"/>
      <c r="O1154" s="105"/>
      <c r="P1154" s="105"/>
      <c r="S1154" s="105"/>
    </row>
    <row r="1155" spans="5:23">
      <c r="E1155" s="105"/>
      <c r="J1155" s="8" t="s">
        <v>1101</v>
      </c>
      <c r="K1155" s="50">
        <f ca="1">N1147/2</f>
        <v>3208.6883969134342</v>
      </c>
      <c r="L1155" s="8"/>
      <c r="M1155" s="8" t="s">
        <v>1092</v>
      </c>
      <c r="N1155" s="50">
        <f ca="1">(K1155)+K1157+K1158</f>
        <v>71874.620090860888</v>
      </c>
      <c r="S1155" s="105"/>
    </row>
    <row r="1156" spans="5:23">
      <c r="J1156" s="8" t="s">
        <v>1102</v>
      </c>
      <c r="K1156" s="50">
        <f ca="1">N1150/2</f>
        <v>1262.7210669966557</v>
      </c>
      <c r="L1156" s="8"/>
      <c r="M1156" s="8" t="s">
        <v>1096</v>
      </c>
      <c r="N1156" s="50">
        <f ca="1">N1148/2</f>
        <v>2887.8195572220898</v>
      </c>
    </row>
    <row r="1157" spans="5:23">
      <c r="J1157" s="8" t="s">
        <v>295</v>
      </c>
      <c r="K1157" s="50">
        <f ca="1">(K1155)*'Parameter Inputs'!F623</f>
        <v>68345.062854256146</v>
      </c>
      <c r="L1157" s="8"/>
      <c r="M1157" s="8" t="s">
        <v>1097</v>
      </c>
      <c r="N1157" s="50">
        <f ca="1">N1149/2</f>
        <v>2829.3588764866658</v>
      </c>
    </row>
    <row r="1158" spans="5:23">
      <c r="J1158" s="8" t="s">
        <v>1103</v>
      </c>
      <c r="K1158" s="50">
        <f ca="1">((K1155)*'Parameter Inputs'!F611)-'Parameter Inputs'!K1157</f>
        <v>320.86883969133487</v>
      </c>
      <c r="L1158" s="8"/>
      <c r="M1158" s="8" t="s">
        <v>1638</v>
      </c>
      <c r="N1158" s="50">
        <f ca="1">K1156</f>
        <v>1262.7210669966557</v>
      </c>
    </row>
    <row r="1159" spans="5:23">
      <c r="J1159" s="8" t="s">
        <v>1112</v>
      </c>
      <c r="K1159" s="50">
        <f ca="1">(K1155+K1157+K1158)/1070</f>
        <v>67.17254214099151</v>
      </c>
      <c r="L1159" s="286"/>
      <c r="M1159" s="8"/>
      <c r="N1159" s="50"/>
      <c r="P1159" s="347" t="s">
        <v>710</v>
      </c>
      <c r="Q1159" s="347"/>
      <c r="R1159" s="347"/>
      <c r="S1159" s="347"/>
      <c r="T1159" s="347"/>
      <c r="U1159" s="128"/>
      <c r="V1159" s="128"/>
      <c r="W1159" s="128"/>
    </row>
    <row r="1160" spans="5:23">
      <c r="J1160" s="8" t="s">
        <v>1113</v>
      </c>
      <c r="K1160" s="8">
        <f ca="1">K1158*2</f>
        <v>641.73767938266974</v>
      </c>
      <c r="L1160" s="8"/>
      <c r="M1160" s="8"/>
      <c r="N1160" s="8"/>
      <c r="P1160" s="316" t="s">
        <v>28</v>
      </c>
      <c r="Q1160" s="317"/>
      <c r="R1160" s="318"/>
      <c r="S1160" s="316" t="s">
        <v>29</v>
      </c>
      <c r="T1160" s="317"/>
    </row>
    <row r="1161" spans="5:23">
      <c r="P1161" s="8" t="s">
        <v>1092</v>
      </c>
      <c r="Q1161" s="50">
        <f ca="1">N1166</f>
        <v>5031.2234063602637</v>
      </c>
      <c r="R1161" s="319"/>
      <c r="S1161" s="8" t="s">
        <v>1104</v>
      </c>
      <c r="T1161" s="50">
        <f ca="1">Q1161*'Parameter Inputs'!F659</f>
        <v>2113.1138306713106</v>
      </c>
      <c r="V1161" s="105"/>
    </row>
    <row r="1162" spans="5:23">
      <c r="J1162" s="338" t="s">
        <v>296</v>
      </c>
      <c r="K1162" s="339"/>
      <c r="L1162" s="339"/>
      <c r="M1162" s="339"/>
      <c r="N1162" s="340"/>
      <c r="O1162" s="105"/>
      <c r="P1162" s="8" t="s">
        <v>1242</v>
      </c>
      <c r="Q1162" s="8">
        <f ca="1">Q1161/1070</f>
        <v>4.7020779498694054</v>
      </c>
      <c r="R1162" s="320"/>
      <c r="S1162" s="8" t="s">
        <v>1105</v>
      </c>
      <c r="T1162" s="50">
        <f ca="1">'Parameter Inputs'!F661*'Parameter Inputs'!Q1161</f>
        <v>2918.1095756889526</v>
      </c>
    </row>
    <row r="1163" spans="5:23">
      <c r="J1163" s="158" t="s">
        <v>28</v>
      </c>
      <c r="K1163" s="162"/>
      <c r="L1163" s="98"/>
      <c r="M1163" s="162" t="s">
        <v>29</v>
      </c>
      <c r="N1163" s="156"/>
      <c r="P1163" s="8" t="s">
        <v>1096</v>
      </c>
      <c r="Q1163" s="49">
        <f ca="1">N1167</f>
        <v>2685.6721882165443</v>
      </c>
      <c r="R1163" s="8"/>
      <c r="S1163" s="8" t="s">
        <v>236</v>
      </c>
      <c r="T1163" s="49">
        <f ca="1">Q1163*2</f>
        <v>5371.3443764330887</v>
      </c>
    </row>
    <row r="1164" spans="5:23">
      <c r="J1164" s="8" t="s">
        <v>1093</v>
      </c>
      <c r="K1164" s="50">
        <f ca="1">N1155</f>
        <v>71874.620090860888</v>
      </c>
      <c r="L1164" s="8"/>
      <c r="M1164" s="8" t="s">
        <v>1094</v>
      </c>
      <c r="N1164" s="50">
        <f ca="1">K1164-N1166</f>
        <v>66843.396684500622</v>
      </c>
      <c r="P1164" s="8" t="s">
        <v>1097</v>
      </c>
      <c r="Q1164" s="49">
        <f ca="1">N1168</f>
        <v>2631.3037551325988</v>
      </c>
      <c r="R1164" s="8"/>
      <c r="S1164" s="8" t="s">
        <v>763</v>
      </c>
      <c r="T1164" s="49">
        <f ca="1">Q1164*2</f>
        <v>5262.6075102651976</v>
      </c>
    </row>
    <row r="1165" spans="5:23">
      <c r="J1165" s="8" t="s">
        <v>1114</v>
      </c>
      <c r="K1165" s="8">
        <f ca="1">K1164/1070</f>
        <v>67.172542140991482</v>
      </c>
      <c r="L1165" s="8"/>
      <c r="M1165" s="8" t="s">
        <v>1098</v>
      </c>
      <c r="N1165" s="50">
        <f ca="1">K1168*'Parameter Inputs'!F615</f>
        <v>947.04080024749169</v>
      </c>
    </row>
    <row r="1166" spans="5:23">
      <c r="J1166" s="8" t="s">
        <v>1099</v>
      </c>
      <c r="K1166" s="50">
        <f ca="1">N1156</f>
        <v>2887.8195572220898</v>
      </c>
      <c r="L1166" s="8"/>
      <c r="M1166" s="8" t="s">
        <v>1095</v>
      </c>
      <c r="N1166" s="50">
        <f ca="1">K1164*'Parameter Inputs'!F653</f>
        <v>5031.2234063602582</v>
      </c>
    </row>
    <row r="1167" spans="5:23">
      <c r="J1167" s="8" t="s">
        <v>1097</v>
      </c>
      <c r="K1167" s="8">
        <f ca="1">N1157</f>
        <v>2829.3588764866658</v>
      </c>
      <c r="L1167" s="8"/>
      <c r="M1167" s="50" t="s">
        <v>1096</v>
      </c>
      <c r="N1167" s="49">
        <f ca="1">K1166*'Parameter Inputs'!F651</f>
        <v>2685.6721882165434</v>
      </c>
    </row>
    <row r="1168" spans="5:23">
      <c r="J1168" s="8" t="s">
        <v>1100</v>
      </c>
      <c r="K1168" s="50">
        <f ca="1">N1158</f>
        <v>1262.7210669966557</v>
      </c>
      <c r="L1168" s="8"/>
      <c r="M1168" s="8" t="s">
        <v>1097</v>
      </c>
      <c r="N1168" s="49">
        <f ca="1">K1167*'Parameter Inputs'!F651</f>
        <v>2631.3037551325992</v>
      </c>
      <c r="P1168" s="347" t="s">
        <v>497</v>
      </c>
      <c r="Q1168" s="347"/>
      <c r="R1168" s="347"/>
      <c r="S1168" s="347"/>
      <c r="T1168" s="347"/>
    </row>
    <row r="1169" spans="4:24">
      <c r="M1169" s="105"/>
      <c r="N1169" s="105"/>
      <c r="P1169" s="121" t="s">
        <v>28</v>
      </c>
      <c r="Q1169" s="121"/>
      <c r="R1169" s="157"/>
      <c r="S1169" s="121" t="s">
        <v>29</v>
      </c>
      <c r="T1169" s="121"/>
    </row>
    <row r="1170" spans="4:24">
      <c r="J1170" s="164" t="s">
        <v>709</v>
      </c>
      <c r="K1170" s="165"/>
      <c r="L1170" s="165"/>
      <c r="M1170" s="165"/>
      <c r="N1170" s="166"/>
      <c r="P1170" s="8" t="s">
        <v>1243</v>
      </c>
      <c r="Q1170" s="50">
        <f ca="1">T1161</f>
        <v>2113.1138306713106</v>
      </c>
      <c r="R1170" s="161"/>
      <c r="S1170" s="8" t="s">
        <v>1106</v>
      </c>
      <c r="T1170" s="50">
        <f ca="1">Q1170</f>
        <v>2113.1138306713106</v>
      </c>
      <c r="X1170" s="86"/>
    </row>
    <row r="1171" spans="4:24">
      <c r="J1171" s="42" t="s">
        <v>28</v>
      </c>
      <c r="K1171" s="8"/>
      <c r="L1171" s="8"/>
      <c r="M1171" s="42" t="s">
        <v>29</v>
      </c>
      <c r="N1171" s="8"/>
      <c r="X1171" s="86"/>
    </row>
    <row r="1172" spans="4:24">
      <c r="J1172" s="8" t="s">
        <v>1107</v>
      </c>
      <c r="K1172" s="50">
        <f ca="1">N1164</f>
        <v>66843.396684500622</v>
      </c>
      <c r="L1172" s="8"/>
      <c r="M1172" s="8" t="s">
        <v>1104</v>
      </c>
      <c r="N1172" s="50">
        <f ca="1">K1172*'Parameter Inputs'!F671</f>
        <v>66174.96271765561</v>
      </c>
      <c r="U1172" s="91"/>
      <c r="V1172" s="91"/>
    </row>
    <row r="1173" spans="4:24">
      <c r="J1173" s="8" t="s">
        <v>1108</v>
      </c>
      <c r="K1173" s="8">
        <f ca="1">K1172/1070</f>
        <v>62.470464191122076</v>
      </c>
      <c r="L1173" s="8"/>
      <c r="M1173" s="8" t="s">
        <v>1109</v>
      </c>
      <c r="N1173" s="50">
        <f ca="1">N1165</f>
        <v>947.04080024749169</v>
      </c>
      <c r="P1173" s="90"/>
    </row>
    <row r="1174" spans="4:24">
      <c r="J1174" s="8"/>
      <c r="K1174" s="8"/>
      <c r="L1174" s="8"/>
      <c r="M1174" s="8" t="s">
        <v>1111</v>
      </c>
      <c r="N1174" s="50">
        <f ca="1">N1173*2</f>
        <v>1894.0816004949834</v>
      </c>
      <c r="P1174" s="105"/>
    </row>
    <row r="1176" spans="4:24">
      <c r="J1176" s="298" t="s">
        <v>497</v>
      </c>
      <c r="K1176" s="298"/>
      <c r="L1176" s="298"/>
      <c r="M1176" s="298"/>
      <c r="N1176" s="298"/>
    </row>
    <row r="1177" spans="4:24">
      <c r="J1177" s="42" t="s">
        <v>28</v>
      </c>
      <c r="K1177" s="8"/>
      <c r="L1177" s="8"/>
      <c r="M1177" s="42" t="s">
        <v>29</v>
      </c>
      <c r="N1177" s="8"/>
    </row>
    <row r="1178" spans="4:24">
      <c r="J1178" s="8" t="s">
        <v>1110</v>
      </c>
      <c r="K1178" s="50">
        <f ca="1">N1172</f>
        <v>66174.96271765561</v>
      </c>
      <c r="L1178" s="8"/>
      <c r="M1178" s="8" t="s">
        <v>1106</v>
      </c>
      <c r="N1178" s="50">
        <f ca="1">K1178</f>
        <v>66174.96271765561</v>
      </c>
    </row>
    <row r="1179" spans="4:24">
      <c r="N1179" s="105"/>
    </row>
    <row r="1180" spans="4:24" s="221" customFormat="1">
      <c r="D1180" s="222" t="s">
        <v>1700</v>
      </c>
      <c r="N1180" s="223"/>
    </row>
    <row r="1182" spans="4:24">
      <c r="D1182" s="8" t="s">
        <v>546</v>
      </c>
      <c r="E1182" s="8">
        <f>F36*F32*365</f>
        <v>29882429.550000001</v>
      </c>
    </row>
    <row r="1183" spans="4:24">
      <c r="D1183" s="8" t="s">
        <v>603</v>
      </c>
      <c r="E1183" s="49">
        <f ca="1">IFERROR('Parameter Inputs'!F1404,0)</f>
        <v>6867512.4992822725</v>
      </c>
    </row>
    <row r="1184" spans="4:24">
      <c r="D1184" s="8" t="s">
        <v>1174</v>
      </c>
      <c r="E1184" s="49">
        <f ca="1">'Parameter Inputs'!F1389</f>
        <v>66445.831600142745</v>
      </c>
    </row>
    <row r="1185" spans="4:18">
      <c r="D1185" s="49" t="s">
        <v>1224</v>
      </c>
      <c r="E1185" s="49">
        <f ca="1">E1184+E1183</f>
        <v>6933958.3308824152</v>
      </c>
    </row>
    <row r="1186" spans="4:18">
      <c r="D1186" s="8" t="s">
        <v>1175</v>
      </c>
      <c r="E1186" s="49">
        <f ca="1">E1182+E1183+E1184</f>
        <v>36816387.88088242</v>
      </c>
      <c r="G1186" s="91"/>
      <c r="H1186" s="91"/>
    </row>
    <row r="1187" spans="4:18">
      <c r="D1187" s="8"/>
      <c r="E1187" s="49"/>
    </row>
    <row r="1188" spans="4:18">
      <c r="D1188" s="49" t="s">
        <v>1225</v>
      </c>
      <c r="E1188" s="49">
        <f ca="1">E1205-E1185</f>
        <v>-6933958.3308824152</v>
      </c>
    </row>
    <row r="1189" spans="4:18">
      <c r="D1189" s="8" t="s">
        <v>1226</v>
      </c>
      <c r="E1189" s="49">
        <f ca="1">E1185-E1205</f>
        <v>6933958.3308824152</v>
      </c>
    </row>
    <row r="1190" spans="4:18">
      <c r="D1190" s="49" t="s">
        <v>1227</v>
      </c>
      <c r="E1190" s="49">
        <f ca="1">E1189</f>
        <v>6933958.3308824152</v>
      </c>
    </row>
    <row r="1191" spans="4:18">
      <c r="D1191" s="8" t="s">
        <v>552</v>
      </c>
      <c r="E1191" s="49">
        <f ca="1">'Parameter Inputs'!I1389</f>
        <v>1070516.1757800775</v>
      </c>
      <c r="F1191" s="91"/>
    </row>
    <row r="1192" spans="4:18">
      <c r="D1192" s="8" t="s">
        <v>553</v>
      </c>
      <c r="E1192" s="284">
        <v>0.98</v>
      </c>
      <c r="F1192" s="91"/>
      <c r="G1192" s="113"/>
    </row>
    <row r="1193" spans="4:18">
      <c r="D1193" s="8" t="s">
        <v>554</v>
      </c>
      <c r="E1193" s="293">
        <f ca="1">E1191/E1192</f>
        <v>1092363.4446735485</v>
      </c>
    </row>
    <row r="1194" spans="4:18">
      <c r="D1194" s="8" t="s">
        <v>1195</v>
      </c>
      <c r="E1194" s="293">
        <v>330497.95458286814</v>
      </c>
    </row>
    <row r="1195" spans="4:18">
      <c r="D1195" s="8" t="s">
        <v>604</v>
      </c>
      <c r="E1195" s="293">
        <f ca="1">IFERROR('Parameter Inputs'!I1404,0)</f>
        <v>13664227.39606951</v>
      </c>
      <c r="F1195" s="91" t="s">
        <v>542</v>
      </c>
    </row>
    <row r="1196" spans="4:18">
      <c r="D1196" s="8" t="s">
        <v>1231</v>
      </c>
      <c r="E1196" s="293">
        <f ca="1">E1191+E1195</f>
        <v>14734743.571849588</v>
      </c>
      <c r="F1196" s="91"/>
    </row>
    <row r="1197" spans="4:18">
      <c r="D1197" s="8" t="s">
        <v>605</v>
      </c>
      <c r="E1197" s="293">
        <f ca="1">E1193+E1195</f>
        <v>14756590.840743057</v>
      </c>
    </row>
    <row r="1198" spans="4:18">
      <c r="D1198" s="8" t="s">
        <v>524</v>
      </c>
      <c r="E1198" s="8">
        <f>P1243</f>
        <v>0</v>
      </c>
    </row>
    <row r="1199" spans="4:18">
      <c r="D1199" s="8" t="s">
        <v>525</v>
      </c>
      <c r="E1199" s="49">
        <f>P1246</f>
        <v>0</v>
      </c>
      <c r="R1199" s="5" t="s">
        <v>165</v>
      </c>
    </row>
    <row r="1200" spans="4:18">
      <c r="D1200" s="8" t="s">
        <v>572</v>
      </c>
      <c r="E1200" s="49">
        <f ca="1">IF(F98=D1256,IF(E1186-E1198-E1199&gt;0,E1186-E1198-E1199,0),IF(F98=D1259,IF(E1186-E1198-E1199-E1205-E1207&gt;0,E1186-E1198-E1199-E1205-E1207,0),))</f>
        <v>36816387.88088242</v>
      </c>
      <c r="R1200" s="5" t="s">
        <v>166</v>
      </c>
    </row>
    <row r="1201" spans="4:18">
      <c r="D1201" s="8" t="s">
        <v>1135</v>
      </c>
      <c r="E1201" s="49">
        <f ca="1">('Parameter Inputs'!L1023*365)</f>
        <v>2285091.5141147659</v>
      </c>
      <c r="R1201" s="5" t="s">
        <v>521</v>
      </c>
    </row>
    <row r="1202" spans="4:18">
      <c r="D1202" s="8" t="s">
        <v>1392</v>
      </c>
      <c r="E1202" s="49">
        <f ca="1">E1233</f>
        <v>0</v>
      </c>
      <c r="R1202" s="5" t="s">
        <v>81</v>
      </c>
    </row>
    <row r="1203" spans="4:18">
      <c r="D1203" s="8" t="s">
        <v>559</v>
      </c>
      <c r="E1203" s="8">
        <v>65</v>
      </c>
    </row>
    <row r="1204" spans="4:18">
      <c r="D1204" s="8" t="s">
        <v>1395</v>
      </c>
      <c r="E1204" s="49">
        <f ca="1">(E1202*F106*F104)/3.6</f>
        <v>0</v>
      </c>
      <c r="L1204" s="113"/>
    </row>
    <row r="1205" spans="4:18">
      <c r="D1205" s="8" t="s">
        <v>1145</v>
      </c>
      <c r="E1205" s="49" cm="1">
        <f t="array" aca="1" ref="E1205" ca="1">_xlfn.IFS(F98=D1256,0,F98=D1257,E1202*F106*F102*0.277778,F98=D1258,E1202*F106*F102*0.277778,F98=D1259,E1202*F106*F102*0.277778)</f>
        <v>0</v>
      </c>
      <c r="F1205" s="91"/>
      <c r="L1205" s="113"/>
    </row>
    <row r="1206" spans="4:18">
      <c r="D1206" s="8" t="s">
        <v>1667</v>
      </c>
      <c r="E1206" s="49">
        <f ca="1">E1205</f>
        <v>0</v>
      </c>
      <c r="F1206" s="91"/>
      <c r="L1206" s="113"/>
    </row>
    <row r="1207" spans="4:18">
      <c r="D1207" s="8" t="s">
        <v>568</v>
      </c>
      <c r="E1207" s="49" cm="1">
        <f t="array" ref="E1207">IF(F108=F1257,0, _xlfn.IFS(F98=D1256,0,F98=D1257,E1186-E1205-P1236-P1237,F98=D1258,E1186-E1198-E1199-P1237,F98=D1259,E1235*F114*F102*0.277778))</f>
        <v>0</v>
      </c>
      <c r="L1207" s="113"/>
    </row>
    <row r="1208" spans="4:18">
      <c r="D1208" s="8" t="s">
        <v>1366</v>
      </c>
      <c r="E1208" s="49"/>
      <c r="F1208" s="91"/>
      <c r="L1208" s="113"/>
    </row>
    <row r="1209" spans="4:18">
      <c r="D1209" s="8" t="s">
        <v>1309</v>
      </c>
      <c r="E1209" s="49">
        <f ca="1">E1185*E1217</f>
        <v>6933958.3308824152</v>
      </c>
      <c r="F1209" s="91"/>
      <c r="L1209" s="133"/>
    </row>
    <row r="1210" spans="4:18">
      <c r="D1210" s="8" t="s">
        <v>1308</v>
      </c>
      <c r="E1210" s="49">
        <f ca="1">IF((E1207/(E1185-E1206))&lt;0,0,(E1207/(E1185-E1206)))</f>
        <v>0</v>
      </c>
      <c r="F1210" s="91"/>
      <c r="L1210" s="133"/>
    </row>
    <row r="1211" spans="4:18">
      <c r="D1211" s="8" t="s">
        <v>1698</v>
      </c>
      <c r="E1211" s="285">
        <f ca="1">E1205/E1186</f>
        <v>0</v>
      </c>
      <c r="L1211" s="113"/>
    </row>
    <row r="1212" spans="4:18">
      <c r="D1212" s="8" t="s">
        <v>1228</v>
      </c>
      <c r="E1212" s="285">
        <f ca="1">IF(E1205/E1185&gt;100%,100%,E1205/E1185)</f>
        <v>0</v>
      </c>
      <c r="L1212" s="113"/>
    </row>
    <row r="1213" spans="4:18">
      <c r="D1213" s="8" t="s">
        <v>1233</v>
      </c>
      <c r="E1213" s="285">
        <f ca="1">IF(E1188/E1182&gt;0,E1188/E1182,0)</f>
        <v>0</v>
      </c>
      <c r="F1213" s="91"/>
      <c r="L1213" s="113"/>
    </row>
    <row r="1214" spans="4:18">
      <c r="D1214" s="8" t="s">
        <v>1304</v>
      </c>
      <c r="E1214" s="285">
        <f ca="1">E1210/E1182</f>
        <v>0</v>
      </c>
      <c r="L1214" s="113"/>
    </row>
    <row r="1215" spans="4:18">
      <c r="D1215" s="8" t="s">
        <v>1273</v>
      </c>
      <c r="E1215" s="285" cm="1">
        <f t="array" ref="E1215">IF(F108=F1257,0,_xlfn.IFS(E1185-E1206&lt;0,0,AND((E1185-E1206&gt;0),(E1207/(E1185-E1206))&lt;1),(E1207/(E1185-E1206)),AND((E1185-E1206)&gt;0,(E1207/(E1185-E1206))&gt;1),1))</f>
        <v>0</v>
      </c>
      <c r="L1215" s="113"/>
    </row>
    <row r="1216" spans="4:18">
      <c r="D1216" s="8" t="s">
        <v>1669</v>
      </c>
      <c r="E1216" s="285">
        <f ca="1">IF((1-E1213-E1214)&lt;0,0,1-E1213-E1214)</f>
        <v>1</v>
      </c>
      <c r="L1216" s="113"/>
    </row>
    <row r="1217" spans="4:12">
      <c r="D1217" s="8" t="s">
        <v>1229</v>
      </c>
      <c r="E1217" s="285">
        <f ca="1">IF((1-E1214-E1212)&lt;0,0,(1-E1215-E1212))</f>
        <v>1</v>
      </c>
      <c r="L1217" s="113"/>
    </row>
    <row r="1218" spans="4:12">
      <c r="D1218" s="8" t="s">
        <v>1191</v>
      </c>
      <c r="E1218" s="293">
        <v>17785318.541990098</v>
      </c>
      <c r="F1218" s="91"/>
      <c r="L1218" s="113"/>
    </row>
    <row r="1219" spans="4:12">
      <c r="D1219" s="8" t="s">
        <v>1234</v>
      </c>
      <c r="E1219" s="293">
        <f ca="1">E1182*E1213</f>
        <v>0</v>
      </c>
      <c r="F1219" s="91"/>
      <c r="L1219" s="113"/>
    </row>
    <row r="1220" spans="4:12">
      <c r="D1220" s="8" t="s">
        <v>1192</v>
      </c>
      <c r="E1220" s="293">
        <f ca="1">E1218-E1219</f>
        <v>17785318.541990098</v>
      </c>
      <c r="L1220" s="113"/>
    </row>
    <row r="1221" spans="4:12">
      <c r="D1221" s="8"/>
      <c r="E1221" s="8"/>
      <c r="L1221" s="113"/>
    </row>
    <row r="1222" spans="4:12">
      <c r="D1222" s="8"/>
      <c r="E1222" s="8"/>
      <c r="L1222" s="113"/>
    </row>
    <row r="1223" spans="4:12">
      <c r="D1223" s="8" t="s">
        <v>557</v>
      </c>
      <c r="E1223" s="103">
        <f ca="1">'Parameter Inputs'!L1023</f>
        <v>6260.5246962048386</v>
      </c>
      <c r="L1223" s="113"/>
    </row>
    <row r="1224" spans="4:12">
      <c r="D1224" s="8" t="s">
        <v>559</v>
      </c>
      <c r="E1224" s="8">
        <v>65</v>
      </c>
      <c r="F1224" s="91"/>
      <c r="L1224" s="113"/>
    </row>
    <row r="1225" spans="4:12">
      <c r="D1225" s="8"/>
      <c r="E1225" s="8"/>
    </row>
    <row r="1226" spans="4:12">
      <c r="D1226" s="8"/>
      <c r="E1226" s="8"/>
    </row>
    <row r="1227" spans="4:12">
      <c r="D1227" s="8" t="s">
        <v>558</v>
      </c>
      <c r="E1227" s="49">
        <f ca="1">'Parameter Inputs'!E1223*'Parameter Inputs'!F112*'Parameter Inputs'!F110</f>
        <v>127902.51954346485</v>
      </c>
    </row>
    <row r="1228" spans="4:12">
      <c r="D1228" s="8" t="s">
        <v>561</v>
      </c>
      <c r="E1228" s="49">
        <f ca="1">E1227/3.6</f>
        <v>35528.477650962457</v>
      </c>
    </row>
    <row r="1229" spans="4:12">
      <c r="D1229" s="8" t="s">
        <v>562</v>
      </c>
      <c r="E1229" s="49">
        <f ca="1">E1228*365</f>
        <v>12967894.342601297</v>
      </c>
      <c r="F1229" s="91"/>
    </row>
    <row r="1230" spans="4:12">
      <c r="D1230" s="8" t="s">
        <v>990</v>
      </c>
      <c r="E1230" s="8">
        <v>35.799999999999997</v>
      </c>
    </row>
    <row r="1231" spans="4:12">
      <c r="D1231" s="8" t="s">
        <v>1389</v>
      </c>
      <c r="E1231" s="49">
        <f ca="1">E1196</f>
        <v>14734743.571849588</v>
      </c>
    </row>
    <row r="1232" spans="4:12">
      <c r="D1232" s="8" t="s">
        <v>1390</v>
      </c>
      <c r="E1232" s="293">
        <f ca="1">((E1231/F110)*3.6)/F112</f>
        <v>2596430.5853479453</v>
      </c>
    </row>
    <row r="1233" spans="4:18">
      <c r="D1233" s="8" t="s">
        <v>1391</v>
      </c>
      <c r="E1233" s="49">
        <f ca="1">IF(E1201&gt;E1232,E1201-E1232,0)</f>
        <v>0</v>
      </c>
    </row>
    <row r="1234" spans="4:18">
      <c r="D1234" s="8" t="s">
        <v>1397</v>
      </c>
      <c r="E1234" s="49">
        <f ca="1">IF(E1196-E1229&gt;0,E1196-E1229,0)</f>
        <v>1766849.2292482909</v>
      </c>
    </row>
    <row r="1235" spans="4:18">
      <c r="D1235" s="8" t="s">
        <v>1398</v>
      </c>
      <c r="E1235" s="49">
        <f ca="1">((E1234/F110)*3.6)/F114</f>
        <v>198801.60104059533</v>
      </c>
      <c r="F1235" s="91"/>
    </row>
    <row r="1236" spans="4:18">
      <c r="D1236" s="8" t="s">
        <v>1400</v>
      </c>
      <c r="E1236" s="8">
        <f ca="1">E1238*E1194</f>
        <v>330497.95458286814</v>
      </c>
      <c r="F1236" s="91"/>
      <c r="O1236" s="5" t="s">
        <v>522</v>
      </c>
      <c r="P1236" s="5">
        <f>P1243</f>
        <v>0</v>
      </c>
    </row>
    <row r="1237" spans="4:18">
      <c r="D1237" s="8" t="s">
        <v>1396</v>
      </c>
      <c r="E1237" s="284">
        <f ca="1">IF(E1204/E1194&gt;100%,100%,IF(E1204/E1194&lt;0%,0%,E1204/E1194))</f>
        <v>0</v>
      </c>
      <c r="O1237" s="5" t="s">
        <v>523</v>
      </c>
      <c r="P1237" s="5">
        <f>P1246</f>
        <v>0</v>
      </c>
    </row>
    <row r="1238" spans="4:18">
      <c r="D1238" s="8" t="s">
        <v>1399</v>
      </c>
      <c r="E1238" s="167">
        <f ca="1">1-E1237</f>
        <v>1</v>
      </c>
      <c r="R1238" s="60" t="s">
        <v>541</v>
      </c>
    </row>
    <row r="1239" spans="4:18">
      <c r="D1239" s="8" t="s">
        <v>1668</v>
      </c>
      <c r="E1239" s="49">
        <f ca="1">E1236+E1229</f>
        <v>13298392.297184166</v>
      </c>
    </row>
    <row r="1240" spans="4:18">
      <c r="D1240" s="8" t="s">
        <v>1230</v>
      </c>
      <c r="E1240" s="284">
        <f ca="1">IF(E1229/E1196&lt;100%,E1229/E1196,100%)</f>
        <v>0.88008958414289484</v>
      </c>
      <c r="O1240" s="5" t="s">
        <v>522</v>
      </c>
    </row>
    <row r="1241" spans="4:18">
      <c r="D1241" s="8" t="s">
        <v>1232</v>
      </c>
      <c r="E1241" s="167">
        <f ca="1">1-E1240</f>
        <v>0.11991041585710516</v>
      </c>
      <c r="O1241" s="5" t="s">
        <v>527</v>
      </c>
      <c r="P1241" s="5">
        <v>0</v>
      </c>
    </row>
    <row r="1242" spans="4:18">
      <c r="D1242" s="8" t="s">
        <v>1193</v>
      </c>
      <c r="E1242" s="49">
        <v>330497.95458286768</v>
      </c>
      <c r="O1242" s="5" t="s">
        <v>528</v>
      </c>
      <c r="P1242" s="5">
        <v>0</v>
      </c>
    </row>
    <row r="1243" spans="4:18">
      <c r="D1243" s="8" t="s">
        <v>1312</v>
      </c>
      <c r="E1243" s="49">
        <f ca="1">(E1194)*E1237</f>
        <v>0</v>
      </c>
      <c r="F1243" s="91"/>
      <c r="O1243" s="5" t="s">
        <v>526</v>
      </c>
      <c r="P1243" s="5">
        <f>((1.225*(((2/3)*P1242)^2)*(P1241)^3)*8760)/(1000)</f>
        <v>0</v>
      </c>
    </row>
    <row r="1244" spans="4:18">
      <c r="D1244" s="8" t="s">
        <v>1313</v>
      </c>
      <c r="E1244" s="49">
        <f ca="1">E1242-E1243</f>
        <v>330497.95458286768</v>
      </c>
    </row>
    <row r="1245" spans="4:18">
      <c r="D1245" s="8"/>
      <c r="E1245" s="8"/>
      <c r="O1245" s="5" t="s">
        <v>523</v>
      </c>
    </row>
    <row r="1246" spans="4:18">
      <c r="D1246" s="8" t="s">
        <v>1176</v>
      </c>
      <c r="E1246" s="49">
        <f ca="1">((E1231*3.6)/F102)/F106</f>
        <v>6315641.9643598665</v>
      </c>
      <c r="O1246" s="5" t="s">
        <v>543</v>
      </c>
      <c r="P1246" s="5">
        <f>(P1247*P1248*P1249*P1250*P1251*8760)</f>
        <v>0</v>
      </c>
    </row>
    <row r="1247" spans="4:18">
      <c r="D1247" s="8" t="s">
        <v>1190</v>
      </c>
      <c r="E1247" s="49">
        <f ca="1">((E1184*3.6)/F102)/F106</f>
        <v>28480.175468569345</v>
      </c>
      <c r="O1247" s="5" t="s">
        <v>529</v>
      </c>
      <c r="P1247" s="5">
        <v>0</v>
      </c>
    </row>
    <row r="1248" spans="4:18">
      <c r="D1248" s="8" t="s">
        <v>1177</v>
      </c>
      <c r="E1248" s="49">
        <f ca="1">E1182*E1213</f>
        <v>0</v>
      </c>
      <c r="O1248" s="5" t="s">
        <v>530</v>
      </c>
      <c r="P1248" s="5">
        <v>1.2</v>
      </c>
    </row>
    <row r="1249" spans="4:16">
      <c r="D1249" s="8" t="s">
        <v>1189</v>
      </c>
      <c r="E1249" s="49">
        <f ca="1">E1194*E1237</f>
        <v>0</v>
      </c>
      <c r="O1249" s="5" t="s">
        <v>531</v>
      </c>
      <c r="P1249" s="113">
        <v>0.19</v>
      </c>
    </row>
    <row r="1250" spans="4:16">
      <c r="D1250" s="8"/>
      <c r="E1250" s="8"/>
      <c r="O1250" s="5" t="s">
        <v>589</v>
      </c>
      <c r="P1250" s="5">
        <v>950</v>
      </c>
    </row>
    <row r="1251" spans="4:16">
      <c r="D1251" s="8" t="s">
        <v>991</v>
      </c>
      <c r="E1251" s="47">
        <f>F112/E1230</f>
        <v>0.63407821229050287</v>
      </c>
      <c r="O1251" s="5" t="s">
        <v>532</v>
      </c>
      <c r="P1251" s="92">
        <f>(1-P1252)*(1-P1253)*(1-P1254)*(1-P1255)*(1-P1256)*(1-P1257)*(1-P1258)*(1-P1259)</f>
        <v>0.7495443766899198</v>
      </c>
    </row>
    <row r="1252" spans="4:16">
      <c r="D1252" s="8" t="s">
        <v>1008</v>
      </c>
      <c r="E1252" s="8">
        <f ca="1">E1201*E1251</f>
        <v>1448926.7421900891</v>
      </c>
      <c r="O1252" s="129" t="s">
        <v>533</v>
      </c>
      <c r="P1252" s="167">
        <v>0.08</v>
      </c>
    </row>
    <row r="1253" spans="4:16">
      <c r="D1253" s="8"/>
      <c r="E1253" s="8"/>
      <c r="O1253" s="129" t="s">
        <v>534</v>
      </c>
      <c r="P1253" s="167">
        <v>0.08</v>
      </c>
    </row>
    <row r="1254" spans="4:16">
      <c r="D1254" s="8"/>
      <c r="E1254" s="8"/>
      <c r="O1254" s="129" t="s">
        <v>535</v>
      </c>
      <c r="P1254" s="167">
        <v>0.02</v>
      </c>
    </row>
    <row r="1255" spans="4:16">
      <c r="D1255" s="8" t="s">
        <v>509</v>
      </c>
      <c r="E1255" s="81" t="s">
        <v>520</v>
      </c>
      <c r="F1255" s="8" t="s">
        <v>510</v>
      </c>
      <c r="G1255" s="8" t="s">
        <v>512</v>
      </c>
      <c r="O1255" s="129" t="s">
        <v>536</v>
      </c>
      <c r="P1255" s="167">
        <v>0.02</v>
      </c>
    </row>
    <row r="1256" spans="4:16">
      <c r="D1256" s="8" t="s">
        <v>160</v>
      </c>
      <c r="E1256" s="81" t="s">
        <v>81</v>
      </c>
      <c r="F1256" s="8" t="s">
        <v>507</v>
      </c>
      <c r="G1256" s="284">
        <v>0.53</v>
      </c>
      <c r="J1256" s="5" t="s">
        <v>1459</v>
      </c>
      <c r="K1256" s="5" t="s">
        <v>1461</v>
      </c>
      <c r="L1256" s="5" t="s">
        <v>1460</v>
      </c>
      <c r="O1256" s="129" t="s">
        <v>537</v>
      </c>
      <c r="P1256" s="167">
        <v>0.03</v>
      </c>
    </row>
    <row r="1257" spans="4:16">
      <c r="D1257" s="8" t="s">
        <v>402</v>
      </c>
      <c r="E1257" s="294">
        <v>0.3</v>
      </c>
      <c r="F1257" s="13" t="s">
        <v>511</v>
      </c>
      <c r="G1257" s="295">
        <v>0.9</v>
      </c>
      <c r="H1257" s="5" t="s">
        <v>1457</v>
      </c>
      <c r="I1257" s="5" t="s">
        <v>1458</v>
      </c>
      <c r="J1257" s="5">
        <v>9</v>
      </c>
      <c r="K1257" s="126">
        <v>0.23200000000000001</v>
      </c>
      <c r="O1257" s="129" t="s">
        <v>538</v>
      </c>
      <c r="P1257" s="167">
        <v>0.03</v>
      </c>
    </row>
    <row r="1258" spans="4:16">
      <c r="D1258" s="8" t="s">
        <v>1138</v>
      </c>
      <c r="E1258" s="294">
        <v>0.37</v>
      </c>
      <c r="F1258" s="8"/>
      <c r="G1258" s="8"/>
      <c r="I1258" s="5" t="s">
        <v>1452</v>
      </c>
      <c r="J1258" s="5">
        <v>5</v>
      </c>
      <c r="K1258" s="126">
        <v>0.374</v>
      </c>
      <c r="O1258" s="129" t="s">
        <v>539</v>
      </c>
      <c r="P1258" s="167">
        <v>0.02</v>
      </c>
    </row>
    <row r="1259" spans="4:16">
      <c r="D1259" s="8" t="s">
        <v>1137</v>
      </c>
      <c r="E1259" s="294">
        <v>0.37</v>
      </c>
      <c r="F1259" s="8"/>
      <c r="G1259" s="8"/>
      <c r="I1259" s="5" t="s">
        <v>166</v>
      </c>
      <c r="J1259" s="5">
        <v>8</v>
      </c>
      <c r="K1259" s="92">
        <v>0.1</v>
      </c>
      <c r="O1259" s="129" t="s">
        <v>540</v>
      </c>
      <c r="P1259" s="167">
        <v>0</v>
      </c>
    </row>
    <row r="1260" spans="4:16">
      <c r="D1260" s="8"/>
      <c r="E1260" s="81"/>
      <c r="F1260" s="8"/>
      <c r="G1260" s="8"/>
      <c r="L1260" s="5">
        <f>SUM(D1273:D1275)</f>
        <v>41680.080000000002</v>
      </c>
    </row>
    <row r="1261" spans="4:16">
      <c r="D1261" s="8" t="s">
        <v>516</v>
      </c>
      <c r="E1261" s="81"/>
      <c r="F1261" s="8"/>
      <c r="G1261" s="8"/>
      <c r="L1261" s="5">
        <f>L1260/1000</f>
        <v>41.680080000000004</v>
      </c>
    </row>
    <row r="1262" spans="4:16">
      <c r="D1262" s="8" t="s">
        <v>518</v>
      </c>
      <c r="E1262" s="81"/>
      <c r="F1262" s="8"/>
      <c r="G1262" s="8"/>
    </row>
    <row r="1263" spans="4:16">
      <c r="O1263" s="129" t="s">
        <v>544</v>
      </c>
      <c r="P1263" s="60" t="s">
        <v>545</v>
      </c>
    </row>
    <row r="1264" spans="4:16" ht="15" thickBot="1"/>
    <row r="1265" spans="3:69">
      <c r="D1265" s="45"/>
      <c r="E1265" s="247"/>
      <c r="F1265" s="246"/>
      <c r="G1265" s="245"/>
      <c r="H1265" s="278"/>
      <c r="I1265" s="277"/>
      <c r="J1265" s="276"/>
      <c r="K1265" s="278"/>
      <c r="L1265" s="277"/>
      <c r="M1265" s="276"/>
      <c r="N1265" s="278"/>
      <c r="O1265" s="277"/>
      <c r="P1265" s="276"/>
      <c r="Q1265" s="278"/>
      <c r="R1265" s="277"/>
      <c r="S1265" s="276"/>
      <c r="T1265" s="278"/>
      <c r="U1265" s="277"/>
      <c r="V1265" s="276"/>
      <c r="W1265" s="247"/>
      <c r="X1265" s="246"/>
      <c r="Y1265" s="245"/>
      <c r="Z1265" s="247"/>
      <c r="AA1265" s="246"/>
      <c r="AB1265" s="245"/>
      <c r="AC1265" s="278"/>
      <c r="AD1265" s="277"/>
      <c r="AE1265" s="276"/>
      <c r="AF1265" s="278"/>
      <c r="AG1265" s="277"/>
      <c r="AH1265" s="276"/>
      <c r="AI1265" s="278"/>
      <c r="AJ1265" s="277"/>
      <c r="AK1265" s="276"/>
      <c r="AL1265" s="278"/>
      <c r="AM1265" s="277"/>
      <c r="AN1265" s="277"/>
      <c r="AO1265" s="278"/>
      <c r="AP1265" s="277"/>
      <c r="AQ1265" s="276"/>
      <c r="AR1265" s="278"/>
      <c r="AS1265" s="277"/>
      <c r="AT1265" s="276"/>
      <c r="AU1265" s="278"/>
      <c r="AV1265" s="277"/>
      <c r="AW1265" s="276"/>
      <c r="AX1265" s="278"/>
      <c r="AY1265" s="277"/>
      <c r="AZ1265" s="276"/>
      <c r="BA1265" s="278"/>
      <c r="BB1265" s="277"/>
      <c r="BC1265" s="276"/>
      <c r="BD1265" s="247"/>
      <c r="BE1265" s="246"/>
      <c r="BF1265" s="246"/>
      <c r="BG1265" s="276"/>
      <c r="BP1265" s="16"/>
      <c r="BQ1265" s="16"/>
    </row>
    <row r="1266" spans="3:69">
      <c r="D1266" s="93"/>
      <c r="E1266" s="252" t="s">
        <v>1709</v>
      </c>
      <c r="F1266" s="107"/>
      <c r="G1266" s="251"/>
      <c r="H1266" s="252" t="s">
        <v>895</v>
      </c>
      <c r="I1266" s="107"/>
      <c r="J1266" s="251"/>
      <c r="K1266" s="265" t="s">
        <v>1298</v>
      </c>
      <c r="L1266" s="16"/>
      <c r="M1266" s="264"/>
      <c r="N1266" s="250" t="s">
        <v>1299</v>
      </c>
      <c r="O1266" s="16"/>
      <c r="P1266" s="264"/>
      <c r="Q1266" s="250" t="s">
        <v>1300</v>
      </c>
      <c r="R1266" s="16"/>
      <c r="S1266" s="264"/>
      <c r="T1266" s="248" t="s">
        <v>1295</v>
      </c>
      <c r="U1266" s="107"/>
      <c r="V1266" s="251"/>
      <c r="W1266" s="252" t="s">
        <v>1721</v>
      </c>
      <c r="X1266" s="107"/>
      <c r="Y1266" s="251"/>
      <c r="Z1266" s="248" t="s">
        <v>1722</v>
      </c>
      <c r="AA1266" s="107"/>
      <c r="AB1266" s="251"/>
      <c r="AC1266" s="265" t="s">
        <v>1301</v>
      </c>
      <c r="AD1266" s="16"/>
      <c r="AE1266" s="264"/>
      <c r="AF1266" s="250" t="s">
        <v>1302</v>
      </c>
      <c r="AG1266" s="16"/>
      <c r="AH1266" s="264"/>
      <c r="AI1266" s="250" t="s">
        <v>1432</v>
      </c>
      <c r="AJ1266" s="16"/>
      <c r="AK1266" s="264"/>
      <c r="AL1266" s="250" t="s">
        <v>1723</v>
      </c>
      <c r="AM1266" s="16"/>
      <c r="AN1266" s="16"/>
      <c r="AO1266" s="248" t="s">
        <v>1297</v>
      </c>
      <c r="AP1266" s="107"/>
      <c r="AQ1266" s="251"/>
      <c r="AR1266" s="248" t="s">
        <v>1430</v>
      </c>
      <c r="AS1266" s="107"/>
      <c r="AT1266" s="251"/>
      <c r="AU1266" s="248" t="s">
        <v>1429</v>
      </c>
      <c r="AV1266" s="107"/>
      <c r="AW1266" s="251"/>
      <c r="AX1266" s="248" t="s">
        <v>1428</v>
      </c>
      <c r="AY1266" s="107"/>
      <c r="AZ1266" s="251"/>
      <c r="BA1266" s="248" t="s">
        <v>1427</v>
      </c>
      <c r="BB1266" s="107"/>
      <c r="BC1266" s="251"/>
      <c r="BD1266" s="265" t="s">
        <v>1296</v>
      </c>
      <c r="BE1266" s="16"/>
      <c r="BF1266" s="16"/>
      <c r="BG1266" s="264"/>
      <c r="BP1266" s="16"/>
      <c r="BQ1266" s="16"/>
    </row>
    <row r="1267" spans="3:69">
      <c r="D1267" s="93"/>
      <c r="E1267" s="265" t="s">
        <v>1476</v>
      </c>
      <c r="F1267" s="16" t="s">
        <v>1472</v>
      </c>
      <c r="G1267" s="264" t="s">
        <v>1475</v>
      </c>
      <c r="H1267" s="265" t="s">
        <v>1476</v>
      </c>
      <c r="I1267" s="16" t="s">
        <v>1472</v>
      </c>
      <c r="J1267" s="264" t="s">
        <v>1475</v>
      </c>
      <c r="K1267" s="265" t="s">
        <v>1476</v>
      </c>
      <c r="L1267" s="16" t="s">
        <v>1477</v>
      </c>
      <c r="M1267" s="264" t="s">
        <v>1478</v>
      </c>
      <c r="N1267" s="265" t="s">
        <v>1476</v>
      </c>
      <c r="O1267" s="16" t="s">
        <v>1477</v>
      </c>
      <c r="P1267" s="264" t="s">
        <v>1478</v>
      </c>
      <c r="Q1267" s="265" t="s">
        <v>1476</v>
      </c>
      <c r="R1267" s="16" t="s">
        <v>1477</v>
      </c>
      <c r="S1267" s="264" t="s">
        <v>1478</v>
      </c>
      <c r="T1267" s="265" t="s">
        <v>1476</v>
      </c>
      <c r="U1267" s="16" t="s">
        <v>1477</v>
      </c>
      <c r="V1267" s="264" t="s">
        <v>1478</v>
      </c>
      <c r="W1267" s="265" t="s">
        <v>1476</v>
      </c>
      <c r="X1267" s="16" t="s">
        <v>1472</v>
      </c>
      <c r="Y1267" s="264" t="s">
        <v>1475</v>
      </c>
      <c r="Z1267" s="265" t="s">
        <v>1476</v>
      </c>
      <c r="AA1267" s="16" t="s">
        <v>1472</v>
      </c>
      <c r="AB1267" s="264" t="s">
        <v>1475</v>
      </c>
      <c r="AC1267" s="265" t="s">
        <v>1476</v>
      </c>
      <c r="AD1267" s="16" t="s">
        <v>1477</v>
      </c>
      <c r="AE1267" s="264" t="s">
        <v>1478</v>
      </c>
      <c r="AF1267" s="265" t="s">
        <v>1476</v>
      </c>
      <c r="AG1267" s="16" t="s">
        <v>1477</v>
      </c>
      <c r="AH1267" s="264" t="s">
        <v>1478</v>
      </c>
      <c r="AI1267" s="265" t="s">
        <v>1476</v>
      </c>
      <c r="AJ1267" s="16" t="s">
        <v>1477</v>
      </c>
      <c r="AK1267" s="264" t="s">
        <v>1478</v>
      </c>
      <c r="AL1267" s="265" t="s">
        <v>1476</v>
      </c>
      <c r="AM1267" s="16" t="s">
        <v>1477</v>
      </c>
      <c r="AN1267" s="16" t="s">
        <v>1478</v>
      </c>
      <c r="AO1267" s="265" t="s">
        <v>1476</v>
      </c>
      <c r="AP1267" s="16" t="s">
        <v>1477</v>
      </c>
      <c r="AQ1267" s="264" t="s">
        <v>1478</v>
      </c>
      <c r="AR1267" s="265" t="s">
        <v>1476</v>
      </c>
      <c r="AS1267" s="16" t="s">
        <v>1477</v>
      </c>
      <c r="AT1267" s="264" t="s">
        <v>1478</v>
      </c>
      <c r="AU1267" s="265" t="s">
        <v>1476</v>
      </c>
      <c r="AV1267" s="16" t="s">
        <v>1477</v>
      </c>
      <c r="AW1267" s="264" t="s">
        <v>1478</v>
      </c>
      <c r="AX1267" s="265" t="s">
        <v>1476</v>
      </c>
      <c r="AY1267" s="16" t="s">
        <v>1477</v>
      </c>
      <c r="AZ1267" s="264" t="s">
        <v>1478</v>
      </c>
      <c r="BA1267" s="265" t="s">
        <v>1476</v>
      </c>
      <c r="BB1267" s="16" t="s">
        <v>1477</v>
      </c>
      <c r="BC1267" s="264" t="s">
        <v>1478</v>
      </c>
      <c r="BD1267" s="265" t="s">
        <v>1476</v>
      </c>
      <c r="BE1267" s="16" t="s">
        <v>1477</v>
      </c>
      <c r="BF1267" s="16" t="s">
        <v>1478</v>
      </c>
      <c r="BG1267" s="264"/>
      <c r="BP1267" s="16"/>
      <c r="BQ1267" s="16"/>
    </row>
    <row r="1268" spans="3:69">
      <c r="C1268" s="8" t="s">
        <v>161</v>
      </c>
      <c r="D1268" s="81">
        <v>0</v>
      </c>
      <c r="E1268" s="254">
        <v>5.6032E-3</v>
      </c>
      <c r="F1268" s="103">
        <f>E1268*$E$120</f>
        <v>7.7884480000000005E-4</v>
      </c>
      <c r="G1268" s="244">
        <f>E1268*$E$149</f>
        <v>0</v>
      </c>
      <c r="H1268" s="254">
        <v>1.0408999999999999</v>
      </c>
      <c r="I1268" s="8">
        <f>H1268*E120</f>
        <v>0.14468510000000001</v>
      </c>
      <c r="J1268" s="255">
        <f>H1268*$E$149</f>
        <v>0</v>
      </c>
      <c r="K1268" s="263">
        <v>2.018E-2</v>
      </c>
      <c r="L1268" s="8">
        <f>K1268*E120</f>
        <v>2.8050200000000001E-3</v>
      </c>
      <c r="M1268" s="255">
        <f>K1268*$E$149</f>
        <v>0</v>
      </c>
      <c r="N1268" s="263">
        <v>2.8031E-2</v>
      </c>
      <c r="O1268" s="8">
        <f>N1268*E120</f>
        <v>3.8963090000000006E-3</v>
      </c>
      <c r="P1268" s="255">
        <f>N1268*$E$149</f>
        <v>0</v>
      </c>
      <c r="Q1268" s="263">
        <v>0.54515000000000002</v>
      </c>
      <c r="R1268" s="8">
        <f>Q1268*E120</f>
        <v>7.5775850000000006E-2</v>
      </c>
      <c r="S1268" s="255">
        <f>Q1268*$E$149</f>
        <v>0</v>
      </c>
      <c r="T1268" s="263">
        <v>0.26751000000000003</v>
      </c>
      <c r="U1268" s="8">
        <f>T1268*E120</f>
        <v>3.7183890000000004E-2</v>
      </c>
      <c r="V1268" s="255">
        <f>T1268*$E$149</f>
        <v>0</v>
      </c>
      <c r="W1268" s="254">
        <v>5.6092000000000002E-4</v>
      </c>
      <c r="X1268" s="103">
        <f>W1268*$E$120</f>
        <v>7.7967880000000015E-5</v>
      </c>
      <c r="Y1268" s="255">
        <f>W1268*$E$149</f>
        <v>0</v>
      </c>
      <c r="Z1268" s="254">
        <v>3.7215999999999997E-5</v>
      </c>
      <c r="AA1268" s="103">
        <f>Z1268*$E$120</f>
        <v>5.1730240000000001E-6</v>
      </c>
      <c r="AB1268" s="255">
        <f>Z1268*$E$149</f>
        <v>0</v>
      </c>
      <c r="AC1268" s="263">
        <v>5.3111999999999999E-2</v>
      </c>
      <c r="AD1268" s="103">
        <f>AC1268*$E$120</f>
        <v>7.3825680000000008E-3</v>
      </c>
      <c r="AE1268" s="255">
        <f>AC1268*$E$149</f>
        <v>0</v>
      </c>
      <c r="AF1268" s="263">
        <v>1.0855999999999999</v>
      </c>
      <c r="AG1268" s="8">
        <f>AF1268*E120</f>
        <v>0.15089839999999999</v>
      </c>
      <c r="AH1268" s="255">
        <f>AF1268*$E$149</f>
        <v>0</v>
      </c>
      <c r="AI1268" s="263">
        <v>6.3512999999999998E-3</v>
      </c>
      <c r="AJ1268" s="103">
        <f>AI1268*$E$120</f>
        <v>8.8283070000000005E-4</v>
      </c>
      <c r="AK1268" s="255">
        <f>AI1268*$E$149</f>
        <v>0</v>
      </c>
      <c r="AL1268" s="263">
        <v>9.5005000000000003E-3</v>
      </c>
      <c r="AM1268" s="103">
        <f>AL1268*$E$120</f>
        <v>1.3205695000000001E-3</v>
      </c>
      <c r="AN1268" s="255">
        <f>AL1268*$E$149</f>
        <v>0</v>
      </c>
      <c r="AO1268" s="241">
        <v>2.2309000000000001E-3</v>
      </c>
      <c r="AP1268" s="8">
        <f>AO1268*E120</f>
        <v>3.1009510000000001E-4</v>
      </c>
      <c r="AQ1268" s="262">
        <f>E149*AO1268</f>
        <v>0</v>
      </c>
      <c r="AR1268" s="263">
        <v>1.1424E-7</v>
      </c>
      <c r="AS1268" s="103">
        <f>AR1268*$E$120</f>
        <v>1.5879360000000002E-8</v>
      </c>
      <c r="AT1268" s="244">
        <f>AR1268*$E$149</f>
        <v>0</v>
      </c>
      <c r="AU1268" s="263">
        <v>1.8818000000000001E-3</v>
      </c>
      <c r="AV1268" s="103">
        <f>AU1268*$E$120</f>
        <v>2.6157020000000005E-4</v>
      </c>
      <c r="AW1268" s="244">
        <f>AU1268*$E$149</f>
        <v>0</v>
      </c>
      <c r="AX1268" s="263">
        <v>2.5374E-3</v>
      </c>
      <c r="AY1268" s="103">
        <f>AX1268*$E$120</f>
        <v>3.5269860000000002E-4</v>
      </c>
      <c r="AZ1268" s="244">
        <f>AX1268*$E$149</f>
        <v>0</v>
      </c>
      <c r="BA1268" s="263">
        <v>2.5565000000000002E-3</v>
      </c>
      <c r="BB1268" s="103">
        <f>BA1268*$E$120</f>
        <v>3.5535350000000005E-4</v>
      </c>
      <c r="BC1268" s="244">
        <f>BA1268*$E$149</f>
        <v>0</v>
      </c>
      <c r="BD1268" s="239">
        <v>1.7715000000000001E-3</v>
      </c>
      <c r="BE1268" s="8">
        <f>BD1268*E120</f>
        <v>2.4623850000000003E-4</v>
      </c>
      <c r="BF1268" s="232">
        <f>E149*BD1268</f>
        <v>0</v>
      </c>
      <c r="BG1268" s="236" t="s">
        <v>1468</v>
      </c>
    </row>
    <row r="1269" spans="3:69">
      <c r="C1269" s="8" t="s">
        <v>162</v>
      </c>
      <c r="D1269" s="81">
        <v>0</v>
      </c>
      <c r="E1269" s="253">
        <v>1.4352E-2</v>
      </c>
      <c r="F1269" s="103">
        <f>E1269*$E$122</f>
        <v>1.0763999999999999E-3</v>
      </c>
      <c r="G1269" s="244">
        <f>E1269*$E$151</f>
        <v>0</v>
      </c>
      <c r="H1269" s="253">
        <v>0.99426000000000003</v>
      </c>
      <c r="I1269" s="8">
        <f>H1269*E122</f>
        <v>7.4569499999999997E-2</v>
      </c>
      <c r="J1269" s="255">
        <f>H1269*$E$151</f>
        <v>0</v>
      </c>
      <c r="K1269" s="263">
        <v>2.5252E-3</v>
      </c>
      <c r="L1269" s="8">
        <f>K1269*E122</f>
        <v>1.8939E-4</v>
      </c>
      <c r="M1269" s="255">
        <f>K1269*$E$151</f>
        <v>0</v>
      </c>
      <c r="N1269" s="263">
        <v>5.5931000000000002E-3</v>
      </c>
      <c r="O1269" s="8">
        <f>N1269*E122</f>
        <v>4.194825E-4</v>
      </c>
      <c r="P1269" s="255">
        <f>N1269*$E$151</f>
        <v>0</v>
      </c>
      <c r="Q1269" s="263">
        <v>2.5863</v>
      </c>
      <c r="R1269" s="8">
        <f>Q1269*E122</f>
        <v>0.19397249999999999</v>
      </c>
      <c r="S1269" s="255">
        <f>Q1269*$E$151</f>
        <v>0</v>
      </c>
      <c r="T1269" s="263">
        <v>0.27660000000000001</v>
      </c>
      <c r="U1269" s="8">
        <f>T1269*E122</f>
        <v>2.0745E-2</v>
      </c>
      <c r="V1269" s="255">
        <f>T1269*$E$151</f>
        <v>0</v>
      </c>
      <c r="W1269" s="253">
        <v>1.2931999999999999E-5</v>
      </c>
      <c r="X1269" s="103">
        <f>W1269*$E$122</f>
        <v>9.6989999999999981E-7</v>
      </c>
      <c r="Y1269" s="255">
        <f>W1269*$E$151</f>
        <v>0</v>
      </c>
      <c r="Z1269" s="253">
        <v>4.6081999999999997E-5</v>
      </c>
      <c r="AA1269" s="103">
        <f>Z1269*$E$122</f>
        <v>3.4561499999999995E-6</v>
      </c>
      <c r="AB1269" s="255">
        <f>Z1269*$E$151</f>
        <v>0</v>
      </c>
      <c r="AC1269" s="263">
        <v>9.9716000000000006E-3</v>
      </c>
      <c r="AD1269" s="103">
        <f>AC1269*$E$122</f>
        <v>7.4786999999999998E-4</v>
      </c>
      <c r="AE1269" s="255">
        <f>AC1269*$E$151</f>
        <v>0</v>
      </c>
      <c r="AF1269" s="263">
        <v>7.7690999999999996E-2</v>
      </c>
      <c r="AG1269" s="8">
        <f>AF1269*E122</f>
        <v>5.8268249999999999E-3</v>
      </c>
      <c r="AH1269" s="255">
        <f>AF1269*$E$151</f>
        <v>0</v>
      </c>
      <c r="AI1269" s="263">
        <v>4.4643E-3</v>
      </c>
      <c r="AJ1269" s="103">
        <f>AI1269*$E$122</f>
        <v>3.3482249999999998E-4</v>
      </c>
      <c r="AK1269" s="255">
        <f>AI1269*$E$151</f>
        <v>0</v>
      </c>
      <c r="AL1269" s="263">
        <v>1.8655E-3</v>
      </c>
      <c r="AM1269" s="103">
        <f>AL1269*$E$122</f>
        <v>1.3991249999999999E-4</v>
      </c>
      <c r="AN1269" s="255">
        <f>AL1269*$E$151</f>
        <v>0</v>
      </c>
      <c r="AO1269" s="241">
        <v>3.2997999999999999E-3</v>
      </c>
      <c r="AP1269" s="8">
        <f>AO1269*E122</f>
        <v>2.4748499999999998E-4</v>
      </c>
      <c r="AQ1269" s="262">
        <f>E151*AO1269</f>
        <v>0</v>
      </c>
      <c r="AR1269" s="263">
        <v>4.8238999999999997E-7</v>
      </c>
      <c r="AS1269" s="103">
        <f>AR1269*$E$122</f>
        <v>3.6179249999999996E-8</v>
      </c>
      <c r="AT1269" s="244">
        <f>AR1269*$E$151</f>
        <v>0</v>
      </c>
      <c r="AU1269" s="263">
        <v>4.2759E-3</v>
      </c>
      <c r="AV1269" s="103">
        <f>AU1269*$E$122</f>
        <v>3.2069249999999998E-4</v>
      </c>
      <c r="AW1269" s="244">
        <f>AU1269*$E$151</f>
        <v>0</v>
      </c>
      <c r="AX1269" s="263">
        <v>2.4586E-3</v>
      </c>
      <c r="AY1269" s="103">
        <f>AX1269*$E$122</f>
        <v>1.8439499999999999E-4</v>
      </c>
      <c r="AZ1269" s="244">
        <f>AX1269*$E$151</f>
        <v>0</v>
      </c>
      <c r="BA1269" s="263">
        <v>2.6115999999999999E-3</v>
      </c>
      <c r="BB1269" s="103">
        <f>BA1269*$E$122</f>
        <v>1.9586999999999998E-4</v>
      </c>
      <c r="BC1269" s="244">
        <f>BA1269*$E$151</f>
        <v>0</v>
      </c>
      <c r="BD1269" s="239">
        <v>1.2248000000000001E-3</v>
      </c>
      <c r="BE1269" s="8">
        <f>BD1269*E122</f>
        <v>9.1860000000000005E-5</v>
      </c>
      <c r="BF1269" s="232">
        <f>E151*BD1269</f>
        <v>0</v>
      </c>
      <c r="BG1269" s="236" t="s">
        <v>1469</v>
      </c>
    </row>
    <row r="1270" spans="3:69">
      <c r="C1270" s="8" t="s">
        <v>164</v>
      </c>
      <c r="D1270" s="240">
        <f>D1281-(D1279+D1271)</f>
        <v>10179.383670000003</v>
      </c>
      <c r="E1270" s="253">
        <v>1.1471E-4</v>
      </c>
      <c r="F1270" s="103">
        <f>E1270*$E$124</f>
        <v>5.5749060000000002E-5</v>
      </c>
      <c r="G1270" s="244">
        <f>E1270*$E$153</f>
        <v>2.0960052820902074E-5</v>
      </c>
      <c r="H1270" s="253">
        <v>0.39560000000000001</v>
      </c>
      <c r="I1270" s="8">
        <f>H1270*E124</f>
        <v>0.1922616</v>
      </c>
      <c r="J1270" s="255">
        <f>H1270*$E$153</f>
        <v>7.2284865277210883E-2</v>
      </c>
      <c r="K1270" s="263">
        <v>6.7774999999999997E-4</v>
      </c>
      <c r="L1270" s="8">
        <f>K1270*E124</f>
        <v>3.2938649999999999E-4</v>
      </c>
      <c r="M1270" s="255">
        <f>K1270*$E$153</f>
        <v>1.2383990758753707E-4</v>
      </c>
      <c r="N1270" s="263">
        <v>1.0361999999999999E-3</v>
      </c>
      <c r="O1270" s="8">
        <f>N1270*E124</f>
        <v>5.0359319999999995E-4</v>
      </c>
      <c r="P1270" s="255">
        <f>N1270*$E$153</f>
        <v>1.8933664661336175E-4</v>
      </c>
      <c r="Q1270" s="263">
        <v>5.7965000000000003E-2</v>
      </c>
      <c r="R1270" s="8">
        <f>Q1270*E124</f>
        <v>2.817099E-2</v>
      </c>
      <c r="S1270" s="255">
        <f>Q1270*$E$153</f>
        <v>1.0591486895332479E-2</v>
      </c>
      <c r="T1270" s="263">
        <v>0.16385</v>
      </c>
      <c r="U1270" s="8">
        <f>T1270*E124</f>
        <v>7.9631099999999996E-2</v>
      </c>
      <c r="V1270" s="255">
        <f>T1270*$E$153</f>
        <v>2.9939017127580896E-2</v>
      </c>
      <c r="W1270" s="253">
        <v>3.0232000000000001E-6</v>
      </c>
      <c r="X1270" s="103">
        <f>W1270*$E$124</f>
        <v>1.4692752000000001E-6</v>
      </c>
      <c r="Y1270" s="255">
        <f>W1270*$E$153</f>
        <v>5.5240547195668331E-7</v>
      </c>
      <c r="Z1270" s="253">
        <v>6.1335000000000002E-7</v>
      </c>
      <c r="AA1270" s="103">
        <f>Z1270*$E$124</f>
        <v>2.9808809999999998E-7</v>
      </c>
      <c r="AB1270" s="255">
        <f>Z1270*$E$153</f>
        <v>1.1207260393775857E-7</v>
      </c>
      <c r="AC1270" s="263">
        <v>3.5588E-3</v>
      </c>
      <c r="AD1270" s="103">
        <f>AC1270*$E$124</f>
        <v>1.7295767999999999E-3</v>
      </c>
      <c r="AE1270" s="255">
        <f>AC1270*$E$153</f>
        <v>6.5027143212471709E-4</v>
      </c>
      <c r="AF1270" s="263">
        <v>1.1074000000000001E-2</v>
      </c>
      <c r="AG1270" s="8">
        <f>AF1270*E124</f>
        <v>5.3819640000000004E-3</v>
      </c>
      <c r="AH1270" s="255">
        <f>AF1270*$E$153</f>
        <v>2.0234646058640881E-3</v>
      </c>
      <c r="AI1270" s="263">
        <v>1.1917E-3</v>
      </c>
      <c r="AJ1270" s="103">
        <f>AI1270*$E$124</f>
        <v>5.7916619999999995E-4</v>
      </c>
      <c r="AK1270" s="255">
        <f>AI1270*$E$153</f>
        <v>2.1774993415281141E-4</v>
      </c>
      <c r="AL1270" s="263">
        <v>3.301E-4</v>
      </c>
      <c r="AM1270" s="103">
        <f>AL1270*$E$124</f>
        <v>1.6042859999999999E-4</v>
      </c>
      <c r="AN1270" s="255">
        <f>AL1270*$E$153</f>
        <v>6.0316567310433036E-5</v>
      </c>
      <c r="AO1270" s="241">
        <v>1.3687E-3</v>
      </c>
      <c r="AP1270" s="8">
        <f>AO1270*E124</f>
        <v>6.651882E-4</v>
      </c>
      <c r="AQ1270" s="262">
        <f>E153*AO1270</f>
        <v>2.5009174697906603E-4</v>
      </c>
      <c r="AR1270" s="263">
        <v>1.1454000000000001E-7</v>
      </c>
      <c r="AS1270" s="103">
        <f>AR1270*$E$124</f>
        <v>5.5666439999999998E-8</v>
      </c>
      <c r="AT1270" s="244">
        <f>AR1270*$E$153</f>
        <v>2.0928990062820359E-8</v>
      </c>
      <c r="AU1270" s="263">
        <v>4.5225999999999997E-5</v>
      </c>
      <c r="AV1270" s="103">
        <f>AU1270*$E$124</f>
        <v>2.1979835999999998E-5</v>
      </c>
      <c r="AW1270" s="244">
        <f>AU1270*$E$153</f>
        <v>8.2637899823739607E-6</v>
      </c>
      <c r="AX1270" s="263">
        <v>2.7226000000000003E-4</v>
      </c>
      <c r="AY1270" s="103">
        <f>AX1270*$E$124</f>
        <v>1.3231836E-4</v>
      </c>
      <c r="AZ1270" s="244">
        <f>AX1270*$E$153</f>
        <v>4.9747920678395945E-5</v>
      </c>
      <c r="BA1270" s="263">
        <v>2.8793999999999998E-4</v>
      </c>
      <c r="BB1270" s="103">
        <f>BA1270*$E$124</f>
        <v>1.3993883999999999E-4</v>
      </c>
      <c r="BC1270" s="244">
        <f>BA1270*$E$153</f>
        <v>5.2613003306168096E-5</v>
      </c>
      <c r="BD1270" s="239">
        <v>6.5291000000000004E-4</v>
      </c>
      <c r="BE1270" s="8">
        <f>BD1270*E124</f>
        <v>3.1731426000000001E-4</v>
      </c>
      <c r="BF1270" s="232">
        <f>E153*BD1270</f>
        <v>1.1930109046547966E-4</v>
      </c>
      <c r="BG1270" s="236" t="s">
        <v>1467</v>
      </c>
    </row>
    <row r="1271" spans="3:69">
      <c r="C1271" s="8" t="s">
        <v>514</v>
      </c>
      <c r="D1271" s="240">
        <f>E126*F1301</f>
        <v>962.54531999999995</v>
      </c>
      <c r="E1271" s="254">
        <v>2.1704000000000001E-5</v>
      </c>
      <c r="F1271" s="103">
        <f>E1271*$E$126</f>
        <v>3.9067199999999999E-7</v>
      </c>
      <c r="G1271" s="244">
        <f>E1271*$E$155</f>
        <v>3.7499940349700607E-7</v>
      </c>
      <c r="H1271" s="254">
        <v>5.3315000000000003E-3</v>
      </c>
      <c r="I1271" s="8">
        <f>H1271*E126</f>
        <v>9.5966999999999998E-5</v>
      </c>
      <c r="J1271" s="255">
        <f>H1271*$E$155</f>
        <v>9.211708992555695E-5</v>
      </c>
      <c r="K1271" s="263">
        <v>2.4026999999999998E-3</v>
      </c>
      <c r="L1271" s="8">
        <f>K1271*E126</f>
        <v>4.3248599999999991E-5</v>
      </c>
      <c r="M1271" s="255">
        <f>K1271*$E$155</f>
        <v>4.1513595041570976E-5</v>
      </c>
      <c r="N1271" s="263">
        <v>3.1513999999999999E-3</v>
      </c>
      <c r="O1271" s="8">
        <f>N1271*E126</f>
        <v>5.6725199999999997E-5</v>
      </c>
      <c r="P1271" s="255">
        <f>N1271*$E$155</f>
        <v>5.4449554007577633E-5</v>
      </c>
      <c r="Q1271" s="263">
        <v>2.6553E-2</v>
      </c>
      <c r="R1271" s="8">
        <f>Q1271*E126</f>
        <v>4.7795399999999994E-4</v>
      </c>
      <c r="S1271" s="255">
        <f>Q1271*$E$155</f>
        <v>4.5877990974272032E-4</v>
      </c>
      <c r="T1271" s="263">
        <v>9.3032E-4</v>
      </c>
      <c r="U1271" s="8">
        <f>T1271*E126</f>
        <v>1.6745759999999999E-5</v>
      </c>
      <c r="V1271" s="255">
        <f>T1271*$E$155</f>
        <v>1.6073970008354896E-5</v>
      </c>
      <c r="W1271" s="254">
        <v>1.0502E-5</v>
      </c>
      <c r="X1271" s="103">
        <f>W1271*$E$126</f>
        <v>1.89036E-7</v>
      </c>
      <c r="Y1271" s="255">
        <f>W1271*$E$155</f>
        <v>1.8145243897556017E-7</v>
      </c>
      <c r="Z1271" s="254">
        <v>1.4264E-6</v>
      </c>
      <c r="AA1271" s="103">
        <f>Z1271*$E$126</f>
        <v>2.5675199999999998E-8</v>
      </c>
      <c r="AB1271" s="255">
        <f>Z1271*$E$155</f>
        <v>2.4645187483787755E-8</v>
      </c>
      <c r="AC1271" s="263">
        <v>2.1454E-3</v>
      </c>
      <c r="AD1271" s="103">
        <f>AC1271*$E$126</f>
        <v>3.86172E-5</v>
      </c>
      <c r="AE1271" s="255">
        <f>AC1271*$E$155</f>
        <v>3.7067993008776114E-5</v>
      </c>
      <c r="AF1271" s="263">
        <v>6.1870000000000001E-2</v>
      </c>
      <c r="AG1271" s="8">
        <f>AF1271*E126</f>
        <v>1.11366E-3</v>
      </c>
      <c r="AH1271" s="255">
        <f>AF1271*$E$155</f>
        <v>1.0689832793199302E-3</v>
      </c>
      <c r="AI1271" s="263">
        <v>5.4663000000000002E-5</v>
      </c>
      <c r="AJ1271" s="103">
        <f>AI1271*$E$126</f>
        <v>9.839339999999999E-7</v>
      </c>
      <c r="AK1271" s="255">
        <f>AI1271*$E$155</f>
        <v>9.4446149987821796E-7</v>
      </c>
      <c r="AL1271" s="263">
        <v>1.2178E-4</v>
      </c>
      <c r="AM1271" s="103">
        <f>AL1271*$E$126</f>
        <v>2.1920399999999998E-6</v>
      </c>
      <c r="AN1271" s="255">
        <f>AL1271*$E$155</f>
        <v>2.1041018871113802E-6</v>
      </c>
      <c r="AO1271" s="241">
        <v>1.4919999999999999E-4</v>
      </c>
      <c r="AP1271" s="8">
        <f>AO1271*E126</f>
        <v>2.6855999999999997E-6</v>
      </c>
      <c r="AQ1271" s="262">
        <f>E155*AO1271</f>
        <v>2.577861730637362E-6</v>
      </c>
      <c r="AR1271" s="263">
        <v>6.7340000000000006E-8</v>
      </c>
      <c r="AS1271" s="103">
        <f>AR1271*$E$126</f>
        <v>1.2121199999999999E-9</v>
      </c>
      <c r="AT1271" s="244">
        <f>AR1271*$E$155</f>
        <v>1.1634933575142089E-9</v>
      </c>
      <c r="AU1271" s="263">
        <v>8.2287999999999999E-6</v>
      </c>
      <c r="AV1271" s="103">
        <f>AU1271*$E$126</f>
        <v>1.481184E-7</v>
      </c>
      <c r="AW1271" s="244">
        <f>AU1271*$E$155</f>
        <v>1.4217633115997805E-7</v>
      </c>
      <c r="AX1271" s="263">
        <v>4.0692999999999998E-5</v>
      </c>
      <c r="AY1271" s="103">
        <f>AX1271*$E$126</f>
        <v>7.3247399999999989E-7</v>
      </c>
      <c r="AZ1271" s="244">
        <f>AX1271*$E$155</f>
        <v>7.0308932576961235E-7</v>
      </c>
      <c r="BA1271" s="263">
        <v>4.1202000000000003E-5</v>
      </c>
      <c r="BB1271" s="103">
        <f>BA1271*$E$126</f>
        <v>7.4163599999999996E-7</v>
      </c>
      <c r="BC1271" s="244">
        <f>BA1271*$E$155</f>
        <v>7.1188377363083511E-7</v>
      </c>
      <c r="BD1271" s="239">
        <v>1.9696000000000001E-4</v>
      </c>
      <c r="BE1271" s="8">
        <f>BD1271*E126</f>
        <v>3.54528E-6</v>
      </c>
      <c r="BF1271" s="232">
        <f>E155*BD1271</f>
        <v>3.4030539307395098E-6</v>
      </c>
      <c r="BG1271" s="236" t="s">
        <v>1470</v>
      </c>
    </row>
    <row r="1272" spans="3:69">
      <c r="C1272" s="8" t="s">
        <v>168</v>
      </c>
      <c r="D1272" s="81">
        <v>0</v>
      </c>
      <c r="E1272" s="254">
        <v>2.3126000000000002E-3</v>
      </c>
      <c r="F1272" s="103">
        <f>E1272*$E$128</f>
        <v>3.4688999999999999E-5</v>
      </c>
      <c r="G1272" s="244">
        <f>E1272*$E$157</f>
        <v>0</v>
      </c>
      <c r="H1272" s="254">
        <v>1.0178</v>
      </c>
      <c r="I1272" s="8">
        <f>H1272*E128</f>
        <v>1.5266999999999999E-2</v>
      </c>
      <c r="J1272" s="255">
        <f>H1272*$E$157</f>
        <v>0</v>
      </c>
      <c r="K1272" s="263">
        <v>3.1908000000000001E-3</v>
      </c>
      <c r="L1272" s="8">
        <f>K1272*E128</f>
        <v>4.7862000000000004E-5</v>
      </c>
      <c r="M1272" s="255">
        <f>K1272*$E$157</f>
        <v>0</v>
      </c>
      <c r="N1272" s="263">
        <v>4.3715000000000004E-3</v>
      </c>
      <c r="O1272" s="8">
        <f>N1272*E128</f>
        <v>6.557250000000001E-5</v>
      </c>
      <c r="P1272" s="255">
        <f>N1272*$E$157</f>
        <v>0</v>
      </c>
      <c r="Q1272" s="263">
        <v>0.17519999999999999</v>
      </c>
      <c r="R1272" s="8">
        <f>Q1272*E128</f>
        <v>2.6279999999999997E-3</v>
      </c>
      <c r="S1272" s="255">
        <f>Q1272*$E$157</f>
        <v>0</v>
      </c>
      <c r="T1272" s="263">
        <v>0.24041999999999999</v>
      </c>
      <c r="U1272" s="8">
        <f>T1272*E128</f>
        <v>3.6062999999999998E-3</v>
      </c>
      <c r="V1272" s="255">
        <f>T1272*$E$157</f>
        <v>0</v>
      </c>
      <c r="W1272" s="254">
        <v>8.3907000000000008E-6</v>
      </c>
      <c r="X1272" s="103">
        <f>W1272*$E$128</f>
        <v>1.258605E-7</v>
      </c>
      <c r="Y1272" s="255">
        <f>W1272*$E$157</f>
        <v>0</v>
      </c>
      <c r="Z1272" s="254">
        <v>7.8439999999999996E-7</v>
      </c>
      <c r="AA1272" s="103">
        <f>Z1272*$E$128</f>
        <v>1.1765999999999999E-8</v>
      </c>
      <c r="AB1272" s="255">
        <f>Z1272*$E$157</f>
        <v>0</v>
      </c>
      <c r="AC1272" s="263">
        <v>7.9267999999999995E-3</v>
      </c>
      <c r="AD1272" s="103">
        <f>AC1272*$E$128</f>
        <v>1.1890199999999999E-4</v>
      </c>
      <c r="AE1272" s="255">
        <f>AC1272*$E$157</f>
        <v>0</v>
      </c>
      <c r="AF1272" s="263">
        <v>0.14882000000000001</v>
      </c>
      <c r="AG1272" s="8">
        <f>AF1272*E128</f>
        <v>2.2323E-3</v>
      </c>
      <c r="AH1272" s="255">
        <f>AF1272*$E$157</f>
        <v>0</v>
      </c>
      <c r="AI1272" s="263">
        <v>4.6131999999999996E-3</v>
      </c>
      <c r="AJ1272" s="103">
        <f>AI1272*$E$128</f>
        <v>6.9197999999999997E-5</v>
      </c>
      <c r="AK1272" s="255">
        <f>AI1272*$E$157</f>
        <v>0</v>
      </c>
      <c r="AL1272" s="263">
        <v>1.5122E-3</v>
      </c>
      <c r="AM1272" s="103">
        <f>AL1272*$E$128</f>
        <v>2.2682999999999999E-5</v>
      </c>
      <c r="AN1272" s="255">
        <f>AL1272*$E$157</f>
        <v>0</v>
      </c>
      <c r="AO1272" s="241">
        <v>7.5518000000000004E-4</v>
      </c>
      <c r="AP1272" s="8">
        <f>AO1272*E128</f>
        <v>1.13277E-5</v>
      </c>
      <c r="AQ1272" s="262">
        <f>E157*AO1272</f>
        <v>0</v>
      </c>
      <c r="AR1272" s="263">
        <v>2.7393000000000002E-7</v>
      </c>
      <c r="AS1272" s="103">
        <f>AR1272*$E$128</f>
        <v>4.1089500000000004E-9</v>
      </c>
      <c r="AT1272" s="244">
        <f>AR1272*$E$157</f>
        <v>0</v>
      </c>
      <c r="AU1272" s="263">
        <v>8.5231E-4</v>
      </c>
      <c r="AV1272" s="103">
        <f>AU1272*$E$128</f>
        <v>1.278465E-5</v>
      </c>
      <c r="AW1272" s="244">
        <f>AU1272*$E$157</f>
        <v>0</v>
      </c>
      <c r="AX1272" s="263">
        <v>1.1774000000000001E-3</v>
      </c>
      <c r="AY1272" s="103">
        <f>AX1272*$E$128</f>
        <v>1.7661000000000003E-5</v>
      </c>
      <c r="AZ1272" s="244">
        <f>AX1272*$E$157</f>
        <v>0</v>
      </c>
      <c r="BA1272" s="263">
        <v>1.1800000000000001E-3</v>
      </c>
      <c r="BB1272" s="103">
        <f>BA1272*$E$128</f>
        <v>1.77E-5</v>
      </c>
      <c r="BC1272" s="244">
        <f>BA1272*$E$157</f>
        <v>0</v>
      </c>
      <c r="BD1272" s="239">
        <v>2.3216000000000001E-3</v>
      </c>
      <c r="BE1272" s="8">
        <f>BD1272*E128</f>
        <v>3.4823999999999997E-5</v>
      </c>
      <c r="BF1272" s="232">
        <f>E157*BD1272</f>
        <v>0</v>
      </c>
      <c r="BG1272" s="236" t="s">
        <v>1471</v>
      </c>
    </row>
    <row r="1273" spans="3:69">
      <c r="C1273" s="8" t="s">
        <v>1473</v>
      </c>
      <c r="D1273" s="240">
        <f>J1257*365*24*K1257</f>
        <v>18290.88</v>
      </c>
      <c r="E1273" s="254">
        <v>1.8944E-4</v>
      </c>
      <c r="F1273" s="103">
        <f>E1273*$E$130</f>
        <v>3.2962559999999999E-5</v>
      </c>
      <c r="G1273" s="244">
        <f>E1273*$E$159</f>
        <v>6.2197924799375345E-5</v>
      </c>
      <c r="H1273" s="254">
        <v>2.3019999999999999E-2</v>
      </c>
      <c r="I1273" s="8">
        <f>H1273*E130</f>
        <v>4.0054799999999996E-3</v>
      </c>
      <c r="J1273" s="255">
        <f>H1273*$E$159</f>
        <v>7.5580459717146335E-3</v>
      </c>
      <c r="K1273" s="263">
        <v>4.7286000000000002E-2</v>
      </c>
      <c r="L1273" s="8">
        <f>K1273*E130</f>
        <v>8.2277640000000003E-3</v>
      </c>
      <c r="M1273" s="255">
        <f>K1273*$E$159</f>
        <v>1.5525185135469079E-2</v>
      </c>
      <c r="N1273" s="263">
        <v>5.7647999999999998E-2</v>
      </c>
      <c r="O1273" s="8">
        <f>N1273*E130</f>
        <v>1.0030751999999999E-2</v>
      </c>
      <c r="P1273" s="255">
        <f>N1273*$E$159</f>
        <v>1.8927290798323424E-2</v>
      </c>
      <c r="Q1273" s="263">
        <v>1.1664000000000001</v>
      </c>
      <c r="R1273" s="8">
        <f>Q1273*E130</f>
        <v>0.20295360000000001</v>
      </c>
      <c r="S1273" s="255">
        <f>Q1273*$E$159</f>
        <v>0.38295850657723501</v>
      </c>
      <c r="T1273" s="263">
        <v>5.5133999999999999E-3</v>
      </c>
      <c r="U1273" s="8">
        <f>T1273*E130</f>
        <v>9.5933159999999989E-4</v>
      </c>
      <c r="V1273" s="255">
        <f>T1273*$E$159</f>
        <v>1.8101881259970228E-3</v>
      </c>
      <c r="W1273" s="254">
        <v>2.1126000000000001E-5</v>
      </c>
      <c r="X1273" s="103">
        <f>W1273*$E$130</f>
        <v>3.6759240000000001E-6</v>
      </c>
      <c r="Y1273" s="255">
        <f>W1273*$E$159</f>
        <v>6.9361980537985829E-6</v>
      </c>
      <c r="Z1273" s="254">
        <v>1.5813E-6</v>
      </c>
      <c r="AA1273" s="103">
        <f>Z1273*$E$130</f>
        <v>2.7514620000000001E-7</v>
      </c>
      <c r="AB1273" s="255">
        <f>Z1273*$E$159</f>
        <v>5.1918062967299528E-7</v>
      </c>
      <c r="AC1273" s="263">
        <v>1.1755E-2</v>
      </c>
      <c r="AD1273" s="103">
        <f>AC1273*$E$130</f>
        <v>2.0453699999999999E-3</v>
      </c>
      <c r="AE1273" s="255">
        <f>AC1273*$E$159</f>
        <v>3.8594626584494145E-3</v>
      </c>
      <c r="AF1273" s="263">
        <v>0.19917000000000001</v>
      </c>
      <c r="AG1273" s="8">
        <f>AF1273*E130</f>
        <v>3.4655579999999998E-2</v>
      </c>
      <c r="AH1273" s="255">
        <f>AF1273*$E$159</f>
        <v>6.53925289394615E-2</v>
      </c>
      <c r="AI1273" s="263">
        <v>9.3210999999999999E-4</v>
      </c>
      <c r="AJ1273" s="103">
        <f>AI1273*$E$130</f>
        <v>1.6218713999999998E-4</v>
      </c>
      <c r="AK1273" s="255">
        <f>AI1273*$E$159</f>
        <v>3.06035196815592E-4</v>
      </c>
      <c r="AL1273" s="263">
        <v>1.1536000000000001E-3</v>
      </c>
      <c r="AM1273" s="103">
        <f>AL1273*$E$130</f>
        <v>2.007264E-4</v>
      </c>
      <c r="AN1273" s="255">
        <f>AL1273*$E$159</f>
        <v>3.7875594409079072E-4</v>
      </c>
      <c r="AO1273" s="241">
        <v>3.4077000000000001E-3</v>
      </c>
      <c r="AP1273" s="8">
        <f>AO1273*E130</f>
        <v>5.9293979999999996E-4</v>
      </c>
      <c r="AQ1273" s="262">
        <f>E159*AO1273</f>
        <v>1.1188337644575134E-3</v>
      </c>
      <c r="AR1273" s="263">
        <v>8.3646000000000007E-9</v>
      </c>
      <c r="AS1273" s="103">
        <f>AR1273*$E$130</f>
        <v>1.4554404E-9</v>
      </c>
      <c r="AT1273" s="244">
        <f>AR1273*$E$159</f>
        <v>2.7463089198524863E-9</v>
      </c>
      <c r="AU1273" s="263">
        <v>7.5715000000000003E-5</v>
      </c>
      <c r="AV1273" s="103">
        <f>AU1273*$E$130</f>
        <v>1.3174409999999999E-5</v>
      </c>
      <c r="AW1273" s="244">
        <f>AU1273*$E$159</f>
        <v>2.4859142082900675E-5</v>
      </c>
      <c r="AX1273" s="263">
        <v>7.8758999999999996E-5</v>
      </c>
      <c r="AY1273" s="103">
        <f>AX1273*$E$130</f>
        <v>1.3704065999999998E-5</v>
      </c>
      <c r="AZ1273" s="244">
        <f>AX1273*$E$159</f>
        <v>2.5858563974208204E-5</v>
      </c>
      <c r="BA1273" s="263">
        <v>8.2439000000000001E-5</v>
      </c>
      <c r="BB1273" s="103">
        <f>BA1273*$E$130</f>
        <v>1.4344385999999999E-5</v>
      </c>
      <c r="BC1273" s="244">
        <f>BA1273*$E$159</f>
        <v>2.7066800689060936E-5</v>
      </c>
      <c r="BD1273" s="239">
        <v>2.1582E-4</v>
      </c>
      <c r="BE1273" s="8">
        <f>BD1273*E130</f>
        <v>3.7552679999999996E-5</v>
      </c>
      <c r="BF1273" s="232">
        <f>E159*BD1273</f>
        <v>7.0859143423781593E-5</v>
      </c>
      <c r="BG1273" s="236" t="s">
        <v>1463</v>
      </c>
    </row>
    <row r="1274" spans="3:69">
      <c r="C1274" s="8" t="s">
        <v>1462</v>
      </c>
      <c r="D1274" s="240">
        <f>J1258*365*24*K1258</f>
        <v>16381.2</v>
      </c>
      <c r="E1274" s="254">
        <v>7.0420999999999995E-5</v>
      </c>
      <c r="F1274" s="103">
        <f>E1274*$E$132</f>
        <v>0</v>
      </c>
      <c r="G1274" s="244">
        <f>E1274*$E$161</f>
        <v>2.0707015566790109E-5</v>
      </c>
      <c r="H1274" s="254">
        <v>1.6597000000000001E-2</v>
      </c>
      <c r="I1274" s="8">
        <f>H1274*E132</f>
        <v>0</v>
      </c>
      <c r="J1274" s="255">
        <f>H1274*$E$161</f>
        <v>4.8802819806877994E-3</v>
      </c>
      <c r="K1274" s="263">
        <v>4.5894999999999998E-3</v>
      </c>
      <c r="L1274" s="8">
        <f>K1274*E132</f>
        <v>0</v>
      </c>
      <c r="M1274" s="255">
        <f>K1274*$E$161</f>
        <v>1.3495242604305989E-3</v>
      </c>
      <c r="N1274" s="263">
        <v>5.8355999999999998E-3</v>
      </c>
      <c r="O1274" s="8">
        <f>N1274*E132</f>
        <v>0</v>
      </c>
      <c r="P1274" s="255">
        <f>N1274*$E$161</f>
        <v>1.7159350199735927E-3</v>
      </c>
      <c r="Q1274" s="263">
        <v>0.31333</v>
      </c>
      <c r="R1274" s="8">
        <f>Q1274*E132</f>
        <v>0</v>
      </c>
      <c r="S1274" s="255">
        <f>Q1274*$E$161</f>
        <v>9.21334429721581E-2</v>
      </c>
      <c r="T1274" s="263">
        <v>4.0010000000000002E-3</v>
      </c>
      <c r="U1274" s="8">
        <f>T1274*E132</f>
        <v>0</v>
      </c>
      <c r="V1274" s="255">
        <f>T1274*$E$161</f>
        <v>1.1764781710388555E-3</v>
      </c>
      <c r="W1274" s="254">
        <v>6.9175000000000003E-6</v>
      </c>
      <c r="X1274" s="103">
        <f>W1274*$E$132</f>
        <v>0</v>
      </c>
      <c r="Y1274" s="255">
        <f>W1274*$E$161</f>
        <v>2.0340634211850245E-6</v>
      </c>
      <c r="Z1274" s="254">
        <v>1.4653E-6</v>
      </c>
      <c r="AA1274" s="103">
        <f>Z1274*$E$132</f>
        <v>0</v>
      </c>
      <c r="AB1274" s="255">
        <f>Z1274*$E$161</f>
        <v>4.3086564959341036E-7</v>
      </c>
      <c r="AC1274" s="263">
        <v>1.1877E-2</v>
      </c>
      <c r="AD1274" s="103">
        <f>AC1274*$E$132</f>
        <v>0</v>
      </c>
      <c r="AE1274" s="255">
        <f>AC1274*$E$161</f>
        <v>3.4923847131788266E-3</v>
      </c>
      <c r="AF1274" s="263">
        <v>4.6378000000000003E-2</v>
      </c>
      <c r="AG1274" s="8">
        <f>AF1274*E132</f>
        <v>0</v>
      </c>
      <c r="AH1274" s="255">
        <f>AF1274*$E$161</f>
        <v>1.363726683740066E-2</v>
      </c>
      <c r="AI1274" s="263">
        <v>5.9155999999999998E-4</v>
      </c>
      <c r="AJ1274" s="103">
        <f>AI1274*$E$132</f>
        <v>0</v>
      </c>
      <c r="AK1274" s="255">
        <f>AI1274*$E$161</f>
        <v>1.7394587024737446E-4</v>
      </c>
      <c r="AL1274" s="263">
        <v>3.8096000000000001E-4</v>
      </c>
      <c r="AM1274" s="103">
        <f>AL1274*$E$132</f>
        <v>0</v>
      </c>
      <c r="AN1274" s="255">
        <f>AL1274*$E$161</f>
        <v>1.1201977606572416E-4</v>
      </c>
      <c r="AO1274" s="241">
        <v>2.0890000000000001E-3</v>
      </c>
      <c r="AP1274" s="8">
        <f>AO1274*E132</f>
        <v>0</v>
      </c>
      <c r="AQ1274" s="262">
        <f>E161*AO1274</f>
        <v>6.1426215928522094E-4</v>
      </c>
      <c r="AR1274" s="263">
        <v>6.3024999999999997E-9</v>
      </c>
      <c r="AS1274" s="103">
        <f>AR1274*$E$132</f>
        <v>0</v>
      </c>
      <c r="AT1274" s="244">
        <f>AR1274*$E$161</f>
        <v>1.8532251119651052E-9</v>
      </c>
      <c r="AU1274" s="263">
        <v>3.6322999999999998E-5</v>
      </c>
      <c r="AV1274" s="103">
        <f>AU1274*$E$132</f>
        <v>0</v>
      </c>
      <c r="AW1274" s="244">
        <f>AU1274*$E$161</f>
        <v>1.0680633993162794E-5</v>
      </c>
      <c r="AX1274" s="263">
        <v>4.5108000000000002E-5</v>
      </c>
      <c r="AY1274" s="103">
        <f>AX1274*$E$132</f>
        <v>0</v>
      </c>
      <c r="AZ1274" s="244">
        <f>AX1274*$E$161</f>
        <v>1.3263828377710746E-5</v>
      </c>
      <c r="BA1274" s="263">
        <v>4.7419000000000001E-5</v>
      </c>
      <c r="BB1274" s="103">
        <f>BA1274*$E$132</f>
        <v>0</v>
      </c>
      <c r="BC1274" s="244">
        <f>BA1274*$E$161</f>
        <v>1.3943368755933888E-5</v>
      </c>
      <c r="BD1274" s="239">
        <v>1.8804E-4</v>
      </c>
      <c r="BE1274" s="8">
        <f>BD1274*E132</f>
        <v>0</v>
      </c>
      <c r="BF1274" s="232">
        <f>E161*BD1274</f>
        <v>5.5292415716607438E-5</v>
      </c>
      <c r="BG1274" s="236" t="s">
        <v>1464</v>
      </c>
    </row>
    <row r="1275" spans="3:69">
      <c r="C1275" s="8" t="s">
        <v>166</v>
      </c>
      <c r="D1275" s="240">
        <f>J1259*365*24*K1259</f>
        <v>7008</v>
      </c>
      <c r="E1275" s="253">
        <v>3.5279000000000002E-4</v>
      </c>
      <c r="F1275" s="103">
        <f>E1275*$E$134</f>
        <v>3.5279000000000001E-6</v>
      </c>
      <c r="G1275" s="244">
        <f>E1275*$E$163</f>
        <v>4.437925106539384E-5</v>
      </c>
      <c r="H1275" s="253">
        <v>8.2005999999999996E-2</v>
      </c>
      <c r="I1275" s="8">
        <f>H1275*E134</f>
        <v>8.2005999999999995E-4</v>
      </c>
      <c r="J1275" s="255">
        <f>H1275*$E$163</f>
        <v>1.0315952444424974E-2</v>
      </c>
      <c r="K1275" s="263">
        <v>1.7333999999999999E-2</v>
      </c>
      <c r="L1275" s="8">
        <f>K1275*E134</f>
        <v>1.7333999999999999E-4</v>
      </c>
      <c r="M1275" s="255">
        <f>K1275*$E$163</f>
        <v>2.1805321521798709E-3</v>
      </c>
      <c r="N1275" s="263">
        <v>2.2814999999999998E-2</v>
      </c>
      <c r="O1275" s="8">
        <f>N1275*E134</f>
        <v>2.2814999999999999E-4</v>
      </c>
      <c r="P1275" s="255">
        <f>N1275*$E$163</f>
        <v>2.8700150601121358E-3</v>
      </c>
      <c r="Q1275" s="263">
        <v>2.0105</v>
      </c>
      <c r="R1275" s="8">
        <f>Q1275*E134</f>
        <v>2.0105000000000001E-2</v>
      </c>
      <c r="S1275" s="255">
        <f>Q1275*$E$163</f>
        <v>0.25291103565003065</v>
      </c>
      <c r="T1275" s="263">
        <v>2.0639999999999999E-2</v>
      </c>
      <c r="U1275" s="8">
        <f>T1275*E134</f>
        <v>2.064E-4</v>
      </c>
      <c r="V1275" s="255">
        <f>T1275*$E$163</f>
        <v>2.5964107315675864E-3</v>
      </c>
      <c r="W1275" s="253">
        <v>4.0200000000000001E-5</v>
      </c>
      <c r="X1275" s="103">
        <f>W1275*$E$134</f>
        <v>4.0200000000000003E-7</v>
      </c>
      <c r="Y1275" s="255">
        <f>W1275*$E$163</f>
        <v>5.0569627620647763E-6</v>
      </c>
      <c r="Z1275" s="253">
        <v>6.2568E-6</v>
      </c>
      <c r="AA1275" s="103">
        <f>Z1275*$E$134</f>
        <v>6.2567999999999995E-8</v>
      </c>
      <c r="AB1275" s="255">
        <f>Z1275*$E$163</f>
        <v>7.8707474153449972E-7</v>
      </c>
      <c r="AC1275" s="263">
        <v>1.3820000000000001E-2</v>
      </c>
      <c r="AD1275" s="103">
        <f>AC1275*$E$134</f>
        <v>1.382E-4</v>
      </c>
      <c r="AE1275" s="255">
        <f>AC1275*$E$163</f>
        <v>1.7384881933267464E-3</v>
      </c>
      <c r="AF1275" s="263">
        <v>0.20386000000000001</v>
      </c>
      <c r="AG1275" s="8">
        <f>AF1275*E134</f>
        <v>2.0386000000000002E-3</v>
      </c>
      <c r="AH1275" s="255">
        <f>AF1275*$E$163</f>
        <v>2.5644587777973266E-2</v>
      </c>
      <c r="AI1275" s="263">
        <v>5.5513000000000003E-3</v>
      </c>
      <c r="AJ1275" s="103">
        <f>AI1275*$E$134</f>
        <v>5.5513000000000002E-5</v>
      </c>
      <c r="AK1275" s="255">
        <f>AI1275*$E$163</f>
        <v>6.983263030111988E-4</v>
      </c>
      <c r="AL1275" s="263">
        <v>2.8788999999999999E-2</v>
      </c>
      <c r="AM1275" s="103">
        <f>AL1275*$E$134</f>
        <v>2.8789000000000001E-4</v>
      </c>
      <c r="AN1275" s="255">
        <f>AL1275*$E$163</f>
        <v>3.6215149491811648E-3</v>
      </c>
      <c r="AO1275" s="241">
        <v>3.7583999999999998E-3</v>
      </c>
      <c r="AP1275" s="8">
        <f>AO1275*E134</f>
        <v>3.7583999999999998E-5</v>
      </c>
      <c r="AQ1275" s="262">
        <f>E163*AO1275</f>
        <v>4.7278827972498143E-4</v>
      </c>
      <c r="AR1275" s="263">
        <v>2.9595000000000001E-8</v>
      </c>
      <c r="AS1275" s="103">
        <f>AR1275*$E$134</f>
        <v>2.9595E-10</v>
      </c>
      <c r="AT1275" s="244">
        <f>AR1275*$E$163</f>
        <v>3.7229057946096281E-9</v>
      </c>
      <c r="AU1275" s="263">
        <v>1.6830999999999999E-4</v>
      </c>
      <c r="AV1275" s="103">
        <f>AU1275*$E$134</f>
        <v>1.6831E-6</v>
      </c>
      <c r="AW1275" s="244">
        <f>AU1275*$E$163</f>
        <v>2.1172572201072697E-5</v>
      </c>
      <c r="AX1275" s="263">
        <v>2.185E-4</v>
      </c>
      <c r="AY1275" s="103">
        <f>AX1275*$E$134</f>
        <v>2.1849999999999998E-6</v>
      </c>
      <c r="AZ1275" s="244">
        <f>AX1275*$E$163</f>
        <v>2.7486227948038643E-5</v>
      </c>
      <c r="BA1275" s="263">
        <v>2.3078000000000001E-4</v>
      </c>
      <c r="BB1275" s="103">
        <f>BA1275*$E$134</f>
        <v>2.3078000000000002E-6</v>
      </c>
      <c r="BC1275" s="244">
        <f>BA1275*$E$163</f>
        <v>2.9030991697246493E-5</v>
      </c>
      <c r="BD1275" s="239">
        <v>2.7637999999999999E-3</v>
      </c>
      <c r="BE1275" s="8">
        <f>BD1275*E134</f>
        <v>2.7637999999999999E-5</v>
      </c>
      <c r="BF1275" s="232">
        <f>E163*BD1275</f>
        <v>3.4767247964663251E-4</v>
      </c>
      <c r="BG1275" s="236" t="s">
        <v>1465</v>
      </c>
    </row>
    <row r="1276" spans="3:69">
      <c r="C1276" s="8" t="s">
        <v>167</v>
      </c>
      <c r="D1276" s="240">
        <f>E136*F1301</f>
        <v>695.17161999999996</v>
      </c>
      <c r="E1276" s="254">
        <v>1.1124999999999999E-5</v>
      </c>
      <c r="F1276" s="103">
        <f>E1276*$E$136</f>
        <v>1.4462499999999999E-7</v>
      </c>
      <c r="G1276" s="244">
        <f>E1276*$E$165</f>
        <v>1.3882307595823223E-7</v>
      </c>
      <c r="H1276" s="254">
        <v>4.2662000000000004E-3</v>
      </c>
      <c r="I1276" s="8">
        <f>H1276*E136</f>
        <v>5.5460600000000002E-5</v>
      </c>
      <c r="J1276" s="255">
        <f>H1276*$E$165</f>
        <v>5.323568599128184E-5</v>
      </c>
      <c r="K1276" s="263">
        <v>1.8136000000000001E-4</v>
      </c>
      <c r="L1276" s="8">
        <f>K1276*E136</f>
        <v>2.3576800000000002E-6</v>
      </c>
      <c r="M1276" s="255">
        <f>K1276*$E$165</f>
        <v>2.2630969038907867E-6</v>
      </c>
      <c r="N1276" s="263">
        <v>2.5468000000000002E-4</v>
      </c>
      <c r="O1276" s="8">
        <f>N1276*E136</f>
        <v>3.31084E-6</v>
      </c>
      <c r="P1276" s="255">
        <f>N1276*$E$165</f>
        <v>3.1780189649476487E-6</v>
      </c>
      <c r="Q1276" s="263">
        <v>1.8321E-2</v>
      </c>
      <c r="R1276" s="8">
        <f>Q1276*E136</f>
        <v>2.38173E-4</v>
      </c>
      <c r="S1276" s="255">
        <f>Q1276*$E$165</f>
        <v>2.286182089555751E-4</v>
      </c>
      <c r="T1276" s="263">
        <v>8.3286999999999999E-4</v>
      </c>
      <c r="U1276" s="8">
        <f>T1276*E136</f>
        <v>1.082731E-5</v>
      </c>
      <c r="V1276" s="255">
        <f>T1276*$E$165</f>
        <v>1.0392950586367001E-5</v>
      </c>
      <c r="W1276" s="254">
        <v>1.0663000000000001E-6</v>
      </c>
      <c r="X1276" s="103">
        <f>W1276*$E$136</f>
        <v>1.38619E-8</v>
      </c>
      <c r="Y1276" s="255">
        <f>W1276*$E$165</f>
        <v>1.3305801878136005E-8</v>
      </c>
      <c r="Z1276" s="254">
        <v>1.4214E-7</v>
      </c>
      <c r="AA1276" s="103">
        <f>Z1276*$E$136</f>
        <v>1.8478199999999999E-9</v>
      </c>
      <c r="AB1276" s="255">
        <f>Z1276*$E$165</f>
        <v>1.7736909677935398E-9</v>
      </c>
      <c r="AC1276" s="263">
        <v>1.8649000000000001E-3</v>
      </c>
      <c r="AD1276" s="103">
        <f>AC1276*$E$136</f>
        <v>2.42437E-5</v>
      </c>
      <c r="AE1276" s="255">
        <f>AC1276*$E$165</f>
        <v>2.327111499815796E-5</v>
      </c>
      <c r="AF1276" s="263">
        <v>3.8479E-3</v>
      </c>
      <c r="AG1276" s="8">
        <f>AF1276*E136</f>
        <v>5.0022699999999998E-5</v>
      </c>
      <c r="AH1276" s="255">
        <f>AF1276*$E$165</f>
        <v>4.8015938335252299E-5</v>
      </c>
      <c r="AI1276" s="263">
        <v>2.2403000000000001E-4</v>
      </c>
      <c r="AJ1276" s="103">
        <f>AI1276*$E$136</f>
        <v>2.91239E-6</v>
      </c>
      <c r="AK1276" s="255">
        <f>AI1276*$E$165</f>
        <v>2.7955535916335077E-6</v>
      </c>
      <c r="AL1276" s="263">
        <v>1.7736E-4</v>
      </c>
      <c r="AM1276" s="103">
        <f>AL1276*$E$136</f>
        <v>2.3056799999999997E-6</v>
      </c>
      <c r="AN1276" s="255">
        <f>AL1276*$E$165</f>
        <v>2.213182988939512E-6</v>
      </c>
      <c r="AO1276" s="241">
        <v>4.1634000000000002E-4</v>
      </c>
      <c r="AP1276" s="8">
        <f>AO1276*E136</f>
        <v>5.4124199999999998E-6</v>
      </c>
      <c r="AQ1276" s="262">
        <f>E165*AO1276</f>
        <v>5.1952898377034078E-6</v>
      </c>
      <c r="AR1276" s="263">
        <v>7.7813999999999996E-10</v>
      </c>
      <c r="AS1276" s="103">
        <f>AR1276*$E$136</f>
        <v>1.0115819999999999E-11</v>
      </c>
      <c r="AT1276" s="244">
        <f>AR1276*$E$165</f>
        <v>9.7100034450461866E-12</v>
      </c>
      <c r="AU1276" s="263">
        <v>8.1601E-6</v>
      </c>
      <c r="AV1276" s="103">
        <f>AU1276*$E$136</f>
        <v>1.060813E-7</v>
      </c>
      <c r="AW1276" s="244">
        <f>AU1276*$E$165</f>
        <v>1.0182563434847379E-7</v>
      </c>
      <c r="AX1276" s="263">
        <v>1.5468000000000002E-5</v>
      </c>
      <c r="AY1276" s="103">
        <f>AX1276*$E$136</f>
        <v>2.01084E-7</v>
      </c>
      <c r="AZ1276" s="244">
        <f>AX1276*$E$165</f>
        <v>1.9301710911657856E-7</v>
      </c>
      <c r="BA1276" s="263">
        <v>1.609E-5</v>
      </c>
      <c r="BB1276" s="103">
        <f>BA1276*$E$136</f>
        <v>2.0916999999999999E-7</v>
      </c>
      <c r="BC1276" s="244">
        <f>BA1276*$E$165</f>
        <v>2.0077872289150173E-7</v>
      </c>
      <c r="BD1276" s="239">
        <v>2.1509E-5</v>
      </c>
      <c r="BE1276" s="8">
        <f>BD1276*E136</f>
        <v>2.7961699999999998E-7</v>
      </c>
      <c r="BF1276" s="232">
        <f>E165*BD1276</f>
        <v>2.6839959917174088E-7</v>
      </c>
      <c r="BG1276" s="236" t="s">
        <v>1466</v>
      </c>
    </row>
    <row r="1277" spans="3:69">
      <c r="C1277" s="8" t="s">
        <v>515</v>
      </c>
      <c r="D1277" s="240">
        <f>E138*F1301</f>
        <v>1069.4947999999999</v>
      </c>
      <c r="E1277" s="254">
        <v>2.1704000000000001E-5</v>
      </c>
      <c r="F1277" s="103">
        <f>E1277*$E$138</f>
        <v>4.3408000000000003E-7</v>
      </c>
      <c r="G1277" s="244">
        <f>E1277*$E$167</f>
        <v>4.166660038855624E-7</v>
      </c>
      <c r="H1277" s="254">
        <v>5.3315000000000003E-3</v>
      </c>
      <c r="I1277" s="8">
        <f>H1277*E138</f>
        <v>1.0663000000000001E-4</v>
      </c>
      <c r="J1277" s="255">
        <f>H1277*$E$167</f>
        <v>1.0235232213950774E-4</v>
      </c>
      <c r="K1277" s="263">
        <v>2.4026999999999998E-3</v>
      </c>
      <c r="L1277" s="8">
        <f>K1277*E138</f>
        <v>4.8053999999999998E-5</v>
      </c>
      <c r="M1277" s="255">
        <f>K1277*$E$167</f>
        <v>4.6126216712856643E-5</v>
      </c>
      <c r="N1277" s="263">
        <v>3.1513999999999999E-3</v>
      </c>
      <c r="O1277" s="8">
        <f>N1277*E138</f>
        <v>6.3027999999999994E-5</v>
      </c>
      <c r="P1277" s="255">
        <f>N1277*$E$167</f>
        <v>6.0499504452864041E-5</v>
      </c>
      <c r="Q1277" s="263">
        <v>2.6553E-2</v>
      </c>
      <c r="R1277" s="8">
        <f>Q1277*E138</f>
        <v>5.3105999999999997E-4</v>
      </c>
      <c r="S1277" s="255">
        <f>Q1277*$E$167</f>
        <v>5.0975545526968933E-4</v>
      </c>
      <c r="T1277" s="263">
        <v>9.3032E-4</v>
      </c>
      <c r="U1277" s="8">
        <f>T1277*E138</f>
        <v>1.8606400000000002E-5</v>
      </c>
      <c r="V1277" s="255">
        <f>T1277*$E$167</f>
        <v>1.7859966675949889E-5</v>
      </c>
      <c r="W1277" s="254">
        <v>1.0502E-5</v>
      </c>
      <c r="X1277" s="103">
        <f>W1277*$E$138</f>
        <v>2.1004000000000002E-7</v>
      </c>
      <c r="Y1277" s="255">
        <f>W1277*$E$167</f>
        <v>2.0161382108395577E-7</v>
      </c>
      <c r="Z1277" s="254">
        <v>1.4264E-6</v>
      </c>
      <c r="AA1277" s="103">
        <f>Z1277*$E$138</f>
        <v>2.8528000000000002E-8</v>
      </c>
      <c r="AB1277" s="255">
        <f>Z1277*$E$167</f>
        <v>2.7383541648653068E-8</v>
      </c>
      <c r="AC1277" s="263">
        <v>2.1454E-3</v>
      </c>
      <c r="AD1277" s="103">
        <f>AC1277*$E$138</f>
        <v>4.2908000000000003E-5</v>
      </c>
      <c r="AE1277" s="255">
        <f>AC1277*$E$167</f>
        <v>4.1186658898640132E-5</v>
      </c>
      <c r="AF1277" s="263">
        <v>6.1870000000000001E-2</v>
      </c>
      <c r="AG1277" s="8">
        <f>AF1277*E138</f>
        <v>1.2374E-3</v>
      </c>
      <c r="AH1277" s="255">
        <f>AF1277*$E$167</f>
        <v>1.1877591992443671E-3</v>
      </c>
      <c r="AI1277" s="263">
        <v>5.4663000000000002E-5</v>
      </c>
      <c r="AJ1277" s="103">
        <f>AI1277*$E$138</f>
        <v>1.0932600000000001E-6</v>
      </c>
      <c r="AK1277" s="255">
        <f>AI1277*$E$167</f>
        <v>1.0494016665313535E-6</v>
      </c>
      <c r="AL1277" s="263">
        <v>1.2178E-4</v>
      </c>
      <c r="AM1277" s="103">
        <f>AL1277*$E$138</f>
        <v>2.4356E-6</v>
      </c>
      <c r="AN1277" s="255">
        <f>AL1277*$E$167</f>
        <v>2.3378909856793119E-6</v>
      </c>
      <c r="AO1277" s="241">
        <v>1.4919999999999999E-4</v>
      </c>
      <c r="AP1277" s="8">
        <f>AO1277*E138</f>
        <v>2.9840000000000001E-6</v>
      </c>
      <c r="AQ1277" s="262">
        <f>E167*AO1277</f>
        <v>2.8642908118192914E-6</v>
      </c>
      <c r="AR1277" s="263">
        <v>6.7340000000000006E-8</v>
      </c>
      <c r="AS1277" s="103">
        <f>AR1277*$E$138</f>
        <v>1.3468000000000001E-9</v>
      </c>
      <c r="AT1277" s="244">
        <f>AR1277*$E$167</f>
        <v>1.2927703972380102E-9</v>
      </c>
      <c r="AU1277" s="263">
        <v>8.2287999999999999E-6</v>
      </c>
      <c r="AV1277" s="103">
        <f>AU1277*$E$138</f>
        <v>1.64576E-7</v>
      </c>
      <c r="AW1277" s="244">
        <f>AU1277*$E$167</f>
        <v>1.5797370128886453E-7</v>
      </c>
      <c r="AX1277" s="263">
        <v>4.0692999999999998E-5</v>
      </c>
      <c r="AY1277" s="103">
        <f>AX1277*$E$138</f>
        <v>8.1386000000000001E-7</v>
      </c>
      <c r="AZ1277" s="244">
        <f>AX1277*$E$167</f>
        <v>7.8121036196623614E-7</v>
      </c>
      <c r="BA1277" s="263">
        <v>4.1202000000000003E-5</v>
      </c>
      <c r="BB1277" s="103">
        <f>BA1277*$E$138</f>
        <v>8.2404000000000012E-7</v>
      </c>
      <c r="BC1277" s="244">
        <f>BA1277*$E$167</f>
        <v>7.9098197070092797E-7</v>
      </c>
      <c r="BD1277" s="239">
        <v>1.9696000000000001E-4</v>
      </c>
      <c r="BE1277" s="8">
        <f>BD1277*E138</f>
        <v>3.9392000000000003E-6</v>
      </c>
      <c r="BF1277" s="232">
        <f>E167*BD1277</f>
        <v>3.7811710341550113E-6</v>
      </c>
      <c r="BG1277" s="236" t="s">
        <v>1470</v>
      </c>
    </row>
    <row r="1278" spans="3:69">
      <c r="C1278" s="8" t="s">
        <v>170</v>
      </c>
      <c r="D1278" s="240">
        <f>E140*F1301</f>
        <v>1122.9695400000001</v>
      </c>
      <c r="E1278" s="254">
        <v>8.2939999999999999E-4</v>
      </c>
      <c r="F1278" s="103">
        <f>E1278*$E$140</f>
        <v>1.74174E-5</v>
      </c>
      <c r="G1278" s="244">
        <f>E1278*$E$169</f>
        <v>1.6718665812929402E-5</v>
      </c>
      <c r="H1278" s="254">
        <v>0.12321</v>
      </c>
      <c r="I1278" s="8">
        <f>H1278*E140</f>
        <v>2.5874100000000001E-3</v>
      </c>
      <c r="J1278" s="255">
        <f>H1278*$E$169</f>
        <v>2.4836108208476388E-3</v>
      </c>
      <c r="K1278" s="263">
        <v>7.9375000000000001E-3</v>
      </c>
      <c r="L1278" s="8">
        <f>K1278*E140</f>
        <v>1.6668750000000001E-4</v>
      </c>
      <c r="M1278" s="255">
        <f>K1278*$E$169</f>
        <v>1.6000049420078022E-4</v>
      </c>
      <c r="N1278" s="263">
        <v>1.1323E-2</v>
      </c>
      <c r="O1278" s="8">
        <f>N1278*E140</f>
        <v>2.3778300000000001E-4</v>
      </c>
      <c r="P1278" s="255">
        <f>N1278*$E$169</f>
        <v>2.2824385459344057E-4</v>
      </c>
      <c r="Q1278" s="263">
        <v>1.9893000000000001</v>
      </c>
      <c r="R1278" s="8">
        <f>Q1278*E140</f>
        <v>4.1775300000000001E-2</v>
      </c>
      <c r="S1278" s="255">
        <f>Q1278*$E$169</f>
        <v>4.0099399447384207E-2</v>
      </c>
      <c r="T1278" s="263">
        <v>3.2620000000000003E-2</v>
      </c>
      <c r="U1278" s="8">
        <f>T1278*E140</f>
        <v>6.8502000000000016E-4</v>
      </c>
      <c r="V1278" s="255">
        <f>T1278*$E$169</f>
        <v>6.5753903884465531E-4</v>
      </c>
      <c r="W1278" s="254">
        <v>5.4837999999999999E-5</v>
      </c>
      <c r="X1278" s="103">
        <f>W1278*$E$140</f>
        <v>1.1515980000000001E-6</v>
      </c>
      <c r="Y1278" s="255">
        <f>W1278*$E$169</f>
        <v>1.1053993198088044E-6</v>
      </c>
      <c r="Z1278" s="254">
        <v>9.7474999999999994E-6</v>
      </c>
      <c r="AA1278" s="103">
        <f>Z1278*$E$140</f>
        <v>2.0469750000000001E-7</v>
      </c>
      <c r="AB1278" s="255">
        <f>Z1278*$E$169</f>
        <v>1.9648564626420222E-7</v>
      </c>
      <c r="AC1278" s="263">
        <v>1.8128999999999999E-2</v>
      </c>
      <c r="AD1278" s="103">
        <f>AC1278*$E$140</f>
        <v>3.8070900000000002E-4</v>
      </c>
      <c r="AE1278" s="255">
        <f>AC1278*$E$169</f>
        <v>3.6543608936893788E-4</v>
      </c>
      <c r="AF1278" s="263">
        <v>0.33062000000000002</v>
      </c>
      <c r="AG1278" s="8">
        <f>AF1278*E140</f>
        <v>6.9430200000000011E-3</v>
      </c>
      <c r="AH1278" s="255">
        <f>AF1278*$E$169</f>
        <v>6.6644867266345779E-3</v>
      </c>
      <c r="AI1278" s="263">
        <v>2.9485000000000001E-2</v>
      </c>
      <c r="AJ1278" s="103">
        <f>AI1278*$E$140</f>
        <v>6.1918500000000007E-4</v>
      </c>
      <c r="AK1278" s="255">
        <f>AI1278*$E$169</f>
        <v>5.9434514286740218E-4</v>
      </c>
      <c r="AL1278" s="263">
        <v>0.23447999999999999</v>
      </c>
      <c r="AM1278" s="103">
        <f>AL1278*$E$140</f>
        <v>4.92408E-3</v>
      </c>
      <c r="AN1278" s="255">
        <f>AL1278*$E$169</f>
        <v>4.7265405833321504E-3</v>
      </c>
      <c r="AO1278" s="241">
        <v>4.1124999999999998E-3</v>
      </c>
      <c r="AP1278" s="8">
        <f>AO1278*E140</f>
        <v>8.6362500000000005E-5</v>
      </c>
      <c r="AQ1278" s="262">
        <f>E169*AO1278</f>
        <v>8.2897893845758575E-5</v>
      </c>
      <c r="AR1278" s="263">
        <v>5.4387999999999997E-7</v>
      </c>
      <c r="AS1278" s="103">
        <f>AR1278*$E$140</f>
        <v>1.1421479999999999E-8</v>
      </c>
      <c r="AT1278" s="244">
        <f>AR1278*$E$169</f>
        <v>1.0963284256493901E-8</v>
      </c>
      <c r="AU1278" s="263">
        <v>5.0628999999999995E-4</v>
      </c>
      <c r="AV1278" s="103">
        <f>AU1278*$E$140</f>
        <v>1.063209E-5</v>
      </c>
      <c r="AW1278" s="244">
        <f>AU1278*$E$169</f>
        <v>1.0205562231044159E-5</v>
      </c>
      <c r="AX1278" s="263">
        <v>1.3856999999999999E-3</v>
      </c>
      <c r="AY1278" s="103">
        <f>AX1278*$E$140</f>
        <v>2.9099699999999999E-5</v>
      </c>
      <c r="AZ1278" s="244">
        <f>AX1278*$E$169</f>
        <v>2.7932306748223135E-5</v>
      </c>
      <c r="BA1278" s="263">
        <v>1.4119E-3</v>
      </c>
      <c r="BB1278" s="103">
        <f>BA1278*$E$140</f>
        <v>2.9649900000000002E-5</v>
      </c>
      <c r="BC1278" s="244">
        <f>BA1278*$E$169</f>
        <v>2.8460434363726816E-5</v>
      </c>
      <c r="BD1278" s="239">
        <v>1.8611999999999999E-3</v>
      </c>
      <c r="BE1278" s="8">
        <f>BD1278*E140</f>
        <v>3.9085200000000003E-5</v>
      </c>
      <c r="BF1278" s="232">
        <f>E169*BD1278</f>
        <v>3.7517218243337593E-5</v>
      </c>
      <c r="BG1278" s="236" t="s">
        <v>1474</v>
      </c>
    </row>
    <row r="1279" spans="3:69">
      <c r="D1279" s="212">
        <f>SUM(D1273:D1278)</f>
        <v>44567.715960000001</v>
      </c>
      <c r="E1279" s="261"/>
      <c r="F1279" s="90">
        <f>SUM(F1268:F1278)</f>
        <v>2.0005600970000002E-3</v>
      </c>
      <c r="G1279" s="243">
        <f>SUM(G1268:G1278)</f>
        <v>1.6589339854873155E-4</v>
      </c>
      <c r="H1279" s="261"/>
      <c r="I1279" s="5">
        <f>SUM(I1268:I1278)</f>
        <v>0.43445420759999998</v>
      </c>
      <c r="J1279" s="260">
        <f>SUM(J1268:J1278)</f>
        <v>9.7770461592942268E-2</v>
      </c>
      <c r="K1279" s="261"/>
      <c r="L1279" s="5">
        <f>SUM(L1268:L1278)</f>
        <v>1.203311028E-2</v>
      </c>
      <c r="M1279" s="260">
        <f>SUM(M1268:M1278)</f>
        <v>1.9428984858526184E-2</v>
      </c>
      <c r="N1279" s="261"/>
      <c r="O1279" s="5">
        <f>SUM(O1268:O1278)</f>
        <v>1.5504706239999997E-2</v>
      </c>
      <c r="P1279" s="260">
        <f>SUM(P1268:P1278)</f>
        <v>2.4048948457041346E-2</v>
      </c>
      <c r="Q1279" s="261"/>
      <c r="R1279" s="5">
        <f>SUM(R1268:R1278)</f>
        <v>0.56662842700000005</v>
      </c>
      <c r="S1279" s="260">
        <f>SUM(S1268:S1278)</f>
        <v>0.77989102511610842</v>
      </c>
      <c r="T1279" s="261"/>
      <c r="U1279" s="5">
        <f>SUM(U1268:U1278)</f>
        <v>0.14306322107</v>
      </c>
      <c r="V1279" s="260">
        <f>SUM(V1268:V1278)</f>
        <v>3.6223960082299687E-2</v>
      </c>
      <c r="W1279" s="261"/>
      <c r="X1279" s="90">
        <f>SUM(X1268:X1278)</f>
        <v>8.6175375600000016E-5</v>
      </c>
      <c r="Y1279" s="243">
        <f>SUM(Y1268:Y1278)</f>
        <v>1.6081401090751524E-5</v>
      </c>
      <c r="Z1279" s="261"/>
      <c r="AA1279" s="90">
        <f>SUM(AA1268:AA1278)</f>
        <v>9.5374908199999999E-6</v>
      </c>
      <c r="AB1279" s="243">
        <f>SUM(AB1268:AB1278)</f>
        <v>2.0994816911031002E-6</v>
      </c>
      <c r="AC1279" s="261"/>
      <c r="AD1279" s="110">
        <f>SUM(AD1268:AD1278)</f>
        <v>1.2648964700000001E-2</v>
      </c>
      <c r="AE1279" s="260">
        <f>SUM(AE1268:AE1278)</f>
        <v>1.0207568853354219E-2</v>
      </c>
      <c r="AF1279" s="261"/>
      <c r="AG1279" s="5">
        <f>SUM(AG1268:AG1278)</f>
        <v>0.21037777169999997</v>
      </c>
      <c r="AH1279" s="260">
        <f>SUM(AH1268:AH1278)</f>
        <v>0.11566709330423365</v>
      </c>
      <c r="AI1279" s="261"/>
      <c r="AJ1279" s="5">
        <f>SUM(AJ1268:AJ1278)</f>
        <v>2.7078921239999999E-3</v>
      </c>
      <c r="AK1279" s="260">
        <f>SUM(AK1268:AK1278)</f>
        <v>1.9951918638524222E-3</v>
      </c>
      <c r="AL1279" s="261"/>
      <c r="AM1279" s="5">
        <f>SUM(AM1268:AM1278)</f>
        <v>7.06322332E-3</v>
      </c>
      <c r="AN1279" s="5">
        <f>SUM(AN1268:AN1278)</f>
        <v>8.9058029958419931E-3</v>
      </c>
      <c r="AO1279" s="261"/>
      <c r="AP1279" s="5">
        <f>SUM(AP1268:AP1278)</f>
        <v>1.9620643199999999E-3</v>
      </c>
      <c r="AQ1279" s="260">
        <f>SUM(AQ1268:AQ1278)</f>
        <v>2.5495112866727003E-3</v>
      </c>
      <c r="AR1279" s="261"/>
      <c r="AS1279" s="5">
        <f>SUM(AS1268:AS1278)</f>
        <v>1.2757590621999998E-7</v>
      </c>
      <c r="AT1279" s="260">
        <f>SUM(AT1268:AT1278)</f>
        <v>4.2680687903938744E-8</v>
      </c>
      <c r="AU1279" s="261"/>
      <c r="AV1279" s="5">
        <f>SUM(AV1268:AV1278)</f>
        <v>6.4293556169999996E-4</v>
      </c>
      <c r="AW1279" s="260">
        <f>SUM(AW1268:AW1278)</f>
        <v>7.5583676157351597E-5</v>
      </c>
      <c r="AX1279" s="261"/>
      <c r="AY1279" s="5">
        <f>SUM(AY1268:AY1278)</f>
        <v>7.3380914400000006E-4</v>
      </c>
      <c r="AZ1279" s="260">
        <f>SUM(AZ1268:AZ1278)</f>
        <v>1.4596616452342909E-4</v>
      </c>
      <c r="BA1279" s="261"/>
      <c r="BB1279" s="5">
        <f>SUM(BB1268:BB1278)</f>
        <v>7.5693927200000009E-4</v>
      </c>
      <c r="BC1279" s="260">
        <f>SUM(BC1268:BC1278)</f>
        <v>1.5281824327935953E-4</v>
      </c>
      <c r="BD1279" s="261"/>
      <c r="BE1279" s="5">
        <f>SUM(BE1268:BE1278)</f>
        <v>8.0227673700000008E-4</v>
      </c>
      <c r="BF1279" s="88">
        <f>SUM(BF1268:BF1278)</f>
        <v>6.3809497205990519E-4</v>
      </c>
      <c r="BG1279" s="238"/>
    </row>
    <row r="1280" spans="3:69">
      <c r="D1280" s="213">
        <v>0.8</v>
      </c>
      <c r="E1280" s="261"/>
      <c r="F1280" s="5" t="s">
        <v>1475</v>
      </c>
      <c r="G1280" s="259">
        <f>G1279/F1279</f>
        <v>8.2923476679107003E-2</v>
      </c>
      <c r="H1280" s="261"/>
      <c r="I1280" s="5" t="s">
        <v>1475</v>
      </c>
      <c r="J1280" s="259">
        <f>J1279/I1279</f>
        <v>0.22504204098527017</v>
      </c>
      <c r="K1280" s="261"/>
      <c r="M1280" s="259">
        <f>M1279/L1279</f>
        <v>1.6146270088473071</v>
      </c>
      <c r="N1280" s="261"/>
      <c r="P1280" s="259">
        <f>P1279/O1279</f>
        <v>1.5510741116138265</v>
      </c>
      <c r="Q1280" s="261"/>
      <c r="S1280" s="259">
        <f>S1279/R1279</f>
        <v>1.3763711595713999</v>
      </c>
      <c r="T1280" s="261"/>
      <c r="V1280" s="259">
        <f>V1279/U1279</f>
        <v>0.25320246399719687</v>
      </c>
      <c r="W1280" s="261"/>
      <c r="X1280" s="5" t="s">
        <v>1475</v>
      </c>
      <c r="Y1280" s="259">
        <f>Y1279/X1279</f>
        <v>0.18661248620947724</v>
      </c>
      <c r="Z1280" s="261"/>
      <c r="AA1280" s="5" t="s">
        <v>1475</v>
      </c>
      <c r="AB1280" s="259">
        <f>AB1279/AA1279</f>
        <v>0.22012935380241866</v>
      </c>
      <c r="AC1280" s="261"/>
      <c r="AE1280" s="259">
        <f>AE1279/AD1279</f>
        <v>0.80698848446894778</v>
      </c>
      <c r="AF1280" s="261"/>
      <c r="AH1280" s="259">
        <f>AH1279/AG1279</f>
        <v>0.54980662818872161</v>
      </c>
      <c r="AI1280" s="261"/>
      <c r="AK1280" s="259">
        <f>AK1279/AJ1279</f>
        <v>0.73680625833247648</v>
      </c>
      <c r="AL1280" s="261"/>
      <c r="AN1280" s="85">
        <f>AN1279/AM1279</f>
        <v>1.2608695198160593</v>
      </c>
      <c r="AO1280" s="261"/>
      <c r="AQ1280" s="259">
        <f>AQ1279/AP1279</f>
        <v>1.2994025020916238</v>
      </c>
      <c r="AR1280" s="261"/>
      <c r="AT1280" s="259">
        <f>AT1279/AS1279</f>
        <v>0.33455132061015863</v>
      </c>
      <c r="AU1280" s="261"/>
      <c r="AW1280" s="259">
        <f>AW1279/AV1279</f>
        <v>0.11756026678241152</v>
      </c>
      <c r="AX1280" s="261"/>
      <c r="AZ1280" s="259">
        <f>AZ1279/AY1279</f>
        <v>0.19891570678414588</v>
      </c>
      <c r="BA1280" s="261"/>
      <c r="BC1280" s="259">
        <f>BC1279/BB1279</f>
        <v>0.20188970097373876</v>
      </c>
      <c r="BD1280" s="261"/>
      <c r="BF1280" s="85">
        <f>BF1279/BE1279</f>
        <v>0.79535519681895639</v>
      </c>
      <c r="BG1280" s="260"/>
    </row>
    <row r="1281" spans="4:59" ht="15" thickBot="1">
      <c r="D1281" s="11">
        <f>D1279/D1280</f>
        <v>55709.644950000002</v>
      </c>
      <c r="E1281" s="258"/>
      <c r="F1281" s="257" t="s">
        <v>1421</v>
      </c>
      <c r="G1281" s="256">
        <f>(G1279-F1279)/F1279</f>
        <v>-0.91707652332089296</v>
      </c>
      <c r="H1281" s="258"/>
      <c r="I1281" s="257" t="s">
        <v>1421</v>
      </c>
      <c r="J1281" s="256">
        <f>(J1279-I1279)/I1279</f>
        <v>-0.77495795901472975</v>
      </c>
      <c r="K1281" s="258"/>
      <c r="L1281" s="257"/>
      <c r="M1281" s="256">
        <f>(M1279-L1279)/L1279</f>
        <v>0.61462700884730725</v>
      </c>
      <c r="N1281" s="258"/>
      <c r="O1281" s="257"/>
      <c r="P1281" s="256">
        <f>(P1279-O1279)/O1279</f>
        <v>0.55107411161382636</v>
      </c>
      <c r="Q1281" s="258"/>
      <c r="R1281" s="257"/>
      <c r="S1281" s="256">
        <f>(S1279-R1279)/R1279</f>
        <v>0.37637115957139994</v>
      </c>
      <c r="T1281" s="258"/>
      <c r="U1281" s="257"/>
      <c r="V1281" s="256">
        <f>(V1279-U1279)/U1279</f>
        <v>-0.74679753600280308</v>
      </c>
      <c r="W1281" s="258"/>
      <c r="X1281" s="257" t="s">
        <v>1421</v>
      </c>
      <c r="Y1281" s="256">
        <f>(Y1279-X1279)/X1279</f>
        <v>-0.81338751379052276</v>
      </c>
      <c r="Z1281" s="258"/>
      <c r="AA1281" s="257" t="s">
        <v>1421</v>
      </c>
      <c r="AB1281" s="256">
        <f>(AB1279-AA1279)/AA1279</f>
        <v>-0.7798706461975814</v>
      </c>
      <c r="AC1281" s="258"/>
      <c r="AD1281" s="257"/>
      <c r="AE1281" s="256">
        <f>(AE1279-AD1279)/AD1279</f>
        <v>-0.19301151553105225</v>
      </c>
      <c r="AF1281" s="258"/>
      <c r="AG1281" s="257"/>
      <c r="AH1281" s="256">
        <f>(AH1279-AG1279)/AG1279</f>
        <v>-0.45019337181127833</v>
      </c>
      <c r="AI1281" s="258"/>
      <c r="AJ1281" s="257"/>
      <c r="AK1281" s="256">
        <f>(AK1279-AJ1279)/AJ1279</f>
        <v>-0.26319374166752357</v>
      </c>
      <c r="AL1281" s="258"/>
      <c r="AM1281" s="257"/>
      <c r="AN1281" s="242">
        <f>(AN1279-AM1279)/AM1279</f>
        <v>0.26086951981605944</v>
      </c>
      <c r="AO1281" s="258"/>
      <c r="AP1281" s="257"/>
      <c r="AQ1281" s="256">
        <f>(AQ1279-AP1279)/AP1279</f>
        <v>0.29940250209162378</v>
      </c>
      <c r="AR1281" s="258"/>
      <c r="AS1281" s="257"/>
      <c r="AT1281" s="256">
        <f>(AT1279-AS1279)/AS1279</f>
        <v>-0.66544867938984131</v>
      </c>
      <c r="AU1281" s="258"/>
      <c r="AV1281" s="257"/>
      <c r="AW1281" s="256">
        <f>(AW1279-AV1279)/AV1279</f>
        <v>-0.8824397332175884</v>
      </c>
      <c r="AX1281" s="258"/>
      <c r="AY1281" s="257"/>
      <c r="AZ1281" s="256">
        <f>(AZ1279-AY1279)/AY1279</f>
        <v>-0.80108429321585406</v>
      </c>
      <c r="BA1281" s="258"/>
      <c r="BB1281" s="257"/>
      <c r="BC1281" s="256">
        <f>(BC1279-BB1279)/BB1279</f>
        <v>-0.79811029902626118</v>
      </c>
      <c r="BD1281" s="258"/>
      <c r="BE1281" s="257"/>
      <c r="BF1281" s="242">
        <f>(BF1279-BE1279)/BE1279</f>
        <v>-0.20464480318104358</v>
      </c>
      <c r="BG1281" s="237"/>
    </row>
    <row r="1284" spans="4:59">
      <c r="D1284" s="42" t="s">
        <v>163</v>
      </c>
      <c r="E1284" s="42" t="s">
        <v>1488</v>
      </c>
      <c r="F1284" s="42" t="s">
        <v>1489</v>
      </c>
      <c r="G1284" s="42" t="s">
        <v>1488</v>
      </c>
      <c r="H1284" s="42" t="s">
        <v>1489</v>
      </c>
      <c r="I1284" s="42" t="s">
        <v>513</v>
      </c>
    </row>
    <row r="1285" spans="4:59">
      <c r="D1285" s="8" t="s">
        <v>161</v>
      </c>
      <c r="E1285" s="285">
        <v>0.13900000000000001</v>
      </c>
      <c r="F1285" s="49">
        <v>7826.99</v>
      </c>
      <c r="G1285" s="285">
        <v>0</v>
      </c>
      <c r="H1285" s="49">
        <v>0</v>
      </c>
      <c r="I1285" s="8" t="s">
        <v>518</v>
      </c>
    </row>
    <row r="1286" spans="4:59">
      <c r="D1286" s="8" t="s">
        <v>162</v>
      </c>
      <c r="E1286" s="285">
        <v>7.4999999999999997E-2</v>
      </c>
      <c r="F1286" s="49">
        <v>4186.8</v>
      </c>
      <c r="G1286" s="285">
        <v>0</v>
      </c>
      <c r="H1286" s="49">
        <v>0</v>
      </c>
      <c r="I1286" s="8" t="s">
        <v>518</v>
      </c>
      <c r="M1286" s="110"/>
      <c r="N1286" s="92"/>
      <c r="O1286" s="110"/>
    </row>
    <row r="1287" spans="4:59">
      <c r="D1287" s="8" t="s">
        <v>164</v>
      </c>
      <c r="E1287" s="285">
        <v>0.48599999999999999</v>
      </c>
      <c r="F1287" s="49">
        <v>27249.09</v>
      </c>
      <c r="G1287" s="285">
        <v>0.19016293469401463</v>
      </c>
      <c r="H1287" s="49">
        <v>10412.85010499999</v>
      </c>
      <c r="I1287" s="8" t="s">
        <v>518</v>
      </c>
      <c r="M1287" s="110"/>
      <c r="N1287" s="92"/>
      <c r="O1287" s="110"/>
    </row>
    <row r="1288" spans="4:59">
      <c r="D1288" s="8" t="s">
        <v>514</v>
      </c>
      <c r="E1288" s="285">
        <v>1.7999999999999999E-2</v>
      </c>
      <c r="F1288" s="49">
        <v>1035.07</v>
      </c>
      <c r="G1288" s="285">
        <v>9.837065305985309E-3</v>
      </c>
      <c r="H1288" s="49">
        <v>28.679579999999998</v>
      </c>
      <c r="I1288" s="8" t="s">
        <v>518</v>
      </c>
      <c r="M1288" s="110"/>
      <c r="N1288" s="92"/>
      <c r="O1288" s="110"/>
    </row>
    <row r="1289" spans="4:59">
      <c r="D1289" s="8" t="s">
        <v>168</v>
      </c>
      <c r="E1289" s="285">
        <v>1.4999999999999999E-2</v>
      </c>
      <c r="F1289" s="49">
        <v>825.73</v>
      </c>
      <c r="G1289" s="285">
        <v>0</v>
      </c>
      <c r="H1289" s="49">
        <v>0</v>
      </c>
      <c r="I1289" s="8" t="s">
        <v>518</v>
      </c>
      <c r="M1289" s="110"/>
      <c r="N1289" s="92"/>
      <c r="O1289" s="110"/>
    </row>
    <row r="1290" spans="4:59">
      <c r="D1290" s="8" t="s">
        <v>1473</v>
      </c>
      <c r="E1290" s="285">
        <v>0.17399999999999999</v>
      </c>
      <c r="F1290" s="49">
        <v>9780.83</v>
      </c>
      <c r="G1290" s="285">
        <v>0.33812119018985037</v>
      </c>
      <c r="H1290" s="49">
        <v>18290.88</v>
      </c>
      <c r="I1290" s="8" t="s">
        <v>516</v>
      </c>
      <c r="M1290" s="110"/>
      <c r="N1290" s="92"/>
      <c r="O1290" s="110"/>
    </row>
    <row r="1291" spans="4:59">
      <c r="D1291" s="8" t="s">
        <v>1462</v>
      </c>
      <c r="E1291" s="285">
        <v>0</v>
      </c>
      <c r="F1291" s="49">
        <v>0</v>
      </c>
      <c r="G1291" s="285">
        <v>0.30281926516045027</v>
      </c>
      <c r="H1291" s="49">
        <v>16381.2</v>
      </c>
      <c r="I1291" s="8" t="s">
        <v>516</v>
      </c>
      <c r="L1291" s="134"/>
      <c r="M1291" s="110"/>
      <c r="N1291" s="92"/>
      <c r="O1291" s="110"/>
    </row>
    <row r="1292" spans="4:59">
      <c r="D1292" s="8" t="s">
        <v>166</v>
      </c>
      <c r="E1292" s="285">
        <v>0.01</v>
      </c>
      <c r="F1292" s="49">
        <v>546.61</v>
      </c>
      <c r="G1292" s="285">
        <v>0.12954834873174342</v>
      </c>
      <c r="H1292" s="49">
        <v>7008</v>
      </c>
      <c r="I1292" s="8" t="s">
        <v>516</v>
      </c>
      <c r="L1292" s="134"/>
      <c r="M1292" s="110"/>
      <c r="N1292" s="92"/>
      <c r="O1292" s="110"/>
    </row>
    <row r="1293" spans="4:59">
      <c r="D1293" s="8" t="s">
        <v>167</v>
      </c>
      <c r="E1293" s="285">
        <v>1.2999999999999999E-2</v>
      </c>
      <c r="F1293" s="49">
        <v>744.32</v>
      </c>
      <c r="G1293" s="285">
        <v>7.1045471654338352E-3</v>
      </c>
      <c r="H1293" s="49">
        <v>20.71303</v>
      </c>
      <c r="I1293" s="8" t="s">
        <v>516</v>
      </c>
      <c r="M1293" s="110"/>
      <c r="N1293" s="92"/>
      <c r="O1293" s="110"/>
    </row>
    <row r="1294" spans="4:59">
      <c r="D1294" s="8" t="s">
        <v>515</v>
      </c>
      <c r="E1294" s="285">
        <v>0.02</v>
      </c>
      <c r="F1294" s="49">
        <v>1128.1099999999999</v>
      </c>
      <c r="G1294" s="285">
        <v>1.0930072562205901E-2</v>
      </c>
      <c r="H1294" s="49">
        <v>31.866199999999999</v>
      </c>
      <c r="I1294" s="8" t="s">
        <v>516</v>
      </c>
      <c r="L1294" s="134"/>
      <c r="M1294" s="110"/>
      <c r="N1294" s="92"/>
      <c r="O1294" s="110"/>
    </row>
    <row r="1295" spans="4:59">
      <c r="D1295" s="8" t="s">
        <v>170</v>
      </c>
      <c r="E1295" s="285">
        <v>2.1000000000000001E-2</v>
      </c>
      <c r="F1295" s="49">
        <v>1186.26</v>
      </c>
      <c r="G1295" s="285">
        <v>1.1476576190316197E-2</v>
      </c>
      <c r="H1295" s="49">
        <v>33.459510000000002</v>
      </c>
      <c r="I1295" s="8" t="s">
        <v>516</v>
      </c>
    </row>
    <row r="1296" spans="4:59">
      <c r="D1296" s="8" t="s">
        <v>517</v>
      </c>
      <c r="E1296" s="285">
        <v>0.23799999999999999</v>
      </c>
      <c r="F1296" s="49">
        <f>SUM(F1290:F1295)</f>
        <v>13386.130000000001</v>
      </c>
      <c r="G1296" s="299">
        <v>0.8</v>
      </c>
      <c r="H1296" s="49">
        <v>41766.118739999998</v>
      </c>
      <c r="I1296" s="8"/>
    </row>
    <row r="1297" spans="4:28">
      <c r="D1297" s="8" t="s">
        <v>492</v>
      </c>
      <c r="E1297" s="8"/>
      <c r="F1297" s="49">
        <f>SUM(F1285:F1295)</f>
        <v>54509.810000000012</v>
      </c>
      <c r="G1297" s="8"/>
      <c r="H1297" s="49">
        <v>52207.648424999992</v>
      </c>
      <c r="I1297" s="8"/>
    </row>
    <row r="1300" spans="4:28">
      <c r="D1300" s="8" t="s">
        <v>1453</v>
      </c>
      <c r="E1300" s="8" t="s">
        <v>1454</v>
      </c>
      <c r="F1300" s="8" t="s">
        <v>1455</v>
      </c>
      <c r="G1300" s="8" t="s">
        <v>1456</v>
      </c>
    </row>
    <row r="1301" spans="4:28">
      <c r="D1301" s="8">
        <f>3447+1151</f>
        <v>4598</v>
      </c>
      <c r="E1301" s="8">
        <f>D1301*11630</f>
        <v>53474740</v>
      </c>
      <c r="F1301" s="8">
        <f>E1301/1000</f>
        <v>53474.74</v>
      </c>
      <c r="G1301" s="8">
        <f>F1301/1000</f>
        <v>53.474739999999997</v>
      </c>
    </row>
    <row r="1303" spans="4:28">
      <c r="D1303" s="5" t="s">
        <v>1</v>
      </c>
    </row>
    <row r="1304" spans="4:28">
      <c r="D1304" s="5" t="s">
        <v>452</v>
      </c>
    </row>
    <row r="1305" spans="4:28" ht="29">
      <c r="D1305" s="8" t="s">
        <v>74</v>
      </c>
      <c r="E1305" s="8" t="s">
        <v>117</v>
      </c>
      <c r="F1305" s="8" t="s">
        <v>149</v>
      </c>
      <c r="G1305" s="8" t="s">
        <v>118</v>
      </c>
      <c r="H1305" s="8" t="s">
        <v>122</v>
      </c>
      <c r="I1305" s="8" t="s">
        <v>123</v>
      </c>
      <c r="J1305" s="8" t="s">
        <v>121</v>
      </c>
      <c r="K1305" s="8" t="s">
        <v>150</v>
      </c>
      <c r="L1305" s="8" t="s">
        <v>151</v>
      </c>
      <c r="M1305" s="8" t="s">
        <v>152</v>
      </c>
      <c r="N1305" s="8" t="s">
        <v>154</v>
      </c>
      <c r="O1305" s="8" t="s">
        <v>411</v>
      </c>
      <c r="P1305" s="8" t="s">
        <v>450</v>
      </c>
      <c r="Q1305" s="8" t="s">
        <v>453</v>
      </c>
      <c r="R1305" s="8"/>
      <c r="S1305" s="8" t="s">
        <v>1244</v>
      </c>
      <c r="T1305" s="8" t="s">
        <v>119</v>
      </c>
      <c r="U1305" s="8" t="s">
        <v>120</v>
      </c>
      <c r="V1305" s="8" t="s">
        <v>153</v>
      </c>
      <c r="W1305" s="102" t="s">
        <v>469</v>
      </c>
      <c r="X1305" s="8" t="s">
        <v>470</v>
      </c>
      <c r="Y1305" s="8" t="s">
        <v>471</v>
      </c>
      <c r="Z1305" s="8" t="s">
        <v>472</v>
      </c>
      <c r="AA1305" s="8" t="s">
        <v>473</v>
      </c>
      <c r="AB1305" s="8"/>
    </row>
    <row r="1306" spans="4:28">
      <c r="D1306" s="8" t="s">
        <v>62</v>
      </c>
      <c r="E1306" s="8">
        <f>'Parameter Inputs'!E70</f>
        <v>6</v>
      </c>
      <c r="F1306" s="8">
        <v>6.9686411149825798</v>
      </c>
      <c r="G1306" s="8">
        <v>120</v>
      </c>
      <c r="H1306" s="50">
        <f ca="1">2*PI()*('Parameter Inputs'!K786/2)*'Parameter Inputs'!L786</f>
        <v>455.7825920239099</v>
      </c>
      <c r="I1306" s="50">
        <f ca="1">PI()*(('Parameter Inputs'!K786/2)^2)</f>
        <v>113.94564800597747</v>
      </c>
      <c r="J1306" s="50">
        <f t="shared" ref="J1306:J1317" ca="1" si="27">I1306</f>
        <v>113.94564800597747</v>
      </c>
      <c r="K1306" s="8">
        <f ca="1">'Parameter Inputs'!F178*'Parameter Inputs'!H1306*('Parameter Inputs'!G1306-'Parameter Inputs'!E1306)*(60*30)</f>
        <v>65468611.518314414</v>
      </c>
      <c r="L1306" s="8">
        <f ca="1">'Parameter Inputs'!H178*'Parameter Inputs'!J1306*('Parameter Inputs'!G1306-'Parameter Inputs'!F1306)*(60*30)</f>
        <v>32456167.211536761</v>
      </c>
      <c r="M1306" s="8">
        <f ca="1">'Parameter Inputs'!J178*'Parameter Inputs'!I1306*('Parameter Inputs'!G1306-'Parameter Inputs'!E1306)*(60*30)</f>
        <v>66637693.866855748</v>
      </c>
      <c r="N1306" s="8">
        <f t="shared" ref="N1306:N1317" ca="1" si="28">K1306+L1306+M1306</f>
        <v>164562472.59670693</v>
      </c>
      <c r="O1306" s="8">
        <v>1</v>
      </c>
      <c r="P1306" s="8">
        <f t="shared" ref="P1306:P1317" ca="1" si="29">N1306*O1306</f>
        <v>164562472.59670693</v>
      </c>
      <c r="Q1306" s="8">
        <f ca="1">P1306*31</f>
        <v>5101436650.4979143</v>
      </c>
      <c r="R1306" s="8"/>
      <c r="S1306" s="49">
        <f ca="1">'Parameter Inputs'!L906</f>
        <v>25283.801978745327</v>
      </c>
      <c r="T1306" s="8">
        <v>4200</v>
      </c>
      <c r="U1306" s="103">
        <v>10.9876543209876</v>
      </c>
      <c r="V1306" s="8">
        <v>35</v>
      </c>
      <c r="W1306" s="58">
        <f t="shared" ref="W1306:W1317" ca="1" si="30">S1306*T1306*(V1306-U1306)</f>
        <v>2549918251.4119878</v>
      </c>
      <c r="X1306" s="58">
        <f ca="1">W1306*31</f>
        <v>79047465793.771622</v>
      </c>
      <c r="Y1306" s="58">
        <f t="shared" ref="Y1306:Y1317" ca="1" si="31">X1306+Q1306</f>
        <v>84148902444.269531</v>
      </c>
      <c r="Z1306" s="47">
        <f ca="1">0.000000277778*Y1306</f>
        <v>23374.7138231643</v>
      </c>
      <c r="AA1306" s="8"/>
      <c r="AB1306" s="58"/>
    </row>
    <row r="1307" spans="4:28">
      <c r="D1307" s="8" t="s">
        <v>63</v>
      </c>
      <c r="E1307" s="8">
        <f>'Parameter Inputs'!E72</f>
        <v>5</v>
      </c>
      <c r="F1307" s="8">
        <f>'Parameter Inputs'!F72</f>
        <v>5.8072009291521489</v>
      </c>
      <c r="G1307" s="8">
        <v>120</v>
      </c>
      <c r="H1307" s="50">
        <f ca="1">2*PI()*('Parameter Inputs'!K786/2)*'Parameter Inputs'!L786</f>
        <v>455.7825920239099</v>
      </c>
      <c r="I1307" s="50">
        <f ca="1">PI()*(('Parameter Inputs'!K786/2)^2)</f>
        <v>113.94564800597747</v>
      </c>
      <c r="J1307" s="50">
        <f t="shared" ca="1" si="27"/>
        <v>113.94564800597747</v>
      </c>
      <c r="K1307" s="8">
        <f ca="1">'Parameter Inputs'!F178*'Parameter Inputs'!H1307*('Parameter Inputs'!G1307-'Parameter Inputs'!E1307)*(60*30)</f>
        <v>66042897.584264532</v>
      </c>
      <c r="L1307" s="8">
        <f ca="1">'Parameter Inputs'!H178*'Parameter Inputs'!J1307*('Parameter Inputs'!G1307-'Parameter Inputs'!F1307)*(60*30)</f>
        <v>32789666.669115238</v>
      </c>
      <c r="M1307" s="8">
        <f ca="1">'Parameter Inputs'!J178*'Parameter Inputs'!I1307*('Parameter Inputs'!G1307-'Parameter Inputs'!E1307)*(60*30)</f>
        <v>67222235.041126415</v>
      </c>
      <c r="N1307" s="8">
        <f t="shared" ca="1" si="28"/>
        <v>166054799.29450619</v>
      </c>
      <c r="O1307" s="8">
        <v>1</v>
      </c>
      <c r="P1307" s="8">
        <f t="shared" ca="1" si="29"/>
        <v>166054799.29450619</v>
      </c>
      <c r="Q1307" s="8">
        <f ca="1">P1307*28</f>
        <v>4649534380.2461739</v>
      </c>
      <c r="R1307" s="8"/>
      <c r="S1307" s="49">
        <f ca="1">'Parameter Inputs'!L906</f>
        <v>25283.801978745327</v>
      </c>
      <c r="T1307" s="8">
        <v>4200</v>
      </c>
      <c r="U1307" s="103">
        <v>11.8518518518518</v>
      </c>
      <c r="V1307" s="8">
        <v>35</v>
      </c>
      <c r="W1307" s="58">
        <f t="shared" ca="1" si="30"/>
        <v>2458147414.600246</v>
      </c>
      <c r="X1307" s="58">
        <f ca="1">W1307*28</f>
        <v>68828127608.806885</v>
      </c>
      <c r="Y1307" s="58">
        <f t="shared" ca="1" si="31"/>
        <v>73477661989.053055</v>
      </c>
      <c r="Z1307" s="47">
        <f t="shared" ref="Z1307:Z1317" ca="1" si="32">0.000000277778*Y1307</f>
        <v>20410.47799199518</v>
      </c>
      <c r="AA1307" s="8"/>
      <c r="AB1307" s="58"/>
    </row>
    <row r="1308" spans="4:28">
      <c r="D1308" s="8" t="s">
        <v>64</v>
      </c>
      <c r="E1308" s="8">
        <f>'Parameter Inputs'!E74</f>
        <v>7</v>
      </c>
      <c r="F1308" s="8">
        <f>'Parameter Inputs'!F74</f>
        <v>7.9006772009029342</v>
      </c>
      <c r="G1308" s="8">
        <v>120</v>
      </c>
      <c r="H1308" s="50">
        <f ca="1">2*PI()*('Parameter Inputs'!K786/2)*'Parameter Inputs'!L786</f>
        <v>455.7825920239099</v>
      </c>
      <c r="I1308" s="50">
        <f ca="1">PI()*(('Parameter Inputs'!K786/2)^2)</f>
        <v>113.94564800597747</v>
      </c>
      <c r="J1308" s="50">
        <f t="shared" ca="1" si="27"/>
        <v>113.94564800597747</v>
      </c>
      <c r="K1308" s="8">
        <f ca="1">'Parameter Inputs'!F178*'Parameter Inputs'!H1308*('Parameter Inputs'!G1308-'Parameter Inputs'!E1308)*(60*30)</f>
        <v>64894325.452364288</v>
      </c>
      <c r="L1308" s="8">
        <f ca="1">'Parameter Inputs'!H178*'Parameter Inputs'!J1308*('Parameter Inputs'!G1308-'Parameter Inputs'!F1308)*(60*30)</f>
        <v>32188539.542983383</v>
      </c>
      <c r="M1308" s="8">
        <f ca="1">'Parameter Inputs'!J178*'Parameter Inputs'!I1308*('Parameter Inputs'!G1308-'Parameter Inputs'!E1308)*(60*30)</f>
        <v>66053152.692585081</v>
      </c>
      <c r="N1308" s="8">
        <f t="shared" ca="1" si="28"/>
        <v>163136017.68793276</v>
      </c>
      <c r="O1308" s="8">
        <v>1</v>
      </c>
      <c r="P1308" s="8">
        <f t="shared" ca="1" si="29"/>
        <v>163136017.68793276</v>
      </c>
      <c r="Q1308" s="8">
        <f ca="1">P1308*31</f>
        <v>5057216548.3259153</v>
      </c>
      <c r="R1308" s="8"/>
      <c r="S1308" s="49">
        <f ca="1">'Parameter Inputs'!L906</f>
        <v>25283.801978745327</v>
      </c>
      <c r="T1308" s="8">
        <v>4200</v>
      </c>
      <c r="U1308" s="103">
        <v>12.592592592592499</v>
      </c>
      <c r="V1308" s="8">
        <v>35</v>
      </c>
      <c r="W1308" s="58">
        <f t="shared" ca="1" si="30"/>
        <v>2379486697.3330421</v>
      </c>
      <c r="X1308" s="58">
        <f ca="1">W1308*31</f>
        <v>73764087617.32431</v>
      </c>
      <c r="Y1308" s="58">
        <f t="shared" ca="1" si="31"/>
        <v>78821304165.650223</v>
      </c>
      <c r="Z1308" s="47">
        <f t="shared" ca="1" si="32"/>
        <v>21894.824228525988</v>
      </c>
      <c r="AA1308" s="8"/>
      <c r="AB1308" s="58"/>
    </row>
    <row r="1309" spans="4:28">
      <c r="D1309" s="8" t="s">
        <v>65</v>
      </c>
      <c r="E1309" s="8">
        <f>'Parameter Inputs'!E76</f>
        <v>8</v>
      </c>
      <c r="F1309" s="8">
        <f>'Parameter Inputs'!F76</f>
        <v>9.0293453724604973</v>
      </c>
      <c r="G1309" s="8">
        <v>120</v>
      </c>
      <c r="H1309" s="50">
        <f ca="1">2*PI()*('Parameter Inputs'!K786/2)*'Parameter Inputs'!L786</f>
        <v>455.7825920239099</v>
      </c>
      <c r="I1309" s="50">
        <f ca="1">PI()*(('Parameter Inputs'!K786/2)^2)</f>
        <v>113.94564800597747</v>
      </c>
      <c r="J1309" s="50">
        <f t="shared" ca="1" si="27"/>
        <v>113.94564800597747</v>
      </c>
      <c r="K1309" s="8">
        <f ca="1">'Parameter Inputs'!F178*'Parameter Inputs'!H1309*('Parameter Inputs'!G1309-'Parameter Inputs'!E1309)*(60*30)</f>
        <v>64320039.386414163</v>
      </c>
      <c r="L1309" s="8">
        <f ca="1">'Parameter Inputs'!H178*'Parameter Inputs'!J1309*('Parameter Inputs'!G1309-'Parameter Inputs'!F1309)*(60*30)</f>
        <v>31864450.340979926</v>
      </c>
      <c r="M1309" s="8">
        <f ca="1">'Parameter Inputs'!J178*'Parameter Inputs'!I1309*('Parameter Inputs'!G1309-'Parameter Inputs'!E1309)*(60*30)</f>
        <v>65468611.518314414</v>
      </c>
      <c r="N1309" s="8">
        <f t="shared" ca="1" si="28"/>
        <v>161653101.2457085</v>
      </c>
      <c r="O1309" s="8">
        <v>1</v>
      </c>
      <c r="P1309" s="8">
        <f t="shared" ca="1" si="29"/>
        <v>161653101.2457085</v>
      </c>
      <c r="Q1309" s="8">
        <f ca="1">P1309*30</f>
        <v>4849593037.3712549</v>
      </c>
      <c r="R1309" s="8"/>
      <c r="S1309" s="49">
        <f ca="1">'Parameter Inputs'!L906</f>
        <v>25283.801978745327</v>
      </c>
      <c r="T1309" s="8">
        <v>4200</v>
      </c>
      <c r="U1309" s="103">
        <v>15.1851851851851</v>
      </c>
      <c r="V1309" s="8">
        <v>35</v>
      </c>
      <c r="W1309" s="58">
        <f t="shared" ca="1" si="30"/>
        <v>2104174186.8978148</v>
      </c>
      <c r="X1309" s="58">
        <f ca="1">W1309*30</f>
        <v>63125225606.934441</v>
      </c>
      <c r="Y1309" s="58">
        <f t="shared" ca="1" si="31"/>
        <v>67974818644.305695</v>
      </c>
      <c r="Z1309" s="47">
        <f t="shared" ca="1" si="32"/>
        <v>18881.909173377946</v>
      </c>
      <c r="AA1309" s="8"/>
      <c r="AB1309" s="58"/>
    </row>
    <row r="1310" spans="4:28">
      <c r="D1310" s="8" t="s">
        <v>66</v>
      </c>
      <c r="E1310" s="8">
        <f>'Parameter Inputs'!E78</f>
        <v>11</v>
      </c>
      <c r="F1310" s="8">
        <f>'Parameter Inputs'!F78</f>
        <v>12.415349887133182</v>
      </c>
      <c r="G1310" s="8">
        <v>120</v>
      </c>
      <c r="H1310" s="50">
        <f ca="1">2*PI()*('Parameter Inputs'!K786/2)*'Parameter Inputs'!L786</f>
        <v>455.7825920239099</v>
      </c>
      <c r="I1310" s="50">
        <f ca="1">PI()*(('Parameter Inputs'!K786/2)^2)</f>
        <v>113.94564800597747</v>
      </c>
      <c r="J1310" s="50">
        <f t="shared" ca="1" si="27"/>
        <v>113.94564800597747</v>
      </c>
      <c r="K1310" s="8">
        <f ca="1">'Parameter Inputs'!F178*'Parameter Inputs'!H1310*('Parameter Inputs'!G1310-'Parameter Inputs'!E1310)*(60*30)</f>
        <v>62597181.188563779</v>
      </c>
      <c r="L1310" s="8">
        <f ca="1">'Parameter Inputs'!H178*'Parameter Inputs'!J1310*('Parameter Inputs'!G1310-'Parameter Inputs'!F1310)*(60*30)</f>
        <v>30892182.734969556</v>
      </c>
      <c r="M1310" s="8">
        <f ca="1">'Parameter Inputs'!J178*'Parameter Inputs'!I1310*('Parameter Inputs'!G1310-'Parameter Inputs'!E1310)*(60*30)</f>
        <v>63714987.99550242</v>
      </c>
      <c r="N1310" s="8">
        <f t="shared" ca="1" si="28"/>
        <v>157204351.91903576</v>
      </c>
      <c r="O1310" s="8">
        <v>1</v>
      </c>
      <c r="P1310" s="8">
        <f t="shared" ca="1" si="29"/>
        <v>157204351.91903576</v>
      </c>
      <c r="Q1310" s="8">
        <f ca="1">P1310*31</f>
        <v>4873334909.4901085</v>
      </c>
      <c r="R1310" s="8"/>
      <c r="S1310" s="8">
        <f ca="1">'Parameter Inputs'!E792*'Parameter Inputs'!$F$309</f>
        <v>25283.801978745334</v>
      </c>
      <c r="T1310" s="8">
        <v>4200</v>
      </c>
      <c r="U1310" s="103">
        <v>17.037037037036999</v>
      </c>
      <c r="V1310" s="8">
        <v>35</v>
      </c>
      <c r="W1310" s="58">
        <f t="shared" ca="1" si="30"/>
        <v>1907522393.7297909</v>
      </c>
      <c r="X1310" s="58">
        <f ca="1">W1310*31</f>
        <v>59133194205.62352</v>
      </c>
      <c r="Y1310" s="58">
        <f t="shared" ca="1" si="31"/>
        <v>64006529115.113632</v>
      </c>
      <c r="Z1310" s="47">
        <f t="shared" ca="1" si="32"/>
        <v>17779.605644538035</v>
      </c>
      <c r="AA1310" s="8"/>
      <c r="AB1310" s="58"/>
    </row>
    <row r="1311" spans="4:28">
      <c r="D1311" s="8" t="s">
        <v>67</v>
      </c>
      <c r="E1311" s="8">
        <f>'Parameter Inputs'!E80</f>
        <v>13</v>
      </c>
      <c r="F1311" s="8">
        <f>'Parameter Inputs'!F80</f>
        <v>18.465909090909093</v>
      </c>
      <c r="G1311" s="8">
        <v>120</v>
      </c>
      <c r="H1311" s="50">
        <f ca="1">2*PI()*('Parameter Inputs'!K786/2)*'Parameter Inputs'!L786</f>
        <v>455.7825920239099</v>
      </c>
      <c r="I1311" s="50">
        <f ca="1">PI()*(('Parameter Inputs'!K786/2)^2)</f>
        <v>113.94564800597747</v>
      </c>
      <c r="J1311" s="50">
        <f t="shared" ca="1" si="27"/>
        <v>113.94564800597747</v>
      </c>
      <c r="K1311" s="8">
        <f ca="1">'Parameter Inputs'!F178*'Parameter Inputs'!H1311*('Parameter Inputs'!G1311-'Parameter Inputs'!E1311)*(60*30)</f>
        <v>61448609.056663528</v>
      </c>
      <c r="L1311" s="8">
        <f ca="1">'Parameter Inputs'!H178*'Parameter Inputs'!J1311*('Parameter Inputs'!G1311-'Parameter Inputs'!F1311)*(60*30)</f>
        <v>29154806.814002156</v>
      </c>
      <c r="M1311" s="8">
        <f ca="1">'Parameter Inputs'!J178*'Parameter Inputs'!I1311*('Parameter Inputs'!G1311-'Parameter Inputs'!E1311)*(60*30)</f>
        <v>62545905.646961093</v>
      </c>
      <c r="N1311" s="8">
        <f t="shared" ca="1" si="28"/>
        <v>153149321.51762676</v>
      </c>
      <c r="O1311" s="8">
        <v>1</v>
      </c>
      <c r="P1311" s="8">
        <f t="shared" ca="1" si="29"/>
        <v>153149321.51762676</v>
      </c>
      <c r="Q1311" s="8">
        <f ca="1">P1311*30</f>
        <v>4594479645.5288029</v>
      </c>
      <c r="R1311" s="8"/>
      <c r="S1311" s="8">
        <f ca="1">'Parameter Inputs'!E792*'Parameter Inputs'!$F$309</f>
        <v>25283.801978745334</v>
      </c>
      <c r="T1311" s="8">
        <v>4200</v>
      </c>
      <c r="U1311" s="103">
        <v>18.148148148148099</v>
      </c>
      <c r="V1311" s="8">
        <v>35</v>
      </c>
      <c r="W1311" s="58">
        <f t="shared" ca="1" si="30"/>
        <v>1789531317.8289804</v>
      </c>
      <c r="X1311" s="58">
        <f ca="1">W1311*30</f>
        <v>53685939534.869415</v>
      </c>
      <c r="Y1311" s="58">
        <f t="shared" ca="1" si="31"/>
        <v>58280419180.398216</v>
      </c>
      <c r="Z1311" s="47">
        <f t="shared" ca="1" si="32"/>
        <v>16189.018279092656</v>
      </c>
      <c r="AA1311" s="8"/>
      <c r="AB1311" s="58"/>
    </row>
    <row r="1312" spans="4:28">
      <c r="D1312" s="8" t="s">
        <v>68</v>
      </c>
      <c r="E1312" s="8">
        <f>'Parameter Inputs'!E82</f>
        <v>15</v>
      </c>
      <c r="F1312" s="8">
        <f>'Parameter Inputs'!F82</f>
        <v>21.306818181818183</v>
      </c>
      <c r="G1312" s="8">
        <v>120</v>
      </c>
      <c r="H1312" s="50">
        <f ca="1">2*PI()*('Parameter Inputs'!K786/2)*'Parameter Inputs'!L786</f>
        <v>455.7825920239099</v>
      </c>
      <c r="I1312" s="50">
        <f ca="1">PI()*(('Parameter Inputs'!K786/2)^2)</f>
        <v>113.94564800597747</v>
      </c>
      <c r="J1312" s="50">
        <f t="shared" ca="1" si="27"/>
        <v>113.94564800597747</v>
      </c>
      <c r="K1312" s="8">
        <f ca="1">'Parameter Inputs'!F178*'Parameter Inputs'!H1312*('Parameter Inputs'!G1312-'Parameter Inputs'!E1312)*(60*30)</f>
        <v>60300036.924763285</v>
      </c>
      <c r="L1312" s="8">
        <f ca="1">'Parameter Inputs'!H178*'Parameter Inputs'!J1312*('Parameter Inputs'!G1312-'Parameter Inputs'!F1312)*(60*30)</f>
        <v>28339059.56123209</v>
      </c>
      <c r="M1312" s="8">
        <f ca="1">'Parameter Inputs'!J178*'Parameter Inputs'!I1312*('Parameter Inputs'!G1312-'Parameter Inputs'!E1312)*(60*30)</f>
        <v>61376823.298419759</v>
      </c>
      <c r="N1312" s="8">
        <f t="shared" ca="1" si="28"/>
        <v>150015919.78441513</v>
      </c>
      <c r="O1312" s="8">
        <v>1</v>
      </c>
      <c r="P1312" s="8">
        <f t="shared" ca="1" si="29"/>
        <v>150015919.78441513</v>
      </c>
      <c r="Q1312" s="8">
        <f ca="1">P1312*31</f>
        <v>4650493513.3168688</v>
      </c>
      <c r="R1312" s="8"/>
      <c r="S1312" s="8">
        <f ca="1">'Parameter Inputs'!E792*'Parameter Inputs'!$F$309</f>
        <v>25283.801978745334</v>
      </c>
      <c r="T1312" s="8">
        <v>4200</v>
      </c>
      <c r="U1312" s="103">
        <v>18.6419753086419</v>
      </c>
      <c r="V1312" s="8">
        <v>35</v>
      </c>
      <c r="W1312" s="58">
        <f t="shared" ca="1" si="30"/>
        <v>1737090839.6508448</v>
      </c>
      <c r="X1312" s="58">
        <f ca="1">W1312*31</f>
        <v>53849816029.176186</v>
      </c>
      <c r="Y1312" s="58">
        <f t="shared" ca="1" si="31"/>
        <v>58500309542.493057</v>
      </c>
      <c r="Z1312" s="47">
        <f t="shared" ca="1" si="32"/>
        <v>16250.098984094635</v>
      </c>
      <c r="AA1312" s="8"/>
      <c r="AB1312" s="58"/>
    </row>
    <row r="1313" spans="4:43">
      <c r="D1313" s="8" t="s">
        <v>69</v>
      </c>
      <c r="E1313" s="8">
        <f>'Parameter Inputs'!E84</f>
        <v>15</v>
      </c>
      <c r="F1313" s="8">
        <f>'Parameter Inputs'!F84</f>
        <v>21.306818181818183</v>
      </c>
      <c r="G1313" s="8">
        <v>120</v>
      </c>
      <c r="H1313" s="50">
        <f ca="1">2*PI()*('Parameter Inputs'!K786/2)*'Parameter Inputs'!L786</f>
        <v>455.7825920239099</v>
      </c>
      <c r="I1313" s="50">
        <f ca="1">PI()*(('Parameter Inputs'!K786/2)^2)</f>
        <v>113.94564800597747</v>
      </c>
      <c r="J1313" s="50">
        <f t="shared" ca="1" si="27"/>
        <v>113.94564800597747</v>
      </c>
      <c r="K1313" s="8">
        <f ca="1">'Parameter Inputs'!F178*'Parameter Inputs'!H1313*('Parameter Inputs'!G1313-'Parameter Inputs'!E1313)*(60*30)</f>
        <v>60300036.924763285</v>
      </c>
      <c r="L1313" s="8">
        <f ca="1">'Parameter Inputs'!H178*'Parameter Inputs'!J1313*('Parameter Inputs'!G1313-'Parameter Inputs'!F1313)*(60*30)</f>
        <v>28339059.56123209</v>
      </c>
      <c r="M1313" s="8">
        <f ca="1">'Parameter Inputs'!J178*'Parameter Inputs'!I1313*('Parameter Inputs'!G1313-'Parameter Inputs'!E1313)*(60*30)</f>
        <v>61376823.298419759</v>
      </c>
      <c r="N1313" s="8">
        <f t="shared" ca="1" si="28"/>
        <v>150015919.78441513</v>
      </c>
      <c r="O1313" s="8">
        <v>1</v>
      </c>
      <c r="P1313" s="8">
        <f t="shared" ca="1" si="29"/>
        <v>150015919.78441513</v>
      </c>
      <c r="Q1313" s="8">
        <f ca="1">P1313*31</f>
        <v>4650493513.3168688</v>
      </c>
      <c r="R1313" s="8"/>
      <c r="S1313" s="8">
        <f ca="1">'Parameter Inputs'!E792*'Parameter Inputs'!$F$309</f>
        <v>25283.801978745334</v>
      </c>
      <c r="T1313" s="8">
        <v>4200</v>
      </c>
      <c r="U1313" s="103">
        <v>17.7777777777777</v>
      </c>
      <c r="V1313" s="8">
        <v>35</v>
      </c>
      <c r="W1313" s="58">
        <f t="shared" ca="1" si="30"/>
        <v>1828861676.4625874</v>
      </c>
      <c r="X1313" s="58">
        <f ca="1">W1313*31</f>
        <v>56694711970.34021</v>
      </c>
      <c r="Y1313" s="58">
        <f t="shared" ca="1" si="31"/>
        <v>61345205483.657082</v>
      </c>
      <c r="Z1313" s="47">
        <f t="shared" ca="1" si="32"/>
        <v>17040.348488839296</v>
      </c>
      <c r="AA1313" s="8"/>
      <c r="AB1313" s="58"/>
    </row>
    <row r="1314" spans="4:43">
      <c r="D1314" s="8" t="s">
        <v>70</v>
      </c>
      <c r="E1314" s="8">
        <f>'Parameter Inputs'!E86</f>
        <v>13</v>
      </c>
      <c r="F1314" s="8">
        <f>'Parameter Inputs'!F86</f>
        <v>15.911872705018361</v>
      </c>
      <c r="G1314" s="8">
        <v>120</v>
      </c>
      <c r="H1314" s="50">
        <f ca="1">2*PI()*('Parameter Inputs'!K786/2)*'Parameter Inputs'!L786</f>
        <v>455.7825920239099</v>
      </c>
      <c r="I1314" s="50">
        <f ca="1">PI()*(('Parameter Inputs'!K786/2)^2)</f>
        <v>113.94564800597747</v>
      </c>
      <c r="J1314" s="50">
        <f t="shared" ca="1" si="27"/>
        <v>113.94564800597747</v>
      </c>
      <c r="K1314" s="8">
        <f ca="1">'Parameter Inputs'!F178*'Parameter Inputs'!H1314*('Parameter Inputs'!G1314-'Parameter Inputs'!E1314)*(60*30)</f>
        <v>61448609.056663528</v>
      </c>
      <c r="L1314" s="8">
        <f ca="1">'Parameter Inputs'!H178*'Parameter Inputs'!J1314*('Parameter Inputs'!G1314-'Parameter Inputs'!F1314)*(60*30)</f>
        <v>29888180.568175491</v>
      </c>
      <c r="M1314" s="8">
        <f ca="1">'Parameter Inputs'!J178*'Parameter Inputs'!I1314*('Parameter Inputs'!G1314-'Parameter Inputs'!E1314)*(60*30)</f>
        <v>62545905.646961093</v>
      </c>
      <c r="N1314" s="8">
        <f t="shared" ca="1" si="28"/>
        <v>153882695.2718001</v>
      </c>
      <c r="O1314" s="8">
        <v>1</v>
      </c>
      <c r="P1314" s="8">
        <f t="shared" ca="1" si="29"/>
        <v>153882695.2718001</v>
      </c>
      <c r="Q1314" s="8">
        <f ca="1">P1314*30</f>
        <v>4616480858.1540031</v>
      </c>
      <c r="R1314" s="8"/>
      <c r="S1314" s="8">
        <f ca="1">'Parameter Inputs'!E792*'Parameter Inputs'!$F$309</f>
        <v>25283.801978745334</v>
      </c>
      <c r="T1314" s="8">
        <v>4200</v>
      </c>
      <c r="U1314" s="103">
        <v>15.432098765432</v>
      </c>
      <c r="V1314" s="8">
        <v>35</v>
      </c>
      <c r="W1314" s="58">
        <f t="shared" ca="1" si="30"/>
        <v>2077953947.8087471</v>
      </c>
      <c r="X1314" s="58">
        <f ca="1">W1314*30</f>
        <v>62338618434.262413</v>
      </c>
      <c r="Y1314" s="58">
        <f t="shared" ca="1" si="31"/>
        <v>66955099292.416412</v>
      </c>
      <c r="Z1314" s="47">
        <f t="shared" ca="1" si="32"/>
        <v>18598.653571248844</v>
      </c>
      <c r="AA1314" s="8"/>
      <c r="AB1314" s="58"/>
    </row>
    <row r="1315" spans="4:43">
      <c r="D1315" s="8" t="s">
        <v>71</v>
      </c>
      <c r="E1315" s="8">
        <f>'Parameter Inputs'!E88</f>
        <v>10</v>
      </c>
      <c r="F1315" s="8">
        <f>'Parameter Inputs'!F88</f>
        <v>12.239902080783354</v>
      </c>
      <c r="G1315" s="8">
        <v>120</v>
      </c>
      <c r="H1315" s="50">
        <f ca="1">2*PI()*('Parameter Inputs'!K786/2)*'Parameter Inputs'!L786</f>
        <v>455.7825920239099</v>
      </c>
      <c r="I1315" s="50">
        <f ca="1">PI()*(('Parameter Inputs'!K786/2)^2)</f>
        <v>113.94564800597747</v>
      </c>
      <c r="J1315" s="50">
        <f t="shared" ca="1" si="27"/>
        <v>113.94564800597747</v>
      </c>
      <c r="K1315" s="8">
        <f ca="1">'Parameter Inputs'!F178*'Parameter Inputs'!H1315*('Parameter Inputs'!G1315-'Parameter Inputs'!E1315)*(60*30)</f>
        <v>63171467.254513904</v>
      </c>
      <c r="L1315" s="8">
        <f ca="1">'Parameter Inputs'!H178*'Parameter Inputs'!J1315*('Parameter Inputs'!G1315-'Parameter Inputs'!F1315)*(60*30)</f>
        <v>30942561.350213669</v>
      </c>
      <c r="M1315" s="8">
        <f ca="1">'Parameter Inputs'!J178*'Parameter Inputs'!I1315*('Parameter Inputs'!G1315-'Parameter Inputs'!E1315)*(60*30)</f>
        <v>64299529.169773087</v>
      </c>
      <c r="N1315" s="8">
        <f t="shared" ca="1" si="28"/>
        <v>158413557.77450067</v>
      </c>
      <c r="O1315" s="8">
        <v>1</v>
      </c>
      <c r="P1315" s="8">
        <f t="shared" ca="1" si="29"/>
        <v>158413557.77450067</v>
      </c>
      <c r="Q1315" s="8">
        <f ca="1">P1315*31</f>
        <v>4910820291.0095205</v>
      </c>
      <c r="R1315" s="8"/>
      <c r="S1315" s="8">
        <f ca="1">'Parameter Inputs'!E792*'Parameter Inputs'!$F$309</f>
        <v>25283.801978745334</v>
      </c>
      <c r="T1315" s="8">
        <v>4200</v>
      </c>
      <c r="U1315" s="103">
        <v>13.703703703703701</v>
      </c>
      <c r="V1315" s="8">
        <v>35</v>
      </c>
      <c r="W1315" s="58">
        <f t="shared" ca="1" si="30"/>
        <v>2261495621.4322214</v>
      </c>
      <c r="X1315" s="58">
        <f ca="1">W1315*31</f>
        <v>70106364264.398865</v>
      </c>
      <c r="Y1315" s="58">
        <f t="shared" ca="1" si="31"/>
        <v>75017184555.408386</v>
      </c>
      <c r="Z1315" s="47">
        <f t="shared" ca="1" si="32"/>
        <v>20838.12349143223</v>
      </c>
      <c r="AA1315" s="8"/>
      <c r="AB1315" s="58"/>
    </row>
    <row r="1316" spans="4:43">
      <c r="D1316" s="8" t="s">
        <v>72</v>
      </c>
      <c r="E1316" s="8">
        <f>'Parameter Inputs'!E90</f>
        <v>8</v>
      </c>
      <c r="F1316" s="8">
        <f>'Parameter Inputs'!F90</f>
        <v>9.7919216646266829</v>
      </c>
      <c r="G1316" s="8">
        <v>120</v>
      </c>
      <c r="H1316" s="50">
        <f ca="1">2*PI()*('Parameter Inputs'!K786/2)*'Parameter Inputs'!L786</f>
        <v>455.7825920239099</v>
      </c>
      <c r="I1316" s="50">
        <f ca="1">PI()*(('Parameter Inputs'!K786/2)^2)</f>
        <v>113.94564800597747</v>
      </c>
      <c r="J1316" s="50">
        <f t="shared" ca="1" si="27"/>
        <v>113.94564800597747</v>
      </c>
      <c r="K1316" s="8">
        <f ca="1">'Parameter Inputs'!F178*'Parameter Inputs'!H1316*('Parameter Inputs'!G1316-'Parameter Inputs'!E1316)*(60*30)</f>
        <v>64320039.386414163</v>
      </c>
      <c r="L1316" s="8">
        <f ca="1">'Parameter Inputs'!H178*'Parameter Inputs'!J1316*('Parameter Inputs'!G1316-'Parameter Inputs'!F1316)*(60*30)</f>
        <v>31645481.871572446</v>
      </c>
      <c r="M1316" s="8">
        <f ca="1">'Parameter Inputs'!J178*'Parameter Inputs'!I1316*('Parameter Inputs'!G1316-'Parameter Inputs'!E1316)*(60*30)</f>
        <v>65468611.518314414</v>
      </c>
      <c r="N1316" s="8">
        <f t="shared" ca="1" si="28"/>
        <v>161434132.77630103</v>
      </c>
      <c r="O1316" s="8">
        <v>1</v>
      </c>
      <c r="P1316" s="8">
        <f t="shared" ca="1" si="29"/>
        <v>161434132.77630103</v>
      </c>
      <c r="Q1316" s="8">
        <f ca="1">P1316*30</f>
        <v>4843023983.289031</v>
      </c>
      <c r="R1316" s="8"/>
      <c r="S1316" s="8">
        <f ca="1">'Parameter Inputs'!E792*'Parameter Inputs'!$F$309</f>
        <v>25283.801978745334</v>
      </c>
      <c r="T1316" s="8">
        <v>4200</v>
      </c>
      <c r="U1316" s="103">
        <v>12.469135802469101</v>
      </c>
      <c r="V1316" s="8">
        <v>35</v>
      </c>
      <c r="W1316" s="58">
        <f t="shared" ca="1" si="30"/>
        <v>2392596816.8775711</v>
      </c>
      <c r="X1316" s="58">
        <f ca="1">W1316*30</f>
        <v>71777904506.327133</v>
      </c>
      <c r="Y1316" s="58">
        <f t="shared" ca="1" si="31"/>
        <v>76620928489.616165</v>
      </c>
      <c r="Z1316" s="47">
        <f t="shared" ca="1" si="32"/>
        <v>21283.608273988597</v>
      </c>
      <c r="AA1316" s="8"/>
      <c r="AB1316" s="58"/>
    </row>
    <row r="1317" spans="4:43" ht="15" thickBot="1">
      <c r="D1317" s="53" t="s">
        <v>73</v>
      </c>
      <c r="E1317" s="53">
        <f>'Parameter Inputs'!E92</f>
        <v>6</v>
      </c>
      <c r="F1317" s="8">
        <f>'Parameter Inputs'!F92</f>
        <v>6.9686411149825789</v>
      </c>
      <c r="G1317" s="8">
        <v>120</v>
      </c>
      <c r="H1317" s="54">
        <f ca="1">2*PI()*('Parameter Inputs'!K786/2)*'Parameter Inputs'!L786</f>
        <v>455.7825920239099</v>
      </c>
      <c r="I1317" s="50">
        <f ca="1">PI()*(('Parameter Inputs'!K786/2)^2)</f>
        <v>113.94564800597747</v>
      </c>
      <c r="J1317" s="50">
        <f t="shared" ca="1" si="27"/>
        <v>113.94564800597747</v>
      </c>
      <c r="K1317" s="8">
        <f ca="1">'Parameter Inputs'!F178*'Parameter Inputs'!H1317*('Parameter Inputs'!G1317-'Parameter Inputs'!E1317)*(60*30)</f>
        <v>65468611.518314414</v>
      </c>
      <c r="L1317" s="8">
        <f ca="1">'Parameter Inputs'!H178*'Parameter Inputs'!J1317*('Parameter Inputs'!G1317-'Parameter Inputs'!F1317)*(60*30)</f>
        <v>32456167.211536761</v>
      </c>
      <c r="M1317" s="8">
        <f ca="1">'Parameter Inputs'!J178*'Parameter Inputs'!I1317*('Parameter Inputs'!G1317-'Parameter Inputs'!E1317)*(60*30)</f>
        <v>66637693.866855748</v>
      </c>
      <c r="N1317" s="53">
        <f t="shared" ca="1" si="28"/>
        <v>164562472.59670693</v>
      </c>
      <c r="O1317" s="8">
        <v>1</v>
      </c>
      <c r="P1317" s="53">
        <f t="shared" ca="1" si="29"/>
        <v>164562472.59670693</v>
      </c>
      <c r="Q1317" s="53">
        <f ca="1">P1317*31</f>
        <v>5101436650.4979143</v>
      </c>
      <c r="R1317" s="53"/>
      <c r="S1317" s="53">
        <f ca="1">'Parameter Inputs'!E792*'Parameter Inputs'!$F$309</f>
        <v>25283.801978745334</v>
      </c>
      <c r="T1317" s="53">
        <v>4200</v>
      </c>
      <c r="U1317" s="53">
        <v>12.468999999999999</v>
      </c>
      <c r="V1317" s="53">
        <v>35</v>
      </c>
      <c r="W1317" s="104">
        <f t="shared" ca="1" si="30"/>
        <v>2392611238.0090666</v>
      </c>
      <c r="X1317" s="104">
        <f ca="1">W1317*31</f>
        <v>74170948378.281067</v>
      </c>
      <c r="Y1317" s="104">
        <f t="shared" ca="1" si="31"/>
        <v>79272385028.778976</v>
      </c>
      <c r="Z1317" s="56">
        <f t="shared" ca="1" si="32"/>
        <v>22020.124568524167</v>
      </c>
      <c r="AA1317" s="53"/>
      <c r="AB1317" s="104"/>
    </row>
    <row r="1318" spans="4:43" ht="15" thickTop="1">
      <c r="D1318" s="14" t="s">
        <v>477</v>
      </c>
      <c r="H1318" s="105"/>
      <c r="I1318" s="105"/>
      <c r="J1318" s="105"/>
      <c r="X1318" s="106"/>
      <c r="Y1318" s="106"/>
      <c r="Z1318" s="91">
        <f ca="1">SUM(Z1306:Z1317)</f>
        <v>234561.50651882184</v>
      </c>
      <c r="AA1318" s="91">
        <f ca="1">SUM(Z1306:Z1317)</f>
        <v>234561.50651882184</v>
      </c>
      <c r="AC1318" s="106"/>
    </row>
    <row r="1319" spans="4:43">
      <c r="H1319" s="105"/>
      <c r="I1319" s="105"/>
      <c r="J1319" s="105"/>
      <c r="X1319" s="106">
        <f ca="1">W1306+P1306</f>
        <v>2714480724.0086946</v>
      </c>
      <c r="Y1319" s="106"/>
      <c r="Z1319" s="91">
        <f ca="1">'Parameter Inputs'!E1229</f>
        <v>12967894.342601297</v>
      </c>
    </row>
    <row r="1320" spans="4:43">
      <c r="D1320" s="5" t="s">
        <v>1</v>
      </c>
      <c r="Z1320" s="91">
        <f ca="1">Z1319-Z1318</f>
        <v>12733332.836082475</v>
      </c>
    </row>
    <row r="1321" spans="4:43">
      <c r="D1321" s="5" t="s">
        <v>452</v>
      </c>
    </row>
    <row r="1322" spans="4:43">
      <c r="D1322" s="8" t="s">
        <v>74</v>
      </c>
      <c r="E1322" s="8" t="s">
        <v>117</v>
      </c>
      <c r="F1322" s="8" t="s">
        <v>149</v>
      </c>
      <c r="G1322" s="8" t="s">
        <v>118</v>
      </c>
      <c r="H1322" s="8" t="s">
        <v>122</v>
      </c>
      <c r="I1322" s="8" t="s">
        <v>123</v>
      </c>
      <c r="J1322" s="8" t="s">
        <v>121</v>
      </c>
      <c r="K1322" s="8" t="s">
        <v>150</v>
      </c>
      <c r="L1322" s="8" t="s">
        <v>151</v>
      </c>
      <c r="M1322" s="8" t="s">
        <v>152</v>
      </c>
      <c r="N1322" s="8" t="s">
        <v>154</v>
      </c>
      <c r="O1322" s="8" t="s">
        <v>411</v>
      </c>
      <c r="P1322" s="8" t="s">
        <v>450</v>
      </c>
      <c r="Q1322" s="8" t="s">
        <v>453</v>
      </c>
      <c r="R1322" s="8" t="s">
        <v>157</v>
      </c>
      <c r="S1322" s="8"/>
      <c r="T1322" s="8" t="s">
        <v>451</v>
      </c>
      <c r="U1322" s="8" t="s">
        <v>119</v>
      </c>
      <c r="V1322" s="8" t="s">
        <v>120</v>
      </c>
      <c r="W1322" s="8" t="s">
        <v>153</v>
      </c>
      <c r="X1322" s="8" t="s">
        <v>469</v>
      </c>
      <c r="Y1322" s="8" t="s">
        <v>470</v>
      </c>
      <c r="Z1322" s="8" t="s">
        <v>471</v>
      </c>
      <c r="AA1322" s="8" t="s">
        <v>472</v>
      </c>
      <c r="AB1322" s="8" t="s">
        <v>473</v>
      </c>
      <c r="AC1322" s="8" t="s">
        <v>410</v>
      </c>
      <c r="AF1322" s="5" t="s">
        <v>787</v>
      </c>
      <c r="AI1322" s="5" t="s">
        <v>788</v>
      </c>
      <c r="AL1322" s="5" t="s">
        <v>793</v>
      </c>
      <c r="AM1322" s="5" t="s">
        <v>794</v>
      </c>
      <c r="AN1322" s="5" t="s">
        <v>795</v>
      </c>
      <c r="AO1322" s="5" t="s">
        <v>796</v>
      </c>
      <c r="AP1322" s="5" t="s">
        <v>797</v>
      </c>
      <c r="AQ1322" s="5" t="s">
        <v>798</v>
      </c>
    </row>
    <row r="1323" spans="4:43">
      <c r="D1323" s="8" t="s">
        <v>62</v>
      </c>
      <c r="E1323" s="8">
        <f>'Parameter Inputs'!E70</f>
        <v>6</v>
      </c>
      <c r="F1323" s="8">
        <f>'Parameter Inputs'!F70</f>
        <v>6.9686411149825789</v>
      </c>
      <c r="G1323" s="8">
        <v>35</v>
      </c>
      <c r="H1323" s="50">
        <f ca="1">2*PI()*('Parameter Inputs'!$K$786/2)*'Parameter Inputs'!$L$786</f>
        <v>455.7825920239099</v>
      </c>
      <c r="I1323" s="50">
        <f ca="1">PI()*(('Parameter Inputs'!$K$786/2)^2)</f>
        <v>113.94564800597747</v>
      </c>
      <c r="J1323" s="50">
        <f t="shared" ref="J1323:J1334" ca="1" si="33">I1323</f>
        <v>113.94564800597747</v>
      </c>
      <c r="K1323" s="8">
        <f ca="1">'Parameter Inputs'!$F$180*'Parameter Inputs'!H1323*('Parameter Inputs'!G1323-'Parameter Inputs'!E1323)*86400</f>
        <v>799406203.80257607</v>
      </c>
      <c r="L1323" s="8">
        <f ca="1">'Parameter Inputs'!$H$180*'Parameter Inputs'!J1323*('Parameter Inputs'!G1323-'Parameter Inputs'!F1323)*86400</f>
        <v>386352451.61550671</v>
      </c>
      <c r="M1323" s="8">
        <f ca="1">'Parameter Inputs'!$J$180*'Parameter Inputs'!I1323*('Parameter Inputs'!G1323-'Parameter Inputs'!E1323)*86400</f>
        <v>813681314.58476484</v>
      </c>
      <c r="N1323" s="8">
        <f t="shared" ref="N1323:N1334" ca="1" si="34">K1323+L1323+M1323</f>
        <v>1999439970.0028477</v>
      </c>
      <c r="O1323" s="8">
        <f>'Parameter Inputs'!I786</f>
        <v>5</v>
      </c>
      <c r="P1323" s="8">
        <f t="shared" ref="P1323:P1334" ca="1" si="35">N1323*O1323</f>
        <v>9997199850.0142384</v>
      </c>
      <c r="Q1323" s="8">
        <f ca="1">P1323*31</f>
        <v>309913195350.44141</v>
      </c>
      <c r="R1323" s="8">
        <f ca="1">N1323*'Parameter Inputs'!$F$411</f>
        <v>9997199850.0142384</v>
      </c>
      <c r="S1323" s="8"/>
      <c r="T1323" s="8">
        <f ca="1">'Parameter Inputs'!H1064</f>
        <v>1247696.5896061466</v>
      </c>
      <c r="U1323" s="8">
        <v>4200</v>
      </c>
      <c r="V1323" s="103">
        <v>10.9876543209876</v>
      </c>
      <c r="W1323" s="8">
        <v>35</v>
      </c>
      <c r="X1323" s="58">
        <f t="shared" ref="X1323:X1334" ca="1" si="36">T1323*U1323*(W1323-V1323)</f>
        <v>125832511611.02017</v>
      </c>
      <c r="Y1323" s="58">
        <f ca="1">X1323*31</f>
        <v>3900807859941.6255</v>
      </c>
      <c r="Z1323" s="58">
        <f t="shared" ref="Z1323:Z1334" ca="1" si="37">Y1323+Q1323</f>
        <v>4210721055292.0669</v>
      </c>
      <c r="AA1323" s="47">
        <f ca="1">(0.000000277778)*Z1323</f>
        <v>1169645.6732969198</v>
      </c>
      <c r="AB1323" s="8"/>
      <c r="AC1323" s="58">
        <f ca="1">(X1323+R1323)/'Parameter Inputs'!$F$439</f>
        <v>156126105127.62576</v>
      </c>
      <c r="AF1323" s="106">
        <f ca="1">((X1323+N1323)*0.000001)/24</f>
        <v>5326.3313158759593</v>
      </c>
      <c r="AL1323" s="5">
        <f ca="1">'Parameter Inputs'!H1065</f>
        <v>1247.6965896061465</v>
      </c>
      <c r="AM1323" s="5">
        <f ca="1">AL1323/1000</f>
        <v>1.2476965896061465</v>
      </c>
      <c r="AN1323" s="5">
        <f>1000*1000</f>
        <v>1000000</v>
      </c>
      <c r="AO1323" s="5">
        <f>AM1330</f>
        <v>106.02875205865553</v>
      </c>
      <c r="AP1323" s="5">
        <f>AO1323*4200</f>
        <v>445320.75864635321</v>
      </c>
      <c r="AQ1323" s="5">
        <f>AP1323*(35-10)</f>
        <v>11133018.96615883</v>
      </c>
    </row>
    <row r="1324" spans="4:43">
      <c r="D1324" s="8" t="s">
        <v>63</v>
      </c>
      <c r="E1324" s="8">
        <f>'Parameter Inputs'!E72</f>
        <v>5</v>
      </c>
      <c r="F1324" s="8">
        <f>'Parameter Inputs'!F72</f>
        <v>5.8072009291521489</v>
      </c>
      <c r="G1324" s="8">
        <v>35</v>
      </c>
      <c r="H1324" s="50">
        <f ca="1">2*PI()*('Parameter Inputs'!$K$786/2)*'Parameter Inputs'!$L$786</f>
        <v>455.7825920239099</v>
      </c>
      <c r="I1324" s="50">
        <f ca="1">PI()*(('Parameter Inputs'!$K$786/2)^2)</f>
        <v>113.94564800597747</v>
      </c>
      <c r="J1324" s="50">
        <f t="shared" ca="1" si="33"/>
        <v>113.94564800597747</v>
      </c>
      <c r="K1324" s="8">
        <f ca="1">'Parameter Inputs'!$F$180*'Parameter Inputs'!H1324*('Parameter Inputs'!G1324-'Parameter Inputs'!E1324)*86400</f>
        <v>826971934.96818197</v>
      </c>
      <c r="L1324" s="8">
        <f ca="1">'Parameter Inputs'!$H$180*'Parameter Inputs'!J1324*('Parameter Inputs'!G1324-'Parameter Inputs'!F1324)*86400</f>
        <v>402360425.57927322</v>
      </c>
      <c r="M1324" s="8">
        <f ca="1">'Parameter Inputs'!$J$180*'Parameter Inputs'!I1324*('Parameter Inputs'!G1324-'Parameter Inputs'!E1324)*86400</f>
        <v>841739290.94975674</v>
      </c>
      <c r="N1324" s="8">
        <f t="shared" ca="1" si="34"/>
        <v>2071071651.4972119</v>
      </c>
      <c r="O1324" s="8">
        <f>'Parameter Inputs'!I786</f>
        <v>5</v>
      </c>
      <c r="P1324" s="8">
        <f t="shared" ca="1" si="35"/>
        <v>10355358257.486059</v>
      </c>
      <c r="Q1324" s="8">
        <f ca="1">P1324*28</f>
        <v>289950031209.60968</v>
      </c>
      <c r="R1324" s="8">
        <f ca="1">N1324*'Parameter Inputs'!$F$411</f>
        <v>10355358257.486059</v>
      </c>
      <c r="S1324" s="8"/>
      <c r="T1324" s="8">
        <f ca="1">'Parameter Inputs'!H1064</f>
        <v>1247696.5896061466</v>
      </c>
      <c r="U1324" s="8">
        <v>4200</v>
      </c>
      <c r="V1324" s="103">
        <v>11.8518518518518</v>
      </c>
      <c r="W1324" s="8">
        <v>35</v>
      </c>
      <c r="X1324" s="58">
        <f t="shared" ca="1" si="36"/>
        <v>121303835100.59787</v>
      </c>
      <c r="Y1324" s="58">
        <f ca="1">X1324*28</f>
        <v>3396507382816.7402</v>
      </c>
      <c r="Z1324" s="58">
        <f t="shared" ca="1" si="37"/>
        <v>3686457414026.3501</v>
      </c>
      <c r="AA1324" s="47">
        <f t="shared" ref="AA1324:AA1334" ca="1" si="38">(0.000000277778)*Z1324</f>
        <v>1024016.7675534114</v>
      </c>
      <c r="AB1324" s="8"/>
      <c r="AC1324" s="58">
        <f ca="1">(X1324+R1324)/'Parameter Inputs'!$F$439</f>
        <v>151332406158.71716</v>
      </c>
      <c r="AQ1324" s="5">
        <f ca="1">N1323/(60*60*24)</f>
        <v>23141.666319477405</v>
      </c>
    </row>
    <row r="1325" spans="4:43">
      <c r="D1325" s="8" t="s">
        <v>64</v>
      </c>
      <c r="E1325" s="8">
        <f>'Parameter Inputs'!E74</f>
        <v>7</v>
      </c>
      <c r="F1325" s="8">
        <f>'Parameter Inputs'!F74</f>
        <v>7.9006772009029342</v>
      </c>
      <c r="G1325" s="8">
        <v>35</v>
      </c>
      <c r="H1325" s="50">
        <f ca="1">2*PI()*('Parameter Inputs'!$K$786/2)*'Parameter Inputs'!$L$786</f>
        <v>455.7825920239099</v>
      </c>
      <c r="I1325" s="50">
        <f ca="1">PI()*(('Parameter Inputs'!$K$786/2)^2)</f>
        <v>113.94564800597747</v>
      </c>
      <c r="J1325" s="50">
        <f t="shared" ca="1" si="33"/>
        <v>113.94564800597747</v>
      </c>
      <c r="K1325" s="8">
        <f ca="1">'Parameter Inputs'!$F$180*'Parameter Inputs'!H1325*('Parameter Inputs'!G1325-'Parameter Inputs'!E1325)*86400</f>
        <v>771840472.63696992</v>
      </c>
      <c r="L1325" s="8">
        <f ca="1">'Parameter Inputs'!$H$180*'Parameter Inputs'!J1325*('Parameter Inputs'!G1325-'Parameter Inputs'!F1325)*86400</f>
        <v>373506323.5249446</v>
      </c>
      <c r="M1325" s="8">
        <f ca="1">'Parameter Inputs'!$J$180*'Parameter Inputs'!I1325*('Parameter Inputs'!G1325-'Parameter Inputs'!E1325)*86400</f>
        <v>785623338.21977293</v>
      </c>
      <c r="N1325" s="8">
        <f t="shared" ca="1" si="34"/>
        <v>1930970134.3816876</v>
      </c>
      <c r="O1325" s="8">
        <f>'Parameter Inputs'!I786</f>
        <v>5</v>
      </c>
      <c r="P1325" s="8">
        <f t="shared" ca="1" si="35"/>
        <v>9654850671.9084377</v>
      </c>
      <c r="Q1325" s="8">
        <f ca="1">P1325*31</f>
        <v>299300370829.16156</v>
      </c>
      <c r="R1325" s="8">
        <f ca="1">N1325*'Parameter Inputs'!$F$411</f>
        <v>9654850671.9084377</v>
      </c>
      <c r="S1325" s="8"/>
      <c r="T1325" s="8">
        <f ca="1">'Parameter Inputs'!H1064</f>
        <v>1247696.5896061466</v>
      </c>
      <c r="U1325" s="8">
        <v>4200</v>
      </c>
      <c r="V1325" s="103">
        <v>12.592592592592499</v>
      </c>
      <c r="W1325" s="8">
        <v>35</v>
      </c>
      <c r="X1325" s="58">
        <f t="shared" ca="1" si="36"/>
        <v>117422112377.37895</v>
      </c>
      <c r="Y1325" s="58">
        <f ca="1">X1325*31</f>
        <v>3640085483698.7476</v>
      </c>
      <c r="Z1325" s="58">
        <f t="shared" ca="1" si="37"/>
        <v>3939385854527.9092</v>
      </c>
      <c r="AA1325" s="47">
        <f t="shared" ca="1" si="38"/>
        <v>1094274.7238990534</v>
      </c>
      <c r="AB1325" s="8"/>
      <c r="AC1325" s="58">
        <f ca="1">(X1325+R1325)/'Parameter Inputs'!$F$439</f>
        <v>146065474769.29584</v>
      </c>
      <c r="AF1325" s="5" t="s">
        <v>780</v>
      </c>
      <c r="AG1325" s="5">
        <v>90</v>
      </c>
      <c r="AQ1325" s="106">
        <f ca="1">X1323/(60*60*24)</f>
        <v>1456394.8103127335</v>
      </c>
    </row>
    <row r="1326" spans="4:43">
      <c r="D1326" s="8" t="s">
        <v>65</v>
      </c>
      <c r="E1326" s="8">
        <f>'Parameter Inputs'!E76</f>
        <v>8</v>
      </c>
      <c r="F1326" s="8">
        <f>'Parameter Inputs'!F76</f>
        <v>9.0293453724604973</v>
      </c>
      <c r="G1326" s="8">
        <v>35</v>
      </c>
      <c r="H1326" s="50">
        <f ca="1">2*PI()*('Parameter Inputs'!$K$786/2)*'Parameter Inputs'!$L$786</f>
        <v>455.7825920239099</v>
      </c>
      <c r="I1326" s="50">
        <f ca="1">PI()*(('Parameter Inputs'!$K$786/2)^2)</f>
        <v>113.94564800597747</v>
      </c>
      <c r="J1326" s="50">
        <f t="shared" ca="1" si="33"/>
        <v>113.94564800597747</v>
      </c>
      <c r="K1326" s="8">
        <f ca="1">'Parameter Inputs'!$F$180*'Parameter Inputs'!H1326*('Parameter Inputs'!G1326-'Parameter Inputs'!E1326)*86400</f>
        <v>744274741.4713639</v>
      </c>
      <c r="L1326" s="8">
        <f ca="1">'Parameter Inputs'!$H$180*'Parameter Inputs'!J1326*('Parameter Inputs'!G1326-'Parameter Inputs'!F1326)*86400</f>
        <v>357950041.82877862</v>
      </c>
      <c r="M1326" s="8">
        <f ca="1">'Parameter Inputs'!$J$180*'Parameter Inputs'!I1326*('Parameter Inputs'!G1326-'Parameter Inputs'!E1326)*86400</f>
        <v>757565361.85478115</v>
      </c>
      <c r="N1326" s="8">
        <f t="shared" ca="1" si="34"/>
        <v>1859790145.1549237</v>
      </c>
      <c r="O1326" s="8">
        <f>'Parameter Inputs'!I786</f>
        <v>5</v>
      </c>
      <c r="P1326" s="8">
        <f t="shared" ca="1" si="35"/>
        <v>9298950725.7746181</v>
      </c>
      <c r="Q1326" s="8">
        <f ca="1">P1326*30</f>
        <v>278968521773.23853</v>
      </c>
      <c r="R1326" s="8">
        <f ca="1">N1326*'Parameter Inputs'!$F$411</f>
        <v>9298950725.7746181</v>
      </c>
      <c r="S1326" s="8"/>
      <c r="T1326" s="8">
        <f ca="1">'Parameter Inputs'!H1064</f>
        <v>1247696.5896061466</v>
      </c>
      <c r="U1326" s="8">
        <v>4200</v>
      </c>
      <c r="V1326" s="103">
        <v>15.1851851851851</v>
      </c>
      <c r="W1326" s="8">
        <v>35</v>
      </c>
      <c r="X1326" s="58">
        <f t="shared" ca="1" si="36"/>
        <v>103836082846.11198</v>
      </c>
      <c r="Y1326" s="58">
        <f ca="1">X1326*30</f>
        <v>3115082485383.3594</v>
      </c>
      <c r="Z1326" s="58">
        <f t="shared" ca="1" si="37"/>
        <v>3394051007156.5977</v>
      </c>
      <c r="AA1326" s="47">
        <f t="shared" ca="1" si="38"/>
        <v>942792.7006659453</v>
      </c>
      <c r="AB1326" s="8"/>
      <c r="AC1326" s="58">
        <f ca="1">(X1326+R1326)/'Parameter Inputs'!$F$439</f>
        <v>130040268473.43288</v>
      </c>
      <c r="AF1326" s="5" t="s">
        <v>781</v>
      </c>
      <c r="AG1326" s="5">
        <v>40</v>
      </c>
      <c r="AQ1326" s="91">
        <f ca="1">AQ1325+AQ1324</f>
        <v>1479536.4766322109</v>
      </c>
    </row>
    <row r="1327" spans="4:43">
      <c r="D1327" s="8" t="s">
        <v>66</v>
      </c>
      <c r="E1327" s="8">
        <f>'Parameter Inputs'!E78</f>
        <v>11</v>
      </c>
      <c r="F1327" s="8">
        <f>'Parameter Inputs'!F78</f>
        <v>12.415349887133182</v>
      </c>
      <c r="G1327" s="8">
        <v>35</v>
      </c>
      <c r="H1327" s="50">
        <f ca="1">2*PI()*('Parameter Inputs'!$K$786/2)*'Parameter Inputs'!$L$786</f>
        <v>455.7825920239099</v>
      </c>
      <c r="I1327" s="50">
        <f ca="1">PI()*(('Parameter Inputs'!$K$786/2)^2)</f>
        <v>113.94564800597747</v>
      </c>
      <c r="J1327" s="50">
        <f t="shared" ca="1" si="33"/>
        <v>113.94564800597747</v>
      </c>
      <c r="K1327" s="8">
        <f ca="1">'Parameter Inputs'!$F$180*'Parameter Inputs'!H1327*('Parameter Inputs'!G1327-'Parameter Inputs'!E1327)*86400</f>
        <v>661577547.97454572</v>
      </c>
      <c r="L1327" s="8">
        <f ca="1">'Parameter Inputs'!$H$180*'Parameter Inputs'!J1327*('Parameter Inputs'!G1327-'Parameter Inputs'!F1327)*86400</f>
        <v>311281196.74028075</v>
      </c>
      <c r="M1327" s="8">
        <f ca="1">'Parameter Inputs'!$J$180*'Parameter Inputs'!I1327*('Parameter Inputs'!G1327-'Parameter Inputs'!E1327)*86400</f>
        <v>673391432.75980544</v>
      </c>
      <c r="N1327" s="8">
        <f t="shared" ca="1" si="34"/>
        <v>1646250177.4746318</v>
      </c>
      <c r="O1327" s="8">
        <f>'Parameter Inputs'!I786</f>
        <v>5</v>
      </c>
      <c r="P1327" s="8">
        <f t="shared" ca="1" si="35"/>
        <v>8231250887.3731594</v>
      </c>
      <c r="Q1327" s="8">
        <f ca="1">P1327*31</f>
        <v>255168777508.56793</v>
      </c>
      <c r="R1327" s="8">
        <f ca="1">N1327*'Parameter Inputs'!$F$411</f>
        <v>8231250887.3731594</v>
      </c>
      <c r="S1327" s="8"/>
      <c r="T1327" s="8">
        <f ca="1">'Parameter Inputs'!H1064</f>
        <v>1247696.5896061466</v>
      </c>
      <c r="U1327" s="8">
        <v>4200</v>
      </c>
      <c r="V1327" s="103">
        <v>17.037037037036999</v>
      </c>
      <c r="W1327" s="8">
        <v>35</v>
      </c>
      <c r="X1327" s="58">
        <f t="shared" ca="1" si="36"/>
        <v>94131776038.063919</v>
      </c>
      <c r="Y1327" s="58">
        <f ca="1">X1327*31</f>
        <v>2918085057179.9814</v>
      </c>
      <c r="Z1327" s="58">
        <f t="shared" ca="1" si="37"/>
        <v>3173253834688.5493</v>
      </c>
      <c r="AA1327" s="47">
        <f t="shared" ca="1" si="38"/>
        <v>881460.10369211587</v>
      </c>
      <c r="AB1327" s="8"/>
      <c r="AC1327" s="58">
        <f ca="1">(X1327+R1327)/'Parameter Inputs'!$F$439</f>
        <v>117658651638.43341</v>
      </c>
      <c r="AF1327" s="5" t="s">
        <v>782</v>
      </c>
      <c r="AG1327" s="5">
        <v>10</v>
      </c>
    </row>
    <row r="1328" spans="4:43">
      <c r="D1328" s="8" t="s">
        <v>67</v>
      </c>
      <c r="E1328" s="8">
        <f>'Parameter Inputs'!E80</f>
        <v>13</v>
      </c>
      <c r="F1328" s="8">
        <f>'Parameter Inputs'!F80</f>
        <v>18.465909090909093</v>
      </c>
      <c r="G1328" s="8">
        <v>35</v>
      </c>
      <c r="H1328" s="50">
        <f ca="1">2*PI()*('Parameter Inputs'!$K$786/2)*'Parameter Inputs'!$L$786</f>
        <v>455.7825920239099</v>
      </c>
      <c r="I1328" s="50">
        <f ca="1">PI()*(('Parameter Inputs'!$K$786/2)^2)</f>
        <v>113.94564800597747</v>
      </c>
      <c r="J1328" s="50">
        <f t="shared" ca="1" si="33"/>
        <v>113.94564800597747</v>
      </c>
      <c r="K1328" s="8">
        <f ca="1">'Parameter Inputs'!$F$180*'Parameter Inputs'!H1328*('Parameter Inputs'!G1328-'Parameter Inputs'!E1328)*86400</f>
        <v>606446085.64333344</v>
      </c>
      <c r="L1328" s="8">
        <f ca="1">'Parameter Inputs'!$H$180*'Parameter Inputs'!J1328*('Parameter Inputs'!G1328-'Parameter Inputs'!F1328)*86400</f>
        <v>227887152.5338456</v>
      </c>
      <c r="M1328" s="8">
        <f ca="1">'Parameter Inputs'!$J$180*'Parameter Inputs'!I1328*('Parameter Inputs'!G1328-'Parameter Inputs'!E1328)*86400</f>
        <v>617275480.02982163</v>
      </c>
      <c r="N1328" s="8">
        <f t="shared" ca="1" si="34"/>
        <v>1451608718.2070007</v>
      </c>
      <c r="O1328" s="8">
        <f>'Parameter Inputs'!I786</f>
        <v>5</v>
      </c>
      <c r="P1328" s="8">
        <f t="shared" ca="1" si="35"/>
        <v>7258043591.0350037</v>
      </c>
      <c r="Q1328" s="8">
        <f ca="1">P1328*30</f>
        <v>217741307731.05011</v>
      </c>
      <c r="R1328" s="8">
        <f ca="1">N1328*'Parameter Inputs'!$F$411</f>
        <v>7258043591.0350037</v>
      </c>
      <c r="S1328" s="8"/>
      <c r="T1328" s="8">
        <f ca="1">'Parameter Inputs'!H1064</f>
        <v>1247696.5896061466</v>
      </c>
      <c r="U1328" s="8">
        <v>4200</v>
      </c>
      <c r="V1328" s="103">
        <v>18.148148148148099</v>
      </c>
      <c r="W1328" s="8">
        <v>35</v>
      </c>
      <c r="X1328" s="58">
        <f t="shared" ca="1" si="36"/>
        <v>88309191953.235306</v>
      </c>
      <c r="Y1328" s="58">
        <f ca="1">X1328*30</f>
        <v>2649275758597.0591</v>
      </c>
      <c r="Z1328" s="58">
        <f t="shared" ca="1" si="37"/>
        <v>2867017066328.1094</v>
      </c>
      <c r="AA1328" s="47">
        <f t="shared" ca="1" si="38"/>
        <v>796394.26665048953</v>
      </c>
      <c r="AB1328" s="8"/>
      <c r="AC1328" s="58">
        <f ca="1">(X1328+R1328)/'Parameter Inputs'!$F$439</f>
        <v>109847397177.32219</v>
      </c>
      <c r="AF1328" s="5" t="s">
        <v>783</v>
      </c>
      <c r="AG1328" s="5">
        <v>35</v>
      </c>
    </row>
    <row r="1329" spans="4:39">
      <c r="D1329" s="8" t="s">
        <v>68</v>
      </c>
      <c r="E1329" s="8">
        <f>'Parameter Inputs'!E82</f>
        <v>15</v>
      </c>
      <c r="F1329" s="8">
        <f>'Parameter Inputs'!F82</f>
        <v>21.306818181818183</v>
      </c>
      <c r="G1329" s="8">
        <v>35</v>
      </c>
      <c r="H1329" s="50">
        <f ca="1">2*PI()*('Parameter Inputs'!$K$786/2)*'Parameter Inputs'!$L$786</f>
        <v>455.7825920239099</v>
      </c>
      <c r="I1329" s="50">
        <f ca="1">PI()*(('Parameter Inputs'!$K$786/2)^2)</f>
        <v>113.94564800597747</v>
      </c>
      <c r="J1329" s="50">
        <f t="shared" ca="1" si="33"/>
        <v>113.94564800597747</v>
      </c>
      <c r="K1329" s="8">
        <f ca="1">'Parameter Inputs'!$F$180*'Parameter Inputs'!H1329*('Parameter Inputs'!G1329-'Parameter Inputs'!E1329)*86400</f>
        <v>551314623.31212139</v>
      </c>
      <c r="L1329" s="8">
        <f ca="1">'Parameter Inputs'!$H$180*'Parameter Inputs'!J1329*('Parameter Inputs'!G1329-'Parameter Inputs'!F1329)*86400</f>
        <v>188731284.40088242</v>
      </c>
      <c r="M1329" s="8">
        <f ca="1">'Parameter Inputs'!$J$180*'Parameter Inputs'!I1329*('Parameter Inputs'!G1329-'Parameter Inputs'!E1329)*86400</f>
        <v>561159527.29983783</v>
      </c>
      <c r="N1329" s="8">
        <f t="shared" ca="1" si="34"/>
        <v>1301205435.0128417</v>
      </c>
      <c r="O1329" s="8">
        <f>'Parameter Inputs'!I786</f>
        <v>5</v>
      </c>
      <c r="P1329" s="8">
        <f t="shared" ca="1" si="35"/>
        <v>6506027175.064209</v>
      </c>
      <c r="Q1329" s="8">
        <f ca="1">P1329*31</f>
        <v>201686842426.99048</v>
      </c>
      <c r="R1329" s="8">
        <f ca="1">N1329*'Parameter Inputs'!$F$411</f>
        <v>6506027175.064209</v>
      </c>
      <c r="S1329" s="8"/>
      <c r="T1329" s="8">
        <f ca="1">'Parameter Inputs'!H1064</f>
        <v>1247696.5896061466</v>
      </c>
      <c r="U1329" s="8">
        <v>4200</v>
      </c>
      <c r="V1329" s="103">
        <v>18.6419753086419</v>
      </c>
      <c r="W1329" s="8">
        <v>35</v>
      </c>
      <c r="X1329" s="58">
        <f t="shared" ca="1" si="36"/>
        <v>85721376804.422684</v>
      </c>
      <c r="Y1329" s="58">
        <f ca="1">X1329*31</f>
        <v>2657362680937.103</v>
      </c>
      <c r="Z1329" s="58">
        <f t="shared" ca="1" si="37"/>
        <v>2859049523364.0938</v>
      </c>
      <c r="AA1329" s="47">
        <f t="shared" ca="1" si="38"/>
        <v>794181.05850103125</v>
      </c>
      <c r="AB1329" s="8"/>
      <c r="AC1329" s="58">
        <f ca="1">(X1329+R1329)/'Parameter Inputs'!$F$439</f>
        <v>106008510321.2493</v>
      </c>
      <c r="AF1329" s="5" t="s">
        <v>784</v>
      </c>
      <c r="AG1329" s="86">
        <f>((AG1326-AG1328)-(AG1325-AG1327))/(LN(AG1331))</f>
        <v>27.050532016668065</v>
      </c>
      <c r="AL1329" s="5" t="s">
        <v>801</v>
      </c>
      <c r="AM1329" s="5">
        <f ca="1">AL1323*1000</f>
        <v>1247696.5896061466</v>
      </c>
    </row>
    <row r="1330" spans="4:39">
      <c r="D1330" s="8" t="s">
        <v>69</v>
      </c>
      <c r="E1330" s="8">
        <f>'Parameter Inputs'!E84</f>
        <v>15</v>
      </c>
      <c r="F1330" s="8">
        <f>'Parameter Inputs'!F84</f>
        <v>21.306818181818183</v>
      </c>
      <c r="G1330" s="8">
        <v>35</v>
      </c>
      <c r="H1330" s="50">
        <f ca="1">2*PI()*('Parameter Inputs'!$K$786/2)*'Parameter Inputs'!$L$786</f>
        <v>455.7825920239099</v>
      </c>
      <c r="I1330" s="50">
        <f ca="1">PI()*(('Parameter Inputs'!$K$786/2)^2)</f>
        <v>113.94564800597747</v>
      </c>
      <c r="J1330" s="50">
        <f t="shared" ca="1" si="33"/>
        <v>113.94564800597747</v>
      </c>
      <c r="K1330" s="8">
        <f ca="1">'Parameter Inputs'!$F$180*'Parameter Inputs'!H1330*('Parameter Inputs'!G1330-'Parameter Inputs'!E1330)*86400</f>
        <v>551314623.31212139</v>
      </c>
      <c r="L1330" s="8">
        <f ca="1">'Parameter Inputs'!$H$180*'Parameter Inputs'!J1330*('Parameter Inputs'!G1330-'Parameter Inputs'!F1330)*86400</f>
        <v>188731284.40088242</v>
      </c>
      <c r="M1330" s="8">
        <f ca="1">'Parameter Inputs'!$J$180*'Parameter Inputs'!I1330*('Parameter Inputs'!G1330-'Parameter Inputs'!E1330)*86400</f>
        <v>561159527.29983783</v>
      </c>
      <c r="N1330" s="8">
        <f t="shared" ca="1" si="34"/>
        <v>1301205435.0128417</v>
      </c>
      <c r="O1330" s="8">
        <f>'Parameter Inputs'!I786</f>
        <v>5</v>
      </c>
      <c r="P1330" s="8">
        <f t="shared" ca="1" si="35"/>
        <v>6506027175.064209</v>
      </c>
      <c r="Q1330" s="8">
        <f ca="1">P1330*31</f>
        <v>201686842426.99048</v>
      </c>
      <c r="R1330" s="8">
        <f ca="1">N1330*'Parameter Inputs'!$F$411</f>
        <v>6506027175.064209</v>
      </c>
      <c r="S1330" s="8"/>
      <c r="T1330" s="8">
        <f ca="1">'Parameter Inputs'!H1064</f>
        <v>1247696.5896061466</v>
      </c>
      <c r="U1330" s="8">
        <v>4200</v>
      </c>
      <c r="V1330" s="103">
        <v>17.7777777777777</v>
      </c>
      <c r="W1330" s="8">
        <v>35</v>
      </c>
      <c r="X1330" s="58">
        <f t="shared" ca="1" si="36"/>
        <v>90250053314.845001</v>
      </c>
      <c r="Y1330" s="58">
        <f ca="1">X1330*31</f>
        <v>2797751652760.1948</v>
      </c>
      <c r="Z1330" s="58">
        <f t="shared" ca="1" si="37"/>
        <v>2999438495187.1855</v>
      </c>
      <c r="AA1330" s="47">
        <f t="shared" ca="1" si="38"/>
        <v>833178.02631610597</v>
      </c>
      <c r="AB1330" s="8"/>
      <c r="AC1330" s="58">
        <f ca="1">(X1330+R1330)/'Parameter Inputs'!$F$439</f>
        <v>111213885620.5853</v>
      </c>
      <c r="AL1330" s="5" t="s">
        <v>799</v>
      </c>
      <c r="AM1330" s="5">
        <f>(1000)*(PI()*(0.15^2)*(1.5))</f>
        <v>106.02875205865553</v>
      </c>
    </row>
    <row r="1331" spans="4:39">
      <c r="D1331" s="8" t="s">
        <v>70</v>
      </c>
      <c r="E1331" s="8">
        <f>'Parameter Inputs'!E86</f>
        <v>13</v>
      </c>
      <c r="F1331" s="8">
        <f>'Parameter Inputs'!F86</f>
        <v>15.911872705018361</v>
      </c>
      <c r="G1331" s="8">
        <v>35</v>
      </c>
      <c r="H1331" s="50">
        <f ca="1">2*PI()*('Parameter Inputs'!$K$786/2)*'Parameter Inputs'!$L$786</f>
        <v>455.7825920239099</v>
      </c>
      <c r="I1331" s="50">
        <f ca="1">PI()*(('Parameter Inputs'!$K$786/2)^2)</f>
        <v>113.94564800597747</v>
      </c>
      <c r="J1331" s="50">
        <f t="shared" ca="1" si="33"/>
        <v>113.94564800597747</v>
      </c>
      <c r="K1331" s="8">
        <f ca="1">'Parameter Inputs'!$F$180*'Parameter Inputs'!H1331*('Parameter Inputs'!G1331-'Parameter Inputs'!E1331)*86400</f>
        <v>606446085.64333344</v>
      </c>
      <c r="L1331" s="8">
        <f ca="1">'Parameter Inputs'!$H$180*'Parameter Inputs'!J1331*('Parameter Inputs'!G1331-'Parameter Inputs'!F1331)*86400</f>
        <v>263089092.73416561</v>
      </c>
      <c r="M1331" s="8">
        <f ca="1">'Parameter Inputs'!$J$180*'Parameter Inputs'!I1331*('Parameter Inputs'!G1331-'Parameter Inputs'!E1331)*86400</f>
        <v>617275480.02982163</v>
      </c>
      <c r="N1331" s="8">
        <f t="shared" ca="1" si="34"/>
        <v>1486810658.4073207</v>
      </c>
      <c r="O1331" s="8">
        <f>'Parameter Inputs'!I786</f>
        <v>5</v>
      </c>
      <c r="P1331" s="8">
        <f t="shared" ca="1" si="35"/>
        <v>7434053292.0366039</v>
      </c>
      <c r="Q1331" s="8">
        <f ca="1">P1331*30</f>
        <v>223021598761.09811</v>
      </c>
      <c r="R1331" s="8">
        <f ca="1">N1331*'Parameter Inputs'!$F$411</f>
        <v>7434053292.0366039</v>
      </c>
      <c r="S1331" s="8"/>
      <c r="T1331" s="8">
        <f ca="1">'Parameter Inputs'!H1064</f>
        <v>1247696.5896061466</v>
      </c>
      <c r="U1331" s="8">
        <v>4200</v>
      </c>
      <c r="V1331" s="103">
        <v>15.432098765432</v>
      </c>
      <c r="W1331" s="8">
        <v>35</v>
      </c>
      <c r="X1331" s="58">
        <f t="shared" ca="1" si="36"/>
        <v>102542175271.70566</v>
      </c>
      <c r="Y1331" s="58">
        <f ca="1">X1331*30</f>
        <v>3076265258151.1699</v>
      </c>
      <c r="Z1331" s="58">
        <f t="shared" ca="1" si="37"/>
        <v>3299286856912.2681</v>
      </c>
      <c r="AA1331" s="47">
        <f t="shared" ca="1" si="38"/>
        <v>916469.30453937594</v>
      </c>
      <c r="AB1331" s="8"/>
      <c r="AC1331" s="58">
        <f ca="1">(X1331+R1331)/'Parameter Inputs'!$F$439</f>
        <v>126409458119.24399</v>
      </c>
      <c r="AG1331" s="5">
        <f>(AG1326-AG1328)/(AG1325-AG1327)</f>
        <v>6.25E-2</v>
      </c>
      <c r="AL1331" s="5" t="s">
        <v>802</v>
      </c>
      <c r="AM1331" s="5">
        <f ca="1">AM1329/AM1330</f>
        <v>11767.530649761075</v>
      </c>
    </row>
    <row r="1332" spans="4:39">
      <c r="D1332" s="8" t="s">
        <v>71</v>
      </c>
      <c r="E1332" s="8">
        <f>'Parameter Inputs'!E88</f>
        <v>10</v>
      </c>
      <c r="F1332" s="8">
        <f>'Parameter Inputs'!F88</f>
        <v>12.239902080783354</v>
      </c>
      <c r="G1332" s="8">
        <v>35</v>
      </c>
      <c r="H1332" s="50">
        <f ca="1">2*PI()*('Parameter Inputs'!$K$786/2)*'Parameter Inputs'!$L$786</f>
        <v>455.7825920239099</v>
      </c>
      <c r="I1332" s="50">
        <f ca="1">PI()*(('Parameter Inputs'!$K$786/2)^2)</f>
        <v>113.94564800597747</v>
      </c>
      <c r="J1332" s="50">
        <f t="shared" ca="1" si="33"/>
        <v>113.94564800597747</v>
      </c>
      <c r="K1332" s="8">
        <f ca="1">'Parameter Inputs'!$F$180*'Parameter Inputs'!H1332*('Parameter Inputs'!G1332-'Parameter Inputs'!E1332)*86400</f>
        <v>689143279.14015174</v>
      </c>
      <c r="L1332" s="8">
        <f ca="1">'Parameter Inputs'!$H$180*'Parameter Inputs'!J1332*('Parameter Inputs'!G1332-'Parameter Inputs'!F1332)*86400</f>
        <v>313699370.27199811</v>
      </c>
      <c r="M1332" s="8">
        <f ca="1">'Parameter Inputs'!$J$180*'Parameter Inputs'!I1332*('Parameter Inputs'!G1332-'Parameter Inputs'!E1332)*86400</f>
        <v>701449409.12479734</v>
      </c>
      <c r="N1332" s="8">
        <f t="shared" ca="1" si="34"/>
        <v>1704292058.5369473</v>
      </c>
      <c r="O1332" s="8">
        <f>'Parameter Inputs'!I786</f>
        <v>5</v>
      </c>
      <c r="P1332" s="8">
        <f t="shared" ca="1" si="35"/>
        <v>8521460292.6847363</v>
      </c>
      <c r="Q1332" s="8">
        <f ca="1">P1332*31</f>
        <v>264165269073.22684</v>
      </c>
      <c r="R1332" s="8">
        <f ca="1">N1332*'Parameter Inputs'!$F$411</f>
        <v>8521460292.6847363</v>
      </c>
      <c r="S1332" s="8"/>
      <c r="T1332" s="8">
        <f ca="1">'Parameter Inputs'!H1064</f>
        <v>1247696.5896061466</v>
      </c>
      <c r="U1332" s="8">
        <v>4200</v>
      </c>
      <c r="V1332" s="103">
        <v>13.703703703703701</v>
      </c>
      <c r="W1332" s="8">
        <v>35</v>
      </c>
      <c r="X1332" s="58">
        <f t="shared" ca="1" si="36"/>
        <v>111599528292.54979</v>
      </c>
      <c r="Y1332" s="58">
        <f ca="1">X1332*31</f>
        <v>3459585377069.0435</v>
      </c>
      <c r="Z1332" s="58">
        <f t="shared" ca="1" si="37"/>
        <v>3723750646142.2705</v>
      </c>
      <c r="AA1332" s="47">
        <f t="shared" ca="1" si="38"/>
        <v>1034376.0069841075</v>
      </c>
      <c r="AB1332" s="8"/>
      <c r="AC1332" s="58">
        <f ca="1">(X1332+R1332)/'Parameter Inputs'!$F$439</f>
        <v>138070101822.10864</v>
      </c>
      <c r="AF1332" s="5" t="s">
        <v>785</v>
      </c>
      <c r="AG1332" s="5">
        <f>150/(3/1000)</f>
        <v>50000</v>
      </c>
      <c r="AH1332" s="5" t="s">
        <v>789</v>
      </c>
      <c r="AI1332" s="5" t="s">
        <v>790</v>
      </c>
      <c r="AL1332" s="5" t="s">
        <v>802</v>
      </c>
      <c r="AM1332" s="5">
        <f ca="1">AM1331/(60*60)</f>
        <v>3.2687585138225206</v>
      </c>
    </row>
    <row r="1333" spans="4:39">
      <c r="D1333" s="8" t="s">
        <v>72</v>
      </c>
      <c r="E1333" s="8">
        <f>'Parameter Inputs'!E90</f>
        <v>8</v>
      </c>
      <c r="F1333" s="8">
        <f>'Parameter Inputs'!F90</f>
        <v>9.7919216646266829</v>
      </c>
      <c r="G1333" s="8">
        <v>35</v>
      </c>
      <c r="H1333" s="50">
        <f ca="1">2*PI()*('Parameter Inputs'!$K$786/2)*'Parameter Inputs'!$L$786</f>
        <v>455.7825920239099</v>
      </c>
      <c r="I1333" s="50">
        <f ca="1">PI()*(('Parameter Inputs'!$K$786/2)^2)</f>
        <v>113.94564800597747</v>
      </c>
      <c r="J1333" s="50">
        <f t="shared" ca="1" si="33"/>
        <v>113.94564800597747</v>
      </c>
      <c r="K1333" s="8">
        <f ca="1">'Parameter Inputs'!$F$180*'Parameter Inputs'!H1333*('Parameter Inputs'!G1333-'Parameter Inputs'!E1333)*86400</f>
        <v>744274741.4713639</v>
      </c>
      <c r="L1333" s="8">
        <f ca="1">'Parameter Inputs'!$H$180*'Parameter Inputs'!J1333*('Parameter Inputs'!G1333-'Parameter Inputs'!F1333)*86400</f>
        <v>347439555.29721969</v>
      </c>
      <c r="M1333" s="8">
        <f ca="1">'Parameter Inputs'!$J$180*'Parameter Inputs'!I1333*('Parameter Inputs'!G1333-'Parameter Inputs'!E1333)*86400</f>
        <v>757565361.85478115</v>
      </c>
      <c r="N1333" s="8">
        <f t="shared" ca="1" si="34"/>
        <v>1849279658.6233647</v>
      </c>
      <c r="O1333" s="8">
        <f>'Parameter Inputs'!I786</f>
        <v>5</v>
      </c>
      <c r="P1333" s="8">
        <f t="shared" ca="1" si="35"/>
        <v>9246398293.1168232</v>
      </c>
      <c r="Q1333" s="8">
        <f ca="1">P1333*30</f>
        <v>277391948793.5047</v>
      </c>
      <c r="R1333" s="8">
        <f ca="1">N1333*'Parameter Inputs'!$F$411</f>
        <v>9246398293.1168232</v>
      </c>
      <c r="S1333" s="8"/>
      <c r="T1333" s="8">
        <f ca="1">'Parameter Inputs'!H1064</f>
        <v>1247696.5896061466</v>
      </c>
      <c r="U1333" s="8">
        <v>4200</v>
      </c>
      <c r="V1333" s="103">
        <v>12.469135802469101</v>
      </c>
      <c r="W1333" s="8">
        <v>35</v>
      </c>
      <c r="X1333" s="58">
        <f t="shared" ca="1" si="36"/>
        <v>118069066164.58183</v>
      </c>
      <c r="Y1333" s="58">
        <f ca="1">X1333*30</f>
        <v>3542071984937.4551</v>
      </c>
      <c r="Z1333" s="58">
        <f t="shared" ca="1" si="37"/>
        <v>3819463933730.96</v>
      </c>
      <c r="AA1333" s="47">
        <f t="shared" ca="1" si="38"/>
        <v>1060963.0525839184</v>
      </c>
      <c r="AB1333" s="8"/>
      <c r="AC1333" s="58">
        <f ca="1">(X1333+R1333)/'Parameter Inputs'!$F$439</f>
        <v>146339614319.19385</v>
      </c>
      <c r="AF1333" s="5" t="s">
        <v>786</v>
      </c>
      <c r="AG1333" s="91">
        <f ca="1">AF1323/(AG1332*AG1329)</f>
        <v>3.9380603032827359E-3</v>
      </c>
    </row>
    <row r="1334" spans="4:39" ht="15" thickBot="1">
      <c r="D1334" s="53" t="s">
        <v>73</v>
      </c>
      <c r="E1334" s="53">
        <f>'Parameter Inputs'!E92</f>
        <v>6</v>
      </c>
      <c r="F1334" s="53">
        <f>'Parameter Inputs'!F92</f>
        <v>6.9686411149825789</v>
      </c>
      <c r="G1334" s="53">
        <v>35</v>
      </c>
      <c r="H1334" s="54">
        <f ca="1">2*PI()*('Parameter Inputs'!$K$786/2)*'Parameter Inputs'!$L$786</f>
        <v>455.7825920239099</v>
      </c>
      <c r="I1334" s="54">
        <f ca="1">PI()*(('Parameter Inputs'!$K$786/2)^2)</f>
        <v>113.94564800597747</v>
      </c>
      <c r="J1334" s="54">
        <f t="shared" ca="1" si="33"/>
        <v>113.94564800597747</v>
      </c>
      <c r="K1334" s="53">
        <f ca="1">'Parameter Inputs'!$F$180*'Parameter Inputs'!H1334*('Parameter Inputs'!G1334-'Parameter Inputs'!E1334)*86400</f>
        <v>799406203.80257607</v>
      </c>
      <c r="L1334" s="53">
        <f ca="1">'Parameter Inputs'!$H$180*'Parameter Inputs'!J1334*('Parameter Inputs'!G1334-'Parameter Inputs'!F1334)*86400</f>
        <v>386352451.61550671</v>
      </c>
      <c r="M1334" s="53">
        <f ca="1">'Parameter Inputs'!$J$180*'Parameter Inputs'!I1334*('Parameter Inputs'!G1334-'Parameter Inputs'!E1334)*86400</f>
        <v>813681314.58476484</v>
      </c>
      <c r="N1334" s="53">
        <f t="shared" ca="1" si="34"/>
        <v>1999439970.0028477</v>
      </c>
      <c r="O1334" s="53">
        <f>'Parameter Inputs'!I786</f>
        <v>5</v>
      </c>
      <c r="P1334" s="53">
        <f t="shared" ca="1" si="35"/>
        <v>9997199850.0142384</v>
      </c>
      <c r="Q1334" s="53">
        <f ca="1">P1334*31</f>
        <v>309913195350.44141</v>
      </c>
      <c r="R1334" s="53">
        <f ca="1">N1334*'Parameter Inputs'!$F$411</f>
        <v>9997199850.0142384</v>
      </c>
      <c r="S1334" s="53"/>
      <c r="T1334" s="53">
        <f ca="1">'Parameter Inputs'!H1064</f>
        <v>1247696.5896061466</v>
      </c>
      <c r="U1334" s="53">
        <v>4200</v>
      </c>
      <c r="V1334" s="53">
        <v>12.468999999999999</v>
      </c>
      <c r="W1334" s="53">
        <v>35</v>
      </c>
      <c r="X1334" s="104">
        <f t="shared" ca="1" si="36"/>
        <v>118069777813.74757</v>
      </c>
      <c r="Y1334" s="104">
        <f ca="1">X1334*31</f>
        <v>3660163112226.1748</v>
      </c>
      <c r="Z1334" s="104">
        <f t="shared" ca="1" si="37"/>
        <v>3970076307576.6162</v>
      </c>
      <c r="AA1334" s="56">
        <f t="shared" ca="1" si="38"/>
        <v>1102799.8565660173</v>
      </c>
      <c r="AB1334" s="53"/>
      <c r="AC1334" s="104">
        <f ca="1">(X1334+R1334)/'Parameter Inputs'!$F$439</f>
        <v>147203422602.02505</v>
      </c>
      <c r="AG1334" s="5">
        <v>24</v>
      </c>
      <c r="AH1334" s="5">
        <f>(AG1334/(1000*1000))*(60*60)</f>
        <v>8.6400000000000005E-2</v>
      </c>
    </row>
    <row r="1335" spans="4:39" ht="15" thickTop="1">
      <c r="D1335" s="14" t="s">
        <v>477</v>
      </c>
      <c r="H1335" s="105"/>
      <c r="I1335" s="105"/>
      <c r="J1335" s="105"/>
      <c r="X1335" s="106"/>
      <c r="Y1335" s="106"/>
      <c r="Z1335" s="106"/>
      <c r="AA1335" s="86">
        <f ca="1">SUM(AA1323:AA1334)</f>
        <v>11650551.541248491</v>
      </c>
      <c r="AC1335" s="106"/>
      <c r="AF1335" s="5" t="s">
        <v>791</v>
      </c>
      <c r="AG1335" s="5">
        <v>850</v>
      </c>
    </row>
    <row r="1336" spans="4:39">
      <c r="H1336" s="105"/>
      <c r="I1336" s="105"/>
      <c r="J1336" s="105"/>
      <c r="X1336" s="106"/>
      <c r="Y1336" s="106"/>
      <c r="AA1336" s="86">
        <f ca="1">AA1335/('Parameter Inputs'!H1065*'Parameter Inputs'!H1066)</f>
        <v>25.582597209124014</v>
      </c>
    </row>
    <row r="1337" spans="4:39">
      <c r="D1337" s="5" t="s">
        <v>13</v>
      </c>
      <c r="X1337" s="86"/>
      <c r="Y1337" s="106"/>
      <c r="AF1337" s="5" t="s">
        <v>792</v>
      </c>
      <c r="AG1337" s="86">
        <f>AQ1323/(AG1335*AG1329)</f>
        <v>484.19267184397745</v>
      </c>
    </row>
    <row r="1338" spans="4:39">
      <c r="D1338" s="5" t="s">
        <v>452</v>
      </c>
      <c r="X1338" s="86"/>
      <c r="Y1338" s="106"/>
    </row>
    <row r="1339" spans="4:39">
      <c r="D1339" s="8" t="s">
        <v>74</v>
      </c>
      <c r="E1339" s="8" t="s">
        <v>117</v>
      </c>
      <c r="F1339" s="8" t="s">
        <v>149</v>
      </c>
      <c r="G1339" s="8" t="s">
        <v>454</v>
      </c>
      <c r="H1339" s="8" t="s">
        <v>122</v>
      </c>
      <c r="I1339" s="8" t="s">
        <v>123</v>
      </c>
      <c r="J1339" s="8" t="s">
        <v>121</v>
      </c>
      <c r="K1339" s="8" t="s">
        <v>150</v>
      </c>
      <c r="L1339" s="8" t="s">
        <v>151</v>
      </c>
      <c r="M1339" s="8" t="s">
        <v>152</v>
      </c>
      <c r="N1339" s="8" t="s">
        <v>154</v>
      </c>
      <c r="O1339" s="8" t="s">
        <v>411</v>
      </c>
      <c r="P1339" s="8" t="s">
        <v>450</v>
      </c>
      <c r="Q1339" s="8" t="s">
        <v>453</v>
      </c>
      <c r="R1339" s="8" t="s">
        <v>157</v>
      </c>
      <c r="S1339" s="8" t="s">
        <v>474</v>
      </c>
      <c r="T1339" s="8" t="s">
        <v>475</v>
      </c>
      <c r="Y1339" s="106"/>
    </row>
    <row r="1340" spans="4:39">
      <c r="D1340" s="8" t="s">
        <v>62</v>
      </c>
      <c r="E1340" s="8">
        <f>'Parameter Inputs'!E70</f>
        <v>6</v>
      </c>
      <c r="F1340" s="8">
        <f>'Parameter Inputs'!F70</f>
        <v>6.9686411149825789</v>
      </c>
      <c r="G1340" s="8">
        <v>25</v>
      </c>
      <c r="H1340" s="50">
        <f ca="1">2*PI()*('Parameter Inputs'!$K$787/2)*'Parameter Inputs'!$L$787</f>
        <v>216.8722084150117</v>
      </c>
      <c r="I1340" s="50">
        <f ca="1">PI()*(('Parameter Inputs'!$K$787/2)^2)</f>
        <v>54.218052103752925</v>
      </c>
      <c r="J1340" s="50">
        <f t="shared" ref="J1340:J1351" ca="1" si="39">I1340</f>
        <v>54.218052103752925</v>
      </c>
      <c r="K1340" s="8">
        <f ca="1">'Parameter Inputs'!$F$182*'Parameter Inputs'!H1340*('Parameter Inputs'!G1340-'Parameter Inputs'!E1340)*86400</f>
        <v>249212192.1338582</v>
      </c>
      <c r="L1340" s="8">
        <f ca="1">'Parameter Inputs'!$H$180*'Parameter Inputs'!J1340*('Parameter Inputs'!G1340-'Parameter Inputs'!F1340)*86400</f>
        <v>118253538.81282929</v>
      </c>
      <c r="M1340" s="8">
        <f ca="1">'Parameter Inputs'!$J$180*'Parameter Inputs'!I1340*('Parameter Inputs'!G1340-'Parameter Inputs'!E1340)*86400</f>
        <v>253662409.85053426</v>
      </c>
      <c r="N1340" s="8">
        <f t="shared" ref="N1340:N1351" ca="1" si="40">K1340+L1340+M1340</f>
        <v>621128140.79722166</v>
      </c>
      <c r="O1340" s="8">
        <f>'Parameter Inputs'!I787</f>
        <v>1</v>
      </c>
      <c r="P1340" s="8">
        <f t="shared" ref="P1340:P1351" ca="1" si="41">N1340*O1340</f>
        <v>621128140.79722166</v>
      </c>
      <c r="Q1340" s="8">
        <f ca="1">P1340*31</f>
        <v>19254972364.713871</v>
      </c>
      <c r="R1340" s="8">
        <f ca="1">N1340*'Parameter Inputs'!$F$411</f>
        <v>3105640703.9861083</v>
      </c>
      <c r="S1340" s="8">
        <f ca="1">Q1340/'Parameter Inputs'!$F$439</f>
        <v>22132152143.349277</v>
      </c>
      <c r="T1340" s="47">
        <f ca="1">(S1340*(0.000000277778))/'Parameter Inputs'!$F$439</f>
        <v>7066.465469052041</v>
      </c>
      <c r="X1340" s="106"/>
      <c r="Y1340" s="106"/>
    </row>
    <row r="1341" spans="4:39">
      <c r="D1341" s="8" t="s">
        <v>63</v>
      </c>
      <c r="E1341" s="8">
        <f>'Parameter Inputs'!E72</f>
        <v>5</v>
      </c>
      <c r="F1341" s="8">
        <f>'Parameter Inputs'!F72</f>
        <v>5.8072009291521489</v>
      </c>
      <c r="G1341" s="8">
        <v>25</v>
      </c>
      <c r="H1341" s="50">
        <f ca="1">2*PI()*('Parameter Inputs'!$K$787/2)*'Parameter Inputs'!$L$787</f>
        <v>216.8722084150117</v>
      </c>
      <c r="I1341" s="50">
        <f ca="1">PI()*(('Parameter Inputs'!$K$787/2)^2)</f>
        <v>54.218052103752925</v>
      </c>
      <c r="J1341" s="50">
        <f t="shared" ca="1" si="39"/>
        <v>54.218052103752925</v>
      </c>
      <c r="K1341" s="8">
        <f ca="1">'Parameter Inputs'!$F$182*'Parameter Inputs'!H1341*('Parameter Inputs'!G1341-'Parameter Inputs'!E1341)*86400</f>
        <v>262328623.29879811</v>
      </c>
      <c r="L1341" s="8">
        <f ca="1">'Parameter Inputs'!$H$180*'Parameter Inputs'!J1341*('Parameter Inputs'!G1341-'Parameter Inputs'!F1341)*86400</f>
        <v>125870513.93764922</v>
      </c>
      <c r="M1341" s="8">
        <f ca="1">'Parameter Inputs'!$J$180*'Parameter Inputs'!I1341*('Parameter Inputs'!G1341-'Parameter Inputs'!E1341)*86400</f>
        <v>267013063.0005624</v>
      </c>
      <c r="N1341" s="8">
        <f t="shared" ca="1" si="40"/>
        <v>655212200.23700976</v>
      </c>
      <c r="O1341" s="8">
        <f>'Parameter Inputs'!I787</f>
        <v>1</v>
      </c>
      <c r="P1341" s="8">
        <f t="shared" ca="1" si="41"/>
        <v>655212200.23700976</v>
      </c>
      <c r="Q1341" s="8">
        <f ca="1">P1341*28</f>
        <v>18345941606.636272</v>
      </c>
      <c r="R1341" s="8">
        <f ca="1">N1341*'Parameter Inputs'!$F$411</f>
        <v>3276061001.1850491</v>
      </c>
      <c r="S1341" s="8">
        <f ca="1">Q1341/'Parameter Inputs'!$F$439</f>
        <v>21087289203.030197</v>
      </c>
      <c r="T1341" s="47">
        <f ca="1">(S1341*(0.000000277778))/'Parameter Inputs'!$F$439</f>
        <v>6732.8563451026694</v>
      </c>
      <c r="X1341" s="106"/>
      <c r="Y1341" s="106"/>
    </row>
    <row r="1342" spans="4:39">
      <c r="D1342" s="8" t="s">
        <v>64</v>
      </c>
      <c r="E1342" s="8">
        <f>'Parameter Inputs'!E74</f>
        <v>7</v>
      </c>
      <c r="F1342" s="8">
        <f>'Parameter Inputs'!F74</f>
        <v>7.9006772009029342</v>
      </c>
      <c r="G1342" s="8">
        <v>25</v>
      </c>
      <c r="H1342" s="50">
        <f ca="1">2*PI()*('Parameter Inputs'!$K$787/2)*'Parameter Inputs'!$L$787</f>
        <v>216.8722084150117</v>
      </c>
      <c r="I1342" s="50">
        <f ca="1">PI()*(('Parameter Inputs'!$K$787/2)^2)</f>
        <v>54.218052103752925</v>
      </c>
      <c r="J1342" s="50">
        <f t="shared" ca="1" si="39"/>
        <v>54.218052103752925</v>
      </c>
      <c r="K1342" s="8">
        <f ca="1">'Parameter Inputs'!$F$182*'Parameter Inputs'!H1342*('Parameter Inputs'!G1342-'Parameter Inputs'!E1342)*86400</f>
        <v>236095760.96891829</v>
      </c>
      <c r="L1342" s="8">
        <f ca="1">'Parameter Inputs'!$H$180*'Parameter Inputs'!J1342*('Parameter Inputs'!G1342-'Parameter Inputs'!F1342)*86400</f>
        <v>112141045.23072211</v>
      </c>
      <c r="M1342" s="8">
        <f ca="1">'Parameter Inputs'!$J$180*'Parameter Inputs'!I1342*('Parameter Inputs'!G1342-'Parameter Inputs'!E1342)*86400</f>
        <v>240311756.70050618</v>
      </c>
      <c r="N1342" s="8">
        <f t="shared" ca="1" si="40"/>
        <v>588548562.9001466</v>
      </c>
      <c r="O1342" s="8">
        <f>'Parameter Inputs'!I787</f>
        <v>1</v>
      </c>
      <c r="P1342" s="8">
        <f t="shared" ca="1" si="41"/>
        <v>588548562.9001466</v>
      </c>
      <c r="Q1342" s="8">
        <f ca="1">P1342*31</f>
        <v>18245005449.904545</v>
      </c>
      <c r="R1342" s="8">
        <f ca="1">N1342*'Parameter Inputs'!$F$411</f>
        <v>2942742814.5007329</v>
      </c>
      <c r="S1342" s="8">
        <f ca="1">Q1342/'Parameter Inputs'!$F$439</f>
        <v>20971270632.074188</v>
      </c>
      <c r="T1342" s="47">
        <f ca="1">(S1342*(0.000000277778))/'Parameter Inputs'!$F$439</f>
        <v>6695.8133490072451</v>
      </c>
      <c r="X1342" s="106"/>
      <c r="Y1342" s="106"/>
    </row>
    <row r="1343" spans="4:39">
      <c r="D1343" s="8" t="s">
        <v>65</v>
      </c>
      <c r="E1343" s="8">
        <f>'Parameter Inputs'!E76</f>
        <v>8</v>
      </c>
      <c r="F1343" s="8">
        <f>'Parameter Inputs'!F76</f>
        <v>9.0293453724604973</v>
      </c>
      <c r="G1343" s="8">
        <v>25</v>
      </c>
      <c r="H1343" s="50">
        <f ca="1">2*PI()*('Parameter Inputs'!$K$787/2)*'Parameter Inputs'!$L$787</f>
        <v>216.8722084150117</v>
      </c>
      <c r="I1343" s="50">
        <f ca="1">PI()*(('Parameter Inputs'!$K$787/2)^2)</f>
        <v>54.218052103752925</v>
      </c>
      <c r="J1343" s="50">
        <f t="shared" ca="1" si="39"/>
        <v>54.218052103752925</v>
      </c>
      <c r="K1343" s="8">
        <f ca="1">'Parameter Inputs'!$F$182*'Parameter Inputs'!H1343*('Parameter Inputs'!G1343-'Parameter Inputs'!E1343)*86400</f>
        <v>222979329.80397841</v>
      </c>
      <c r="L1343" s="8">
        <f ca="1">'Parameter Inputs'!$H$180*'Parameter Inputs'!J1343*('Parameter Inputs'!G1343-'Parameter Inputs'!F1343)*86400</f>
        <v>104738996.04057543</v>
      </c>
      <c r="M1343" s="8">
        <f ca="1">'Parameter Inputs'!$J$180*'Parameter Inputs'!I1343*('Parameter Inputs'!G1343-'Parameter Inputs'!E1343)*86400</f>
        <v>226961103.55047804</v>
      </c>
      <c r="N1343" s="8">
        <f t="shared" ca="1" si="40"/>
        <v>554679429.39503193</v>
      </c>
      <c r="O1343" s="8">
        <f>'Parameter Inputs'!I787</f>
        <v>1</v>
      </c>
      <c r="P1343" s="8">
        <f t="shared" ca="1" si="41"/>
        <v>554679429.39503193</v>
      </c>
      <c r="Q1343" s="8">
        <f ca="1">P1343*30</f>
        <v>16640382881.850958</v>
      </c>
      <c r="R1343" s="8">
        <f ca="1">N1343*'Parameter Inputs'!$F$411</f>
        <v>2773397146.9751596</v>
      </c>
      <c r="S1343" s="8">
        <f ca="1">Q1343/'Parameter Inputs'!$F$439</f>
        <v>19126876875.690758</v>
      </c>
      <c r="T1343" s="47">
        <f ca="1">(S1343*(0.000000277778))/'Parameter Inputs'!$F$439</f>
        <v>6106.9259825007211</v>
      </c>
      <c r="X1343" s="106"/>
      <c r="Y1343" s="106"/>
      <c r="Z1343" s="169"/>
      <c r="AA1343" s="169"/>
    </row>
    <row r="1344" spans="4:39">
      <c r="D1344" s="8" t="s">
        <v>66</v>
      </c>
      <c r="E1344" s="8">
        <f>'Parameter Inputs'!E78</f>
        <v>11</v>
      </c>
      <c r="F1344" s="8">
        <f>'Parameter Inputs'!F78</f>
        <v>12.415349887133182</v>
      </c>
      <c r="G1344" s="8">
        <v>25</v>
      </c>
      <c r="H1344" s="50">
        <f ca="1">2*PI()*('Parameter Inputs'!$K$787/2)*'Parameter Inputs'!$L$787</f>
        <v>216.8722084150117</v>
      </c>
      <c r="I1344" s="50">
        <f ca="1">PI()*(('Parameter Inputs'!$K$787/2)^2)</f>
        <v>54.218052103752925</v>
      </c>
      <c r="J1344" s="50">
        <f t="shared" ca="1" si="39"/>
        <v>54.218052103752925</v>
      </c>
      <c r="K1344" s="8">
        <f ca="1">'Parameter Inputs'!$F$182*'Parameter Inputs'!H1344*('Parameter Inputs'!G1344-'Parameter Inputs'!E1344)*86400</f>
        <v>183630036.30915868</v>
      </c>
      <c r="L1344" s="8">
        <f ca="1">'Parameter Inputs'!$H$180*'Parameter Inputs'!J1344*('Parameter Inputs'!G1344-'Parameter Inputs'!F1344)*86400</f>
        <v>82532848.470135421</v>
      </c>
      <c r="M1344" s="8">
        <f ca="1">'Parameter Inputs'!$J$180*'Parameter Inputs'!I1344*('Parameter Inputs'!G1344-'Parameter Inputs'!E1344)*86400</f>
        <v>186909144.10039365</v>
      </c>
      <c r="N1344" s="8">
        <f t="shared" ca="1" si="40"/>
        <v>453072028.87968779</v>
      </c>
      <c r="O1344" s="8">
        <f>'Parameter Inputs'!I787</f>
        <v>1</v>
      </c>
      <c r="P1344" s="8">
        <f t="shared" ca="1" si="41"/>
        <v>453072028.87968779</v>
      </c>
      <c r="Q1344" s="8">
        <f ca="1">P1344*31</f>
        <v>14045232895.270321</v>
      </c>
      <c r="R1344" s="8">
        <f ca="1">N1344*'Parameter Inputs'!$F$411</f>
        <v>2265360144.3984389</v>
      </c>
      <c r="S1344" s="8">
        <f ca="1">Q1344/'Parameter Inputs'!$F$439</f>
        <v>16143945856.632553</v>
      </c>
      <c r="T1344" s="47">
        <f ca="1">(S1344*(0.000000277778))/'Parameter Inputs'!$F$439</f>
        <v>5154.5206806479046</v>
      </c>
      <c r="X1344" s="106"/>
      <c r="Y1344" s="106"/>
      <c r="Z1344" s="169"/>
      <c r="AA1344" s="169"/>
    </row>
    <row r="1345" spans="4:32">
      <c r="D1345" s="8" t="s">
        <v>67</v>
      </c>
      <c r="E1345" s="8">
        <f>'Parameter Inputs'!E80</f>
        <v>13</v>
      </c>
      <c r="F1345" s="8">
        <f>'Parameter Inputs'!F80</f>
        <v>18.465909090909093</v>
      </c>
      <c r="G1345" s="8">
        <v>25</v>
      </c>
      <c r="H1345" s="50">
        <f ca="1">2*PI()*('Parameter Inputs'!$K$787/2)*'Parameter Inputs'!$L$787</f>
        <v>216.8722084150117</v>
      </c>
      <c r="I1345" s="50">
        <f ca="1">PI()*(('Parameter Inputs'!$K$787/2)^2)</f>
        <v>54.218052103752925</v>
      </c>
      <c r="J1345" s="50">
        <f t="shared" ca="1" si="39"/>
        <v>54.218052103752925</v>
      </c>
      <c r="K1345" s="8">
        <f ca="1">'Parameter Inputs'!$F$182*'Parameter Inputs'!H1345*('Parameter Inputs'!G1345-'Parameter Inputs'!E1345)*86400</f>
        <v>157397173.97927886</v>
      </c>
      <c r="L1345" s="8">
        <f ca="1">'Parameter Inputs'!$H$180*'Parameter Inputs'!J1345*('Parameter Inputs'!G1345-'Parameter Inputs'!F1345)*86400</f>
        <v>42851976.817275241</v>
      </c>
      <c r="M1345" s="8">
        <f ca="1">'Parameter Inputs'!$J$180*'Parameter Inputs'!I1345*('Parameter Inputs'!G1345-'Parameter Inputs'!E1345)*86400</f>
        <v>160207837.80033743</v>
      </c>
      <c r="N1345" s="8">
        <f t="shared" ca="1" si="40"/>
        <v>360456988.59689152</v>
      </c>
      <c r="O1345" s="8">
        <f>'Parameter Inputs'!I787</f>
        <v>1</v>
      </c>
      <c r="P1345" s="8">
        <f t="shared" ca="1" si="41"/>
        <v>360456988.59689152</v>
      </c>
      <c r="Q1345" s="8">
        <f ca="1">P1345*30</f>
        <v>10813709657.906746</v>
      </c>
      <c r="R1345" s="8">
        <f ca="1">N1345*'Parameter Inputs'!$F$411</f>
        <v>1802284942.9844575</v>
      </c>
      <c r="S1345" s="8">
        <f ca="1">Q1345/'Parameter Inputs'!$F$439</f>
        <v>12429551330.927294</v>
      </c>
      <c r="T1345" s="47">
        <f ca="1">(S1345*(0.000000277778))/'Parameter Inputs'!$F$439</f>
        <v>3968.5700110371513</v>
      </c>
      <c r="Z1345" s="169"/>
      <c r="AA1345" s="169"/>
    </row>
    <row r="1346" spans="4:32">
      <c r="D1346" s="8" t="s">
        <v>68</v>
      </c>
      <c r="E1346" s="8">
        <f>'Parameter Inputs'!E82</f>
        <v>15</v>
      </c>
      <c r="F1346" s="8">
        <f>'Parameter Inputs'!F82</f>
        <v>21.306818181818183</v>
      </c>
      <c r="G1346" s="8">
        <v>25</v>
      </c>
      <c r="H1346" s="50">
        <f ca="1">2*PI()*('Parameter Inputs'!$K$787/2)*'Parameter Inputs'!$L$787</f>
        <v>216.8722084150117</v>
      </c>
      <c r="I1346" s="50">
        <f ca="1">PI()*(('Parameter Inputs'!$K$787/2)^2)</f>
        <v>54.218052103752925</v>
      </c>
      <c r="J1346" s="50">
        <f t="shared" ca="1" si="39"/>
        <v>54.218052103752925</v>
      </c>
      <c r="K1346" s="8">
        <f ca="1">'Parameter Inputs'!$F$182*'Parameter Inputs'!H1346*('Parameter Inputs'!G1346-'Parameter Inputs'!E1346)*86400</f>
        <v>131164311.64939906</v>
      </c>
      <c r="L1346" s="8">
        <f ca="1">'Parameter Inputs'!$H$180*'Parameter Inputs'!J1346*('Parameter Inputs'!G1346-'Parameter Inputs'!F1346)*86400</f>
        <v>24220682.548894703</v>
      </c>
      <c r="M1346" s="8">
        <f ca="1">'Parameter Inputs'!$J$180*'Parameter Inputs'!I1346*('Parameter Inputs'!G1346-'Parameter Inputs'!E1346)*86400</f>
        <v>133506531.5002812</v>
      </c>
      <c r="N1346" s="8">
        <f t="shared" ca="1" si="40"/>
        <v>288891525.69857496</v>
      </c>
      <c r="O1346" s="8">
        <f>'Parameter Inputs'!I787</f>
        <v>1</v>
      </c>
      <c r="P1346" s="8">
        <f t="shared" ca="1" si="41"/>
        <v>288891525.69857496</v>
      </c>
      <c r="Q1346" s="8">
        <f ca="1">P1346*31</f>
        <v>8955637296.6558247</v>
      </c>
      <c r="R1346" s="8">
        <f ca="1">N1346*'Parameter Inputs'!$F$411</f>
        <v>1444457628.4928749</v>
      </c>
      <c r="S1346" s="8">
        <f ca="1">Q1346/'Parameter Inputs'!$F$439</f>
        <v>10293835973.167614</v>
      </c>
      <c r="T1346" s="47">
        <f ca="1">(S1346*(0.000000277778))/'Parameter Inputs'!$F$439</f>
        <v>3286.6680102925898</v>
      </c>
      <c r="Z1346" s="169"/>
      <c r="AA1346" s="169"/>
    </row>
    <row r="1347" spans="4:32">
      <c r="D1347" s="8" t="s">
        <v>69</v>
      </c>
      <c r="E1347" s="8">
        <f>'Parameter Inputs'!E84</f>
        <v>15</v>
      </c>
      <c r="F1347" s="8">
        <f>'Parameter Inputs'!F84</f>
        <v>21.306818181818183</v>
      </c>
      <c r="G1347" s="8">
        <v>25</v>
      </c>
      <c r="H1347" s="50">
        <f ca="1">2*PI()*('Parameter Inputs'!$K$787/2)*'Parameter Inputs'!$L$787</f>
        <v>216.8722084150117</v>
      </c>
      <c r="I1347" s="50">
        <f ca="1">PI()*(('Parameter Inputs'!$K$787/2)^2)</f>
        <v>54.218052103752925</v>
      </c>
      <c r="J1347" s="50">
        <f t="shared" ca="1" si="39"/>
        <v>54.218052103752925</v>
      </c>
      <c r="K1347" s="8">
        <f ca="1">'Parameter Inputs'!$F$182*'Parameter Inputs'!H1347*('Parameter Inputs'!G1347-'Parameter Inputs'!E1347)*86400</f>
        <v>131164311.64939906</v>
      </c>
      <c r="L1347" s="8">
        <f ca="1">'Parameter Inputs'!$H$180*'Parameter Inputs'!J1347*('Parameter Inputs'!G1347-'Parameter Inputs'!F1347)*86400</f>
        <v>24220682.548894703</v>
      </c>
      <c r="M1347" s="8">
        <f ca="1">'Parameter Inputs'!$J$180*'Parameter Inputs'!I1347*('Parameter Inputs'!G1347-'Parameter Inputs'!E1347)*86400</f>
        <v>133506531.5002812</v>
      </c>
      <c r="N1347" s="8">
        <f t="shared" ca="1" si="40"/>
        <v>288891525.69857496</v>
      </c>
      <c r="O1347" s="8">
        <f>'Parameter Inputs'!I787</f>
        <v>1</v>
      </c>
      <c r="P1347" s="8">
        <f t="shared" ca="1" si="41"/>
        <v>288891525.69857496</v>
      </c>
      <c r="Q1347" s="8">
        <f ca="1">P1347*31</f>
        <v>8955637296.6558247</v>
      </c>
      <c r="R1347" s="8">
        <f ca="1">N1347*'Parameter Inputs'!$F$411</f>
        <v>1444457628.4928749</v>
      </c>
      <c r="S1347" s="8">
        <f ca="1">Q1347/'Parameter Inputs'!$F$439</f>
        <v>10293835973.167614</v>
      </c>
      <c r="T1347" s="47">
        <f ca="1">(S1347*(0.000000277778))/'Parameter Inputs'!$F$439</f>
        <v>3286.6680102925898</v>
      </c>
      <c r="Z1347" s="169"/>
      <c r="AA1347" s="169"/>
    </row>
    <row r="1348" spans="4:32">
      <c r="D1348" s="8" t="s">
        <v>70</v>
      </c>
      <c r="E1348" s="8">
        <f>'Parameter Inputs'!E86</f>
        <v>13</v>
      </c>
      <c r="F1348" s="8">
        <f>'Parameter Inputs'!F86</f>
        <v>15.911872705018361</v>
      </c>
      <c r="G1348" s="8">
        <v>25</v>
      </c>
      <c r="H1348" s="50">
        <f ca="1">2*PI()*('Parameter Inputs'!$K$787/2)*'Parameter Inputs'!$L$787</f>
        <v>216.8722084150117</v>
      </c>
      <c r="I1348" s="50">
        <f ca="1">PI()*(('Parameter Inputs'!$K$787/2)^2)</f>
        <v>54.218052103752925</v>
      </c>
      <c r="J1348" s="50">
        <f t="shared" ca="1" si="39"/>
        <v>54.218052103752925</v>
      </c>
      <c r="K1348" s="8">
        <f ca="1">'Parameter Inputs'!$F$182*'Parameter Inputs'!H1348*('Parameter Inputs'!G1348-'Parameter Inputs'!E1348)*86400</f>
        <v>157397173.97927886</v>
      </c>
      <c r="L1348" s="8">
        <f ca="1">'Parameter Inputs'!$H$180*'Parameter Inputs'!J1348*('Parameter Inputs'!G1348-'Parameter Inputs'!F1348)*86400</f>
        <v>59601898.041419081</v>
      </c>
      <c r="M1348" s="8">
        <f ca="1">'Parameter Inputs'!$J$180*'Parameter Inputs'!I1348*('Parameter Inputs'!G1348-'Parameter Inputs'!E1348)*86400</f>
        <v>160207837.80033743</v>
      </c>
      <c r="N1348" s="8">
        <f t="shared" ca="1" si="40"/>
        <v>377206909.82103539</v>
      </c>
      <c r="O1348" s="8">
        <f>'Parameter Inputs'!I787</f>
        <v>1</v>
      </c>
      <c r="P1348" s="8">
        <f t="shared" ca="1" si="41"/>
        <v>377206909.82103539</v>
      </c>
      <c r="Q1348" s="8">
        <f ca="1">P1348*30</f>
        <v>11316207294.631062</v>
      </c>
      <c r="R1348" s="8">
        <f ca="1">N1348*'Parameter Inputs'!$F$411</f>
        <v>1886034549.1051769</v>
      </c>
      <c r="S1348" s="8">
        <f ca="1">Q1348/'Parameter Inputs'!$F$439</f>
        <v>13007134821.415014</v>
      </c>
      <c r="T1348" s="47">
        <f ca="1">(S1348*(0.000000277778))/'Parameter Inputs'!$F$439</f>
        <v>4152.9837889919772</v>
      </c>
      <c r="Z1348" s="169"/>
      <c r="AA1348" s="169"/>
    </row>
    <row r="1349" spans="4:32">
      <c r="D1349" s="8" t="s">
        <v>71</v>
      </c>
      <c r="E1349" s="8">
        <f>'Parameter Inputs'!E88</f>
        <v>10</v>
      </c>
      <c r="F1349" s="8">
        <f>'Parameter Inputs'!F88</f>
        <v>12.239902080783354</v>
      </c>
      <c r="G1349" s="8">
        <v>25</v>
      </c>
      <c r="H1349" s="50">
        <f ca="1">2*PI()*('Parameter Inputs'!$K$787/2)*'Parameter Inputs'!$L$787</f>
        <v>216.8722084150117</v>
      </c>
      <c r="I1349" s="50">
        <f ca="1">PI()*(('Parameter Inputs'!$K$787/2)^2)</f>
        <v>54.218052103752925</v>
      </c>
      <c r="J1349" s="50">
        <f t="shared" ca="1" si="39"/>
        <v>54.218052103752925</v>
      </c>
      <c r="K1349" s="8">
        <f ca="1">'Parameter Inputs'!$F$182*'Parameter Inputs'!H1349*('Parameter Inputs'!G1349-'Parameter Inputs'!E1349)*86400</f>
        <v>196746467.47409856</v>
      </c>
      <c r="L1349" s="8">
        <f ca="1">'Parameter Inputs'!$H$180*'Parameter Inputs'!J1349*('Parameter Inputs'!G1349-'Parameter Inputs'!F1349)*86400</f>
        <v>83683473.007649034</v>
      </c>
      <c r="M1349" s="8">
        <f ca="1">'Parameter Inputs'!$J$180*'Parameter Inputs'!I1349*('Parameter Inputs'!G1349-'Parameter Inputs'!E1349)*86400</f>
        <v>200259797.25042179</v>
      </c>
      <c r="N1349" s="8">
        <f t="shared" ca="1" si="40"/>
        <v>480689737.73216939</v>
      </c>
      <c r="O1349" s="8">
        <f>'Parameter Inputs'!I787</f>
        <v>1</v>
      </c>
      <c r="P1349" s="8">
        <f t="shared" ca="1" si="41"/>
        <v>480689737.73216939</v>
      </c>
      <c r="Q1349" s="8">
        <f ca="1">P1349*31</f>
        <v>14901381869.69725</v>
      </c>
      <c r="R1349" s="8">
        <f ca="1">N1349*'Parameter Inputs'!$F$411</f>
        <v>2403448688.6608467</v>
      </c>
      <c r="S1349" s="8">
        <f ca="1">Q1349/'Parameter Inputs'!$F$439</f>
        <v>17128025137.583046</v>
      </c>
      <c r="T1349" s="47">
        <f ca="1">(S1349*(0.000000277778))/'Parameter Inputs'!$F$439</f>
        <v>5468.7224904224631</v>
      </c>
      <c r="Z1349" s="169"/>
      <c r="AA1349" s="169"/>
    </row>
    <row r="1350" spans="4:32">
      <c r="D1350" s="8" t="s">
        <v>72</v>
      </c>
      <c r="E1350" s="8">
        <f>'Parameter Inputs'!E90</f>
        <v>8</v>
      </c>
      <c r="F1350" s="8">
        <f>'Parameter Inputs'!F90</f>
        <v>9.7919216646266829</v>
      </c>
      <c r="G1350" s="8">
        <v>25</v>
      </c>
      <c r="H1350" s="50">
        <f ca="1">2*PI()*('Parameter Inputs'!$K$787/2)*'Parameter Inputs'!$L$787</f>
        <v>216.8722084150117</v>
      </c>
      <c r="I1350" s="50">
        <f ca="1">PI()*(('Parameter Inputs'!$K$787/2)^2)</f>
        <v>54.218052103752925</v>
      </c>
      <c r="J1350" s="50">
        <f t="shared" ca="1" si="39"/>
        <v>54.218052103752925</v>
      </c>
      <c r="K1350" s="8">
        <f ca="1">'Parameter Inputs'!$F$182*'Parameter Inputs'!H1350*('Parameter Inputs'!G1350-'Parameter Inputs'!E1350)*86400</f>
        <v>222979329.80397841</v>
      </c>
      <c r="L1350" s="8">
        <f ca="1">'Parameter Inputs'!$H$180*'Parameter Inputs'!J1350*('Parameter Inputs'!G1350-'Parameter Inputs'!F1350)*86400</f>
        <v>99737856.318468988</v>
      </c>
      <c r="M1350" s="8">
        <f ca="1">'Parameter Inputs'!$J$180*'Parameter Inputs'!I1350*('Parameter Inputs'!G1350-'Parameter Inputs'!E1350)*86400</f>
        <v>226961103.55047804</v>
      </c>
      <c r="N1350" s="8">
        <f t="shared" ca="1" si="40"/>
        <v>549678289.67292547</v>
      </c>
      <c r="O1350" s="8">
        <f>'Parameter Inputs'!I787</f>
        <v>1</v>
      </c>
      <c r="P1350" s="8">
        <f t="shared" ca="1" si="41"/>
        <v>549678289.67292547</v>
      </c>
      <c r="Q1350" s="8">
        <f ca="1">P1350*30</f>
        <v>16490348690.187763</v>
      </c>
      <c r="R1350" s="8">
        <f ca="1">N1350*'Parameter Inputs'!$F$411</f>
        <v>2748391448.3646274</v>
      </c>
      <c r="S1350" s="8">
        <f ca="1">Q1350/'Parameter Inputs'!$F$439</f>
        <v>18954423781.825016</v>
      </c>
      <c r="T1350" s="47">
        <f ca="1">(S1350*(0.000000277778))/'Parameter Inputs'!$F$439</f>
        <v>6051.8642865146994</v>
      </c>
      <c r="Z1350" s="169"/>
      <c r="AA1350" s="169"/>
      <c r="AD1350" s="105"/>
      <c r="AE1350" s="105"/>
      <c r="AF1350" s="105"/>
    </row>
    <row r="1351" spans="4:32" ht="15" thickBot="1">
      <c r="D1351" s="53" t="s">
        <v>73</v>
      </c>
      <c r="E1351" s="53">
        <f>'Parameter Inputs'!E92</f>
        <v>6</v>
      </c>
      <c r="F1351" s="53">
        <f>'Parameter Inputs'!F92</f>
        <v>6.9686411149825789</v>
      </c>
      <c r="G1351" s="53">
        <v>25</v>
      </c>
      <c r="H1351" s="54">
        <f ca="1">2*PI()*('Parameter Inputs'!$K$787/2)*'Parameter Inputs'!$L$787</f>
        <v>216.8722084150117</v>
      </c>
      <c r="I1351" s="54">
        <f ca="1">PI()*(('Parameter Inputs'!$K$787/2)^2)</f>
        <v>54.218052103752925</v>
      </c>
      <c r="J1351" s="54">
        <f t="shared" ca="1" si="39"/>
        <v>54.218052103752925</v>
      </c>
      <c r="K1351" s="53">
        <f ca="1">'Parameter Inputs'!$F$182*'Parameter Inputs'!H1351*('Parameter Inputs'!G1351-'Parameter Inputs'!E1351)*86400</f>
        <v>249212192.1338582</v>
      </c>
      <c r="L1351" s="53">
        <f ca="1">'Parameter Inputs'!$H$180*'Parameter Inputs'!J1351*('Parameter Inputs'!G1351-'Parameter Inputs'!F1351)*86400</f>
        <v>118253538.81282929</v>
      </c>
      <c r="M1351" s="53">
        <f ca="1">'Parameter Inputs'!$J$180*'Parameter Inputs'!I1351*('Parameter Inputs'!G1351-'Parameter Inputs'!E1351)*86400</f>
        <v>253662409.85053426</v>
      </c>
      <c r="N1351" s="53">
        <f t="shared" ca="1" si="40"/>
        <v>621128140.79722166</v>
      </c>
      <c r="O1351" s="53">
        <f>'Parameter Inputs'!I787</f>
        <v>1</v>
      </c>
      <c r="P1351" s="53">
        <f t="shared" ca="1" si="41"/>
        <v>621128140.79722166</v>
      </c>
      <c r="Q1351" s="53">
        <f ca="1">P1351*31</f>
        <v>19254972364.713871</v>
      </c>
      <c r="R1351" s="53">
        <f ca="1">N1351*'Parameter Inputs'!$F$411</f>
        <v>3105640703.9861083</v>
      </c>
      <c r="S1351" s="53">
        <f ca="1">Q1351/'Parameter Inputs'!$F$439</f>
        <v>22132152143.349277</v>
      </c>
      <c r="T1351" s="56">
        <f ca="1">(S1351*(0.000000277778))/'Parameter Inputs'!$F$439</f>
        <v>7066.465469052041</v>
      </c>
      <c r="Z1351" s="169"/>
      <c r="AA1351" s="169"/>
      <c r="AD1351" s="105"/>
      <c r="AE1351" s="105"/>
      <c r="AF1351" s="105"/>
    </row>
    <row r="1352" spans="4:32" ht="15" thickTop="1">
      <c r="D1352" s="5" t="s">
        <v>492</v>
      </c>
      <c r="H1352" s="105"/>
      <c r="I1352" s="105"/>
      <c r="J1352" s="105"/>
      <c r="T1352" s="86">
        <f ca="1">SUM(T1340:T1351)</f>
        <v>65038.523892914091</v>
      </c>
      <c r="Z1352" s="169"/>
      <c r="AA1352" s="169"/>
      <c r="AD1352" s="105"/>
      <c r="AE1352" s="105"/>
      <c r="AF1352" s="105"/>
    </row>
    <row r="1353" spans="4:32">
      <c r="H1353" s="105"/>
      <c r="I1353" s="105"/>
      <c r="J1353" s="105"/>
      <c r="T1353" s="86"/>
      <c r="Z1353" s="169"/>
      <c r="AA1353" s="169"/>
      <c r="AD1353" s="105"/>
      <c r="AE1353" s="105"/>
      <c r="AF1353" s="105"/>
    </row>
    <row r="1354" spans="4:32">
      <c r="D1354" s="5" t="s">
        <v>25</v>
      </c>
      <c r="AD1354" s="105"/>
      <c r="AE1354" s="105"/>
      <c r="AF1354" s="105"/>
    </row>
    <row r="1355" spans="4:32">
      <c r="D1355" s="5" t="s">
        <v>452</v>
      </c>
      <c r="AD1355" s="105"/>
      <c r="AE1355" s="105"/>
      <c r="AF1355" s="105"/>
    </row>
    <row r="1356" spans="4:32">
      <c r="D1356" s="8" t="s">
        <v>74</v>
      </c>
      <c r="E1356" s="8" t="s">
        <v>117</v>
      </c>
      <c r="F1356" s="8" t="s">
        <v>149</v>
      </c>
      <c r="G1356" s="8" t="s">
        <v>454</v>
      </c>
      <c r="H1356" s="8" t="s">
        <v>122</v>
      </c>
      <c r="I1356" s="8" t="s">
        <v>123</v>
      </c>
      <c r="J1356" s="8" t="s">
        <v>121</v>
      </c>
      <c r="K1356" s="8" t="s">
        <v>150</v>
      </c>
      <c r="L1356" s="8" t="s">
        <v>151</v>
      </c>
      <c r="M1356" s="8" t="s">
        <v>152</v>
      </c>
      <c r="N1356" s="8" t="s">
        <v>154</v>
      </c>
      <c r="O1356" s="8" t="s">
        <v>411</v>
      </c>
      <c r="P1356" s="8" t="s">
        <v>450</v>
      </c>
      <c r="Q1356" s="8" t="s">
        <v>453</v>
      </c>
      <c r="R1356" s="8" t="s">
        <v>157</v>
      </c>
      <c r="S1356" s="8" t="s">
        <v>474</v>
      </c>
      <c r="T1356" s="8" t="s">
        <v>476</v>
      </c>
      <c r="AD1356" s="105"/>
      <c r="AE1356" s="105"/>
      <c r="AF1356" s="105"/>
    </row>
    <row r="1357" spans="4:32">
      <c r="D1357" s="8" t="s">
        <v>62</v>
      </c>
      <c r="E1357" s="8">
        <f>'Parameter Inputs'!E70</f>
        <v>6</v>
      </c>
      <c r="F1357" s="8">
        <f>'Parameter Inputs'!F70</f>
        <v>6.9686411149825789</v>
      </c>
      <c r="G1357" s="8">
        <v>25</v>
      </c>
      <c r="H1357" s="50">
        <f ca="1">2*PI()*('Parameter Inputs'!$K$788/2)*'Parameter Inputs'!$L$788</f>
        <v>250.3055159209066</v>
      </c>
      <c r="I1357" s="50">
        <f ca="1">PI()*(('Parameter Inputs'!$K$788/2)^2)</f>
        <v>62.57637898022665</v>
      </c>
      <c r="J1357" s="50">
        <f t="shared" ref="J1357:J1368" ca="1" si="42">I1357</f>
        <v>62.57637898022665</v>
      </c>
      <c r="K1357" s="8">
        <f ca="1">'Parameter Inputs'!$F$180*'Parameter Inputs'!H1357*('Parameter Inputs'!G1357-'Parameter Inputs'!E1357)*86400</f>
        <v>287631074.45503223</v>
      </c>
      <c r="L1357" s="8">
        <f ca="1">'Parameter Inputs'!$H$180*'Parameter Inputs'!J1357*('Parameter Inputs'!G1357-'Parameter Inputs'!F1357)*86400</f>
        <v>136483661.31531191</v>
      </c>
      <c r="M1357" s="8">
        <f ca="1">'Parameter Inputs'!$J$180*'Parameter Inputs'!I1357*('Parameter Inputs'!G1357-'Parameter Inputs'!E1357)*86400</f>
        <v>292767343.64172924</v>
      </c>
      <c r="N1357" s="8">
        <f t="shared" ref="N1357:N1368" ca="1" si="43">K1357+L1357+M1357</f>
        <v>716882079.41207337</v>
      </c>
      <c r="O1357" s="8">
        <f>'Parameter Inputs'!I787</f>
        <v>1</v>
      </c>
      <c r="P1357" s="8">
        <f t="shared" ref="P1357:P1368" ca="1" si="44">N1357*O1357</f>
        <v>716882079.41207337</v>
      </c>
      <c r="Q1357" s="8">
        <f ca="1">P1357*31</f>
        <v>22223344461.774273</v>
      </c>
      <c r="R1357" s="8">
        <f ca="1">N1357*'Parameter Inputs'!$F$411</f>
        <v>3584410397.0603666</v>
      </c>
      <c r="S1357" s="8">
        <f ca="1">Q1357/'Parameter Inputs'!$F$439</f>
        <v>25544074093.993416</v>
      </c>
      <c r="T1357" s="47">
        <f ca="1">(S1357*(0.000000277778))/'Parameter Inputs'!$F$439</f>
        <v>8155.8411651509232</v>
      </c>
      <c r="AD1357" s="105"/>
      <c r="AE1357" s="105"/>
      <c r="AF1357" s="105"/>
    </row>
    <row r="1358" spans="4:32">
      <c r="D1358" s="8" t="s">
        <v>63</v>
      </c>
      <c r="E1358" s="8">
        <f>'Parameter Inputs'!E72</f>
        <v>5</v>
      </c>
      <c r="F1358" s="8">
        <f>'Parameter Inputs'!F72</f>
        <v>5.8072009291521489</v>
      </c>
      <c r="G1358" s="8">
        <v>25</v>
      </c>
      <c r="H1358" s="50">
        <f ca="1">2*PI()*('Parameter Inputs'!$K$788/2)*'Parameter Inputs'!$L$788</f>
        <v>250.3055159209066</v>
      </c>
      <c r="I1358" s="50">
        <f ca="1">PI()*(('Parameter Inputs'!$K$788/2)^2)</f>
        <v>62.57637898022665</v>
      </c>
      <c r="J1358" s="50">
        <f t="shared" ca="1" si="42"/>
        <v>62.57637898022665</v>
      </c>
      <c r="K1358" s="8">
        <f ca="1">'Parameter Inputs'!$F$180*'Parameter Inputs'!H1358*('Parameter Inputs'!G1358-'Parameter Inputs'!E1358)*86400</f>
        <v>302769552.05792862</v>
      </c>
      <c r="L1358" s="8">
        <f ca="1">'Parameter Inputs'!$H$180*'Parameter Inputs'!J1358*('Parameter Inputs'!G1358-'Parameter Inputs'!F1358)*86400</f>
        <v>145274879.43546081</v>
      </c>
      <c r="M1358" s="8">
        <f ca="1">'Parameter Inputs'!$J$180*'Parameter Inputs'!I1358*('Parameter Inputs'!G1358-'Parameter Inputs'!E1358)*86400</f>
        <v>308176151.20182019</v>
      </c>
      <c r="N1358" s="8">
        <f t="shared" ca="1" si="43"/>
        <v>756220582.69520962</v>
      </c>
      <c r="O1358" s="8">
        <f>'Parameter Inputs'!I787</f>
        <v>1</v>
      </c>
      <c r="P1358" s="8">
        <f t="shared" ca="1" si="44"/>
        <v>756220582.69520962</v>
      </c>
      <c r="Q1358" s="8">
        <f ca="1">P1358*28</f>
        <v>21174176315.46587</v>
      </c>
      <c r="R1358" s="8">
        <f ca="1">N1358*'Parameter Inputs'!$F$411</f>
        <v>3781102913.476048</v>
      </c>
      <c r="S1358" s="8">
        <f ca="1">Q1358/'Parameter Inputs'!$F$439</f>
        <v>24338133695.937782</v>
      </c>
      <c r="T1358" s="47">
        <f ca="1">(S1358*(0.000000277778))/'Parameter Inputs'!$F$439</f>
        <v>7770.8024158508106</v>
      </c>
      <c r="AD1358" s="105"/>
      <c r="AE1358" s="105"/>
      <c r="AF1358" s="105"/>
    </row>
    <row r="1359" spans="4:32">
      <c r="D1359" s="8" t="s">
        <v>64</v>
      </c>
      <c r="E1359" s="8">
        <f>'Parameter Inputs'!E74</f>
        <v>7</v>
      </c>
      <c r="F1359" s="8">
        <f>'Parameter Inputs'!F74</f>
        <v>7.9006772009029342</v>
      </c>
      <c r="G1359" s="8">
        <v>25</v>
      </c>
      <c r="H1359" s="50">
        <f ca="1">2*PI()*('Parameter Inputs'!$K$788/2)*'Parameter Inputs'!$L$788</f>
        <v>250.3055159209066</v>
      </c>
      <c r="I1359" s="50">
        <f ca="1">PI()*(('Parameter Inputs'!$K$788/2)^2)</f>
        <v>62.57637898022665</v>
      </c>
      <c r="J1359" s="50">
        <f t="shared" ca="1" si="42"/>
        <v>62.57637898022665</v>
      </c>
      <c r="K1359" s="8">
        <f ca="1">'Parameter Inputs'!$F$180*'Parameter Inputs'!H1359*('Parameter Inputs'!G1359-'Parameter Inputs'!E1359)*86400</f>
        <v>272492596.85213578</v>
      </c>
      <c r="L1359" s="8">
        <f ca="1">'Parameter Inputs'!$H$180*'Parameter Inputs'!J1359*('Parameter Inputs'!G1359-'Parameter Inputs'!F1359)*86400</f>
        <v>129428857.60941362</v>
      </c>
      <c r="M1359" s="8">
        <f ca="1">'Parameter Inputs'!$J$180*'Parameter Inputs'!I1359*('Parameter Inputs'!G1359-'Parameter Inputs'!E1359)*86400</f>
        <v>277358536.08163816</v>
      </c>
      <c r="N1359" s="8">
        <f t="shared" ca="1" si="43"/>
        <v>679279990.54318762</v>
      </c>
      <c r="O1359" s="8">
        <f>'Parameter Inputs'!I787</f>
        <v>1</v>
      </c>
      <c r="P1359" s="8">
        <f t="shared" ca="1" si="44"/>
        <v>679279990.54318762</v>
      </c>
      <c r="Q1359" s="8">
        <f ca="1">P1359*31</f>
        <v>21057679706.838818</v>
      </c>
      <c r="R1359" s="8">
        <f ca="1">N1359*'Parameter Inputs'!$F$411</f>
        <v>3396399952.7159381</v>
      </c>
      <c r="S1359" s="8">
        <f ca="1">Q1359/'Parameter Inputs'!$F$439</f>
        <v>24204229548.090595</v>
      </c>
      <c r="T1359" s="47">
        <f ca="1">(S1359*(0.000000277778))/'Parameter Inputs'!$F$439</f>
        <v>7728.04882230978</v>
      </c>
      <c r="AD1359" s="105"/>
      <c r="AE1359" s="105"/>
      <c r="AF1359" s="105"/>
    </row>
    <row r="1360" spans="4:32">
      <c r="D1360" s="8" t="s">
        <v>65</v>
      </c>
      <c r="E1360" s="8">
        <f>'Parameter Inputs'!E76</f>
        <v>8</v>
      </c>
      <c r="F1360" s="8">
        <f>'Parameter Inputs'!F76</f>
        <v>9.0293453724604973</v>
      </c>
      <c r="G1360" s="8">
        <v>25</v>
      </c>
      <c r="H1360" s="50">
        <f ca="1">2*PI()*('Parameter Inputs'!$K$788/2)*'Parameter Inputs'!$L$788</f>
        <v>250.3055159209066</v>
      </c>
      <c r="I1360" s="50">
        <f ca="1">PI()*(('Parameter Inputs'!$K$788/2)^2)</f>
        <v>62.57637898022665</v>
      </c>
      <c r="J1360" s="50">
        <f t="shared" ca="1" si="42"/>
        <v>62.57637898022665</v>
      </c>
      <c r="K1360" s="8">
        <f ca="1">'Parameter Inputs'!$F$180*'Parameter Inputs'!H1360*('Parameter Inputs'!G1360-'Parameter Inputs'!E1360)*86400</f>
        <v>257354119.24923933</v>
      </c>
      <c r="L1360" s="8">
        <f ca="1">'Parameter Inputs'!$H$180*'Parameter Inputs'!J1360*('Parameter Inputs'!G1360-'Parameter Inputs'!F1360)*86400</f>
        <v>120885698.69130051</v>
      </c>
      <c r="M1360" s="8">
        <f ca="1">'Parameter Inputs'!$J$180*'Parameter Inputs'!I1360*('Parameter Inputs'!G1360-'Parameter Inputs'!E1360)*86400</f>
        <v>261949728.52154717</v>
      </c>
      <c r="N1360" s="8">
        <f t="shared" ca="1" si="43"/>
        <v>640189546.46208704</v>
      </c>
      <c r="O1360" s="8">
        <f>'Parameter Inputs'!I787</f>
        <v>1</v>
      </c>
      <c r="P1360" s="8">
        <f t="shared" ca="1" si="44"/>
        <v>640189546.46208704</v>
      </c>
      <c r="Q1360" s="8">
        <f ca="1">P1360*30</f>
        <v>19205686393.86261</v>
      </c>
      <c r="R1360" s="8">
        <f ca="1">N1360*'Parameter Inputs'!$F$411</f>
        <v>3200947732.3104353</v>
      </c>
      <c r="S1360" s="8">
        <f ca="1">Q1360/'Parameter Inputs'!$F$439</f>
        <v>22075501602.14093</v>
      </c>
      <c r="T1360" s="47">
        <f ca="1">(S1360*(0.000000277778))/'Parameter Inputs'!$F$439</f>
        <v>7048.3777977465552</v>
      </c>
      <c r="AD1360" s="105"/>
      <c r="AE1360" s="105"/>
      <c r="AF1360" s="105"/>
    </row>
    <row r="1361" spans="4:32">
      <c r="D1361" s="8" t="s">
        <v>66</v>
      </c>
      <c r="E1361" s="8">
        <f>'Parameter Inputs'!E78</f>
        <v>11</v>
      </c>
      <c r="F1361" s="8">
        <f>'Parameter Inputs'!F78</f>
        <v>12.415349887133182</v>
      </c>
      <c r="G1361" s="8">
        <v>25</v>
      </c>
      <c r="H1361" s="50">
        <f ca="1">2*PI()*('Parameter Inputs'!$K$788/2)*'Parameter Inputs'!$L$788</f>
        <v>250.3055159209066</v>
      </c>
      <c r="I1361" s="50">
        <f ca="1">PI()*(('Parameter Inputs'!$K$788/2)^2)</f>
        <v>62.57637898022665</v>
      </c>
      <c r="J1361" s="50">
        <f t="shared" ca="1" si="42"/>
        <v>62.57637898022665</v>
      </c>
      <c r="K1361" s="8">
        <f ca="1">'Parameter Inputs'!$F$180*'Parameter Inputs'!H1361*('Parameter Inputs'!G1361-'Parameter Inputs'!E1361)*86400</f>
        <v>211938686.44055003</v>
      </c>
      <c r="L1361" s="8">
        <f ca="1">'Parameter Inputs'!$H$180*'Parameter Inputs'!J1361*('Parameter Inputs'!G1361-'Parameter Inputs'!F1361)*86400</f>
        <v>95256221.936961189</v>
      </c>
      <c r="M1361" s="8">
        <f ca="1">'Parameter Inputs'!$J$180*'Parameter Inputs'!I1361*('Parameter Inputs'!G1361-'Parameter Inputs'!E1361)*86400</f>
        <v>215723305.84127417</v>
      </c>
      <c r="N1361" s="8">
        <f t="shared" ca="1" si="43"/>
        <v>522918214.21878541</v>
      </c>
      <c r="O1361" s="8">
        <f>'Parameter Inputs'!I787</f>
        <v>1</v>
      </c>
      <c r="P1361" s="8">
        <f t="shared" ca="1" si="44"/>
        <v>522918214.21878541</v>
      </c>
      <c r="Q1361" s="8">
        <f ca="1">P1361*31</f>
        <v>16210464640.782347</v>
      </c>
      <c r="R1361" s="8">
        <f ca="1">N1361*'Parameter Inputs'!$F$411</f>
        <v>2614591071.0939269</v>
      </c>
      <c r="S1361" s="8">
        <f ca="1">Q1361/'Parameter Inputs'!$F$439</f>
        <v>18632717977.910744</v>
      </c>
      <c r="T1361" s="47">
        <f ca="1">(S1361*(0.000000277778))/'Parameter Inputs'!$F$439</f>
        <v>5949.1484304230926</v>
      </c>
      <c r="AD1361" s="105"/>
      <c r="AE1361" s="105"/>
      <c r="AF1361" s="105"/>
    </row>
    <row r="1362" spans="4:32">
      <c r="D1362" s="8" t="s">
        <v>67</v>
      </c>
      <c r="E1362" s="8">
        <f>'Parameter Inputs'!E80</f>
        <v>13</v>
      </c>
      <c r="F1362" s="8">
        <f>'Parameter Inputs'!F80</f>
        <v>18.465909090909093</v>
      </c>
      <c r="G1362" s="8">
        <v>25</v>
      </c>
      <c r="H1362" s="50">
        <f ca="1">2*PI()*('Parameter Inputs'!$K$788/2)*'Parameter Inputs'!$L$788</f>
        <v>250.3055159209066</v>
      </c>
      <c r="I1362" s="50">
        <f ca="1">PI()*(('Parameter Inputs'!$K$788/2)^2)</f>
        <v>62.57637898022665</v>
      </c>
      <c r="J1362" s="50">
        <f t="shared" ca="1" si="42"/>
        <v>62.57637898022665</v>
      </c>
      <c r="K1362" s="8">
        <f ca="1">'Parameter Inputs'!$F$180*'Parameter Inputs'!H1362*('Parameter Inputs'!G1362-'Parameter Inputs'!E1362)*86400</f>
        <v>181661731.23475718</v>
      </c>
      <c r="L1362" s="8">
        <f ca="1">'Parameter Inputs'!$H$180*'Parameter Inputs'!J1362*('Parameter Inputs'!G1362-'Parameter Inputs'!F1362)*86400</f>
        <v>49458094.441280939</v>
      </c>
      <c r="M1362" s="8">
        <f ca="1">'Parameter Inputs'!$J$180*'Parameter Inputs'!I1362*('Parameter Inputs'!G1362-'Parameter Inputs'!E1362)*86400</f>
        <v>184905690.7210921</v>
      </c>
      <c r="N1362" s="8">
        <f t="shared" ca="1" si="43"/>
        <v>416025516.39713025</v>
      </c>
      <c r="O1362" s="8">
        <f>'Parameter Inputs'!I787</f>
        <v>1</v>
      </c>
      <c r="P1362" s="8">
        <f t="shared" ca="1" si="44"/>
        <v>416025516.39713025</v>
      </c>
      <c r="Q1362" s="8">
        <f ca="1">P1362*30</f>
        <v>12480765491.913908</v>
      </c>
      <c r="R1362" s="8">
        <f ca="1">N1362*'Parameter Inputs'!$F$411</f>
        <v>2080127581.9856513</v>
      </c>
      <c r="S1362" s="8">
        <f ca="1">Q1362/'Parameter Inputs'!$F$439</f>
        <v>14345707461.970009</v>
      </c>
      <c r="T1362" s="47">
        <f ca="1">(S1362*(0.000000277778))/'Parameter Inputs'!$F$439</f>
        <v>4580.3700314610405</v>
      </c>
      <c r="AD1362" s="105"/>
      <c r="AE1362" s="105"/>
      <c r="AF1362" s="105"/>
    </row>
    <row r="1363" spans="4:32">
      <c r="D1363" s="8" t="s">
        <v>68</v>
      </c>
      <c r="E1363" s="8">
        <f>'Parameter Inputs'!E82</f>
        <v>15</v>
      </c>
      <c r="F1363" s="8">
        <f>'Parameter Inputs'!F82</f>
        <v>21.306818181818183</v>
      </c>
      <c r="G1363" s="8">
        <v>25</v>
      </c>
      <c r="H1363" s="50">
        <f ca="1">2*PI()*('Parameter Inputs'!$K$788/2)*'Parameter Inputs'!$L$788</f>
        <v>250.3055159209066</v>
      </c>
      <c r="I1363" s="50">
        <f ca="1">PI()*(('Parameter Inputs'!$K$788/2)^2)</f>
        <v>62.57637898022665</v>
      </c>
      <c r="J1363" s="50">
        <f t="shared" ca="1" si="42"/>
        <v>62.57637898022665</v>
      </c>
      <c r="K1363" s="8">
        <f ca="1">'Parameter Inputs'!$F$180*'Parameter Inputs'!H1363*('Parameter Inputs'!G1363-'Parameter Inputs'!E1363)*86400</f>
        <v>151384776.02896431</v>
      </c>
      <c r="L1363" s="8">
        <f ca="1">'Parameter Inputs'!$H$180*'Parameter Inputs'!J1363*('Parameter Inputs'!G1363-'Parameter Inputs'!F1363)*86400</f>
        <v>27954575.118984874</v>
      </c>
      <c r="M1363" s="8">
        <f ca="1">'Parameter Inputs'!$J$180*'Parameter Inputs'!I1363*('Parameter Inputs'!G1363-'Parameter Inputs'!E1363)*86400</f>
        <v>154088075.6009101</v>
      </c>
      <c r="N1363" s="8">
        <f t="shared" ca="1" si="43"/>
        <v>333427426.74885929</v>
      </c>
      <c r="O1363" s="8">
        <f>'Parameter Inputs'!I787</f>
        <v>1</v>
      </c>
      <c r="P1363" s="8">
        <f t="shared" ca="1" si="44"/>
        <v>333427426.74885929</v>
      </c>
      <c r="Q1363" s="8">
        <f ca="1">P1363*31</f>
        <v>10336250229.214638</v>
      </c>
      <c r="R1363" s="8">
        <f ca="1">N1363*'Parameter Inputs'!$F$411</f>
        <v>1667137133.7442966</v>
      </c>
      <c r="S1363" s="8">
        <f ca="1">Q1363/'Parameter Inputs'!$F$439</f>
        <v>11880747389.901882</v>
      </c>
      <c r="T1363" s="47">
        <f ca="1">(S1363*(0.000000277778))/'Parameter Inputs'!$F$439</f>
        <v>3793.3451131863967</v>
      </c>
    </row>
    <row r="1364" spans="4:32">
      <c r="D1364" s="8" t="s">
        <v>69</v>
      </c>
      <c r="E1364" s="8">
        <f>'Parameter Inputs'!E84</f>
        <v>15</v>
      </c>
      <c r="F1364" s="8">
        <f>'Parameter Inputs'!F84</f>
        <v>21.306818181818183</v>
      </c>
      <c r="G1364" s="8">
        <v>25</v>
      </c>
      <c r="H1364" s="50">
        <f ca="1">2*PI()*('Parameter Inputs'!$K$788/2)*'Parameter Inputs'!$L$788</f>
        <v>250.3055159209066</v>
      </c>
      <c r="I1364" s="50">
        <f ca="1">PI()*(('Parameter Inputs'!$K$788/2)^2)</f>
        <v>62.57637898022665</v>
      </c>
      <c r="J1364" s="50">
        <f t="shared" ca="1" si="42"/>
        <v>62.57637898022665</v>
      </c>
      <c r="K1364" s="8">
        <f ca="1">'Parameter Inputs'!$F$180*'Parameter Inputs'!H1364*('Parameter Inputs'!G1364-'Parameter Inputs'!E1364)*86400</f>
        <v>151384776.02896431</v>
      </c>
      <c r="L1364" s="8">
        <f ca="1">'Parameter Inputs'!$H$180*'Parameter Inputs'!J1364*('Parameter Inputs'!G1364-'Parameter Inputs'!F1364)*86400</f>
        <v>27954575.118984874</v>
      </c>
      <c r="M1364" s="8">
        <f ca="1">'Parameter Inputs'!$J$180*'Parameter Inputs'!I1364*('Parameter Inputs'!G1364-'Parameter Inputs'!E1364)*86400</f>
        <v>154088075.6009101</v>
      </c>
      <c r="N1364" s="8">
        <f t="shared" ca="1" si="43"/>
        <v>333427426.74885929</v>
      </c>
      <c r="O1364" s="8">
        <f>'Parameter Inputs'!I787</f>
        <v>1</v>
      </c>
      <c r="P1364" s="8">
        <f t="shared" ca="1" si="44"/>
        <v>333427426.74885929</v>
      </c>
      <c r="Q1364" s="8">
        <f ca="1">P1364*31</f>
        <v>10336250229.214638</v>
      </c>
      <c r="R1364" s="8">
        <f ca="1">N1364*'Parameter Inputs'!$F$411</f>
        <v>1667137133.7442966</v>
      </c>
      <c r="S1364" s="8">
        <f ca="1">Q1364/'Parameter Inputs'!$F$439</f>
        <v>11880747389.901882</v>
      </c>
      <c r="T1364" s="47">
        <f ca="1">(S1364*(0.000000277778))/'Parameter Inputs'!$F$439</f>
        <v>3793.3451131863967</v>
      </c>
    </row>
    <row r="1365" spans="4:32">
      <c r="D1365" s="8" t="s">
        <v>70</v>
      </c>
      <c r="E1365" s="8">
        <f>'Parameter Inputs'!E86</f>
        <v>13</v>
      </c>
      <c r="F1365" s="8">
        <f>'Parameter Inputs'!F86</f>
        <v>15.911872705018361</v>
      </c>
      <c r="G1365" s="8">
        <v>25</v>
      </c>
      <c r="H1365" s="50">
        <f ca="1">2*PI()*('Parameter Inputs'!$K$788/2)*'Parameter Inputs'!$L$788</f>
        <v>250.3055159209066</v>
      </c>
      <c r="I1365" s="50">
        <f ca="1">PI()*(('Parameter Inputs'!$K$788/2)^2)</f>
        <v>62.57637898022665</v>
      </c>
      <c r="J1365" s="50">
        <f t="shared" ca="1" si="42"/>
        <v>62.57637898022665</v>
      </c>
      <c r="K1365" s="8">
        <f ca="1">'Parameter Inputs'!$F$180*'Parameter Inputs'!H1365*('Parameter Inputs'!G1365-'Parameter Inputs'!E1365)*86400</f>
        <v>181661731.23475718</v>
      </c>
      <c r="L1365" s="8">
        <f ca="1">'Parameter Inputs'!$H$180*'Parameter Inputs'!J1365*('Parameter Inputs'!G1365-'Parameter Inputs'!F1365)*86400</f>
        <v>68790205.75367564</v>
      </c>
      <c r="M1365" s="8">
        <f ca="1">'Parameter Inputs'!$J$180*'Parameter Inputs'!I1365*('Parameter Inputs'!G1365-'Parameter Inputs'!E1365)*86400</f>
        <v>184905690.7210921</v>
      </c>
      <c r="N1365" s="8">
        <f t="shared" ca="1" si="43"/>
        <v>435357627.70952493</v>
      </c>
      <c r="O1365" s="8">
        <f>'Parameter Inputs'!I787</f>
        <v>1</v>
      </c>
      <c r="P1365" s="8">
        <f t="shared" ca="1" si="44"/>
        <v>435357627.70952493</v>
      </c>
      <c r="Q1365" s="8">
        <f ca="1">P1365*30</f>
        <v>13060728831.285748</v>
      </c>
      <c r="R1365" s="8">
        <f ca="1">N1365*'Parameter Inputs'!$F$411</f>
        <v>2176788138.5476246</v>
      </c>
      <c r="S1365" s="8">
        <f ca="1">Q1365/'Parameter Inputs'!$F$439</f>
        <v>15012331989.983618</v>
      </c>
      <c r="T1365" s="47">
        <f ca="1">(S1365*(0.000000277778))/'Parameter Inputs'!$F$439</f>
        <v>4793.2132821996192</v>
      </c>
    </row>
    <row r="1366" spans="4:32">
      <c r="D1366" s="8" t="s">
        <v>71</v>
      </c>
      <c r="E1366" s="8">
        <f>'Parameter Inputs'!E88</f>
        <v>10</v>
      </c>
      <c r="F1366" s="8">
        <f>'Parameter Inputs'!F88</f>
        <v>12.239902080783354</v>
      </c>
      <c r="G1366" s="8">
        <v>25</v>
      </c>
      <c r="H1366" s="50">
        <f ca="1">2*PI()*('Parameter Inputs'!$K$788/2)*'Parameter Inputs'!$L$788</f>
        <v>250.3055159209066</v>
      </c>
      <c r="I1366" s="50">
        <f ca="1">PI()*(('Parameter Inputs'!$K$788/2)^2)</f>
        <v>62.57637898022665</v>
      </c>
      <c r="J1366" s="50">
        <f t="shared" ca="1" si="42"/>
        <v>62.57637898022665</v>
      </c>
      <c r="K1366" s="8">
        <f ca="1">'Parameter Inputs'!$F$180*'Parameter Inputs'!H1366*('Parameter Inputs'!G1366-'Parameter Inputs'!E1366)*86400</f>
        <v>227077164.04344648</v>
      </c>
      <c r="L1366" s="8">
        <f ca="1">'Parameter Inputs'!$H$180*'Parameter Inputs'!J1366*('Parameter Inputs'!G1366-'Parameter Inputs'!F1366)*86400</f>
        <v>96584228.28041327</v>
      </c>
      <c r="M1366" s="8">
        <f ca="1">'Parameter Inputs'!$J$180*'Parameter Inputs'!I1366*('Parameter Inputs'!G1366-'Parameter Inputs'!E1366)*86400</f>
        <v>231132113.40136516</v>
      </c>
      <c r="N1366" s="8">
        <f t="shared" ca="1" si="43"/>
        <v>554793505.72522497</v>
      </c>
      <c r="O1366" s="8">
        <f>'Parameter Inputs'!I787</f>
        <v>1</v>
      </c>
      <c r="P1366" s="8">
        <f t="shared" ca="1" si="44"/>
        <v>554793505.72522497</v>
      </c>
      <c r="Q1366" s="8">
        <f ca="1">P1366*31</f>
        <v>17198598677.481976</v>
      </c>
      <c r="R1366" s="8">
        <f ca="1">N1366*'Parameter Inputs'!$F$411</f>
        <v>2773967528.6261249</v>
      </c>
      <c r="S1366" s="8">
        <f ca="1">Q1366/'Parameter Inputs'!$F$439</f>
        <v>19768504226.990776</v>
      </c>
      <c r="T1366" s="47">
        <f ca="1">(S1366*(0.000000277778))/'Parameter Inputs'!$F$439</f>
        <v>6311.7880082356824</v>
      </c>
    </row>
    <row r="1367" spans="4:32">
      <c r="D1367" s="8" t="s">
        <v>72</v>
      </c>
      <c r="E1367" s="8">
        <f>'Parameter Inputs'!E90</f>
        <v>8</v>
      </c>
      <c r="F1367" s="8">
        <f>'Parameter Inputs'!F90</f>
        <v>9.7919216646266829</v>
      </c>
      <c r="G1367" s="8">
        <v>25</v>
      </c>
      <c r="H1367" s="50">
        <f ca="1">2*PI()*('Parameter Inputs'!$K$788/2)*'Parameter Inputs'!$L$788</f>
        <v>250.3055159209066</v>
      </c>
      <c r="I1367" s="50">
        <f ca="1">PI()*(('Parameter Inputs'!$K$788/2)^2)</f>
        <v>62.57637898022665</v>
      </c>
      <c r="J1367" s="50">
        <f t="shared" ca="1" si="42"/>
        <v>62.57637898022665</v>
      </c>
      <c r="K1367" s="8">
        <f ca="1">'Parameter Inputs'!$F$180*'Parameter Inputs'!H1367*('Parameter Inputs'!G1367-'Parameter Inputs'!E1367)*86400</f>
        <v>257354119.24923933</v>
      </c>
      <c r="L1367" s="8">
        <f ca="1">'Parameter Inputs'!$H$180*'Parameter Inputs'!J1367*('Parameter Inputs'!G1367-'Parameter Inputs'!F1367)*86400</f>
        <v>115113576.63157171</v>
      </c>
      <c r="M1367" s="8">
        <f ca="1">'Parameter Inputs'!$J$180*'Parameter Inputs'!I1367*('Parameter Inputs'!G1367-'Parameter Inputs'!E1367)*86400</f>
        <v>261949728.52154717</v>
      </c>
      <c r="N1367" s="8">
        <f t="shared" ca="1" si="43"/>
        <v>634417424.40235817</v>
      </c>
      <c r="O1367" s="8">
        <f>'Parameter Inputs'!I787</f>
        <v>1</v>
      </c>
      <c r="P1367" s="8">
        <f t="shared" ca="1" si="44"/>
        <v>634417424.40235817</v>
      </c>
      <c r="Q1367" s="8">
        <f ca="1">P1367*30</f>
        <v>19032522732.070744</v>
      </c>
      <c r="R1367" s="8">
        <f ca="1">N1367*'Parameter Inputs'!$F$411</f>
        <v>3172087122.0117908</v>
      </c>
      <c r="S1367" s="8">
        <f ca="1">Q1367/'Parameter Inputs'!$F$439</f>
        <v>21876462910.426144</v>
      </c>
      <c r="T1367" s="47">
        <f ca="1">(S1367*(0.000000277778))/'Parameter Inputs'!$F$439</f>
        <v>6984.8277176233942</v>
      </c>
    </row>
    <row r="1368" spans="4:32" ht="15" thickBot="1">
      <c r="D1368" s="53" t="s">
        <v>73</v>
      </c>
      <c r="E1368" s="53">
        <f>'Parameter Inputs'!E92</f>
        <v>6</v>
      </c>
      <c r="F1368" s="8">
        <f>'Parameter Inputs'!F92</f>
        <v>6.9686411149825789</v>
      </c>
      <c r="G1368" s="53">
        <v>25</v>
      </c>
      <c r="H1368" s="54">
        <f ca="1">2*PI()*('Parameter Inputs'!$K$788/2)*'Parameter Inputs'!$L$788</f>
        <v>250.3055159209066</v>
      </c>
      <c r="I1368" s="54">
        <f ca="1">PI()*(('Parameter Inputs'!$K$788/2)^2)</f>
        <v>62.57637898022665</v>
      </c>
      <c r="J1368" s="54">
        <f t="shared" ca="1" si="42"/>
        <v>62.57637898022665</v>
      </c>
      <c r="K1368" s="53">
        <f ca="1">'Parameter Inputs'!$F$180*'Parameter Inputs'!H1368*('Parameter Inputs'!G1368-'Parameter Inputs'!E1368)*86400</f>
        <v>287631074.45503223</v>
      </c>
      <c r="L1368" s="53">
        <f ca="1">'Parameter Inputs'!$H$180*'Parameter Inputs'!J1368*('Parameter Inputs'!G1368-'Parameter Inputs'!F1368)*86400</f>
        <v>136483661.31531191</v>
      </c>
      <c r="M1368" s="53">
        <f ca="1">'Parameter Inputs'!$J$180*'Parameter Inputs'!I1368*('Parameter Inputs'!G1368-'Parameter Inputs'!E1368)*86400</f>
        <v>292767343.64172924</v>
      </c>
      <c r="N1368" s="53">
        <f t="shared" ca="1" si="43"/>
        <v>716882079.41207337</v>
      </c>
      <c r="O1368" s="53">
        <f>'Parameter Inputs'!I787</f>
        <v>1</v>
      </c>
      <c r="P1368" s="53">
        <f t="shared" ca="1" si="44"/>
        <v>716882079.41207337</v>
      </c>
      <c r="Q1368" s="53">
        <f ca="1">P1368*31</f>
        <v>22223344461.774273</v>
      </c>
      <c r="R1368" s="53">
        <f ca="1">N1368*'Parameter Inputs'!$F$411</f>
        <v>3584410397.0603666</v>
      </c>
      <c r="S1368" s="53">
        <f ca="1">Q1368/'Parameter Inputs'!$F$439</f>
        <v>25544074093.993416</v>
      </c>
      <c r="T1368" s="56">
        <f ca="1">(S1368*(0.000000277778))/'Parameter Inputs'!$F$439</f>
        <v>8155.8411651509232</v>
      </c>
    </row>
    <row r="1369" spans="4:32" ht="15" thickTop="1">
      <c r="H1369" s="105"/>
      <c r="I1369" s="105"/>
      <c r="J1369" s="105"/>
      <c r="T1369" s="86">
        <f ca="1">SUM(T1357:T1368)</f>
        <v>75064.949062524625</v>
      </c>
    </row>
    <row r="1370" spans="4:32">
      <c r="H1370" s="105"/>
      <c r="I1370" s="105"/>
      <c r="J1370" s="105"/>
      <c r="T1370" s="86"/>
    </row>
    <row r="1371" spans="4:32">
      <c r="D1371" s="5" t="s">
        <v>44</v>
      </c>
      <c r="H1371" s="105"/>
      <c r="I1371" s="105"/>
      <c r="J1371" s="105"/>
      <c r="T1371" s="86"/>
    </row>
    <row r="1372" spans="4:32" ht="58">
      <c r="D1372" s="8" t="s">
        <v>74</v>
      </c>
      <c r="E1372" s="8" t="s">
        <v>1065</v>
      </c>
      <c r="F1372" s="8" t="s">
        <v>1066</v>
      </c>
      <c r="G1372" s="8" t="s">
        <v>1067</v>
      </c>
      <c r="H1372" s="8" t="s">
        <v>123</v>
      </c>
      <c r="I1372" s="8" t="s">
        <v>121</v>
      </c>
      <c r="J1372" s="8" t="s">
        <v>1068</v>
      </c>
      <c r="K1372" s="8" t="s">
        <v>1069</v>
      </c>
      <c r="L1372" s="8" t="s">
        <v>1070</v>
      </c>
      <c r="M1372" s="8" t="s">
        <v>1071</v>
      </c>
      <c r="N1372" s="8" t="s">
        <v>1072</v>
      </c>
      <c r="O1372" s="8" t="s">
        <v>1073</v>
      </c>
      <c r="P1372" s="8" t="s">
        <v>1074</v>
      </c>
      <c r="Q1372" s="8" t="s">
        <v>1115</v>
      </c>
      <c r="R1372" s="8" t="s">
        <v>119</v>
      </c>
      <c r="S1372" s="8" t="s">
        <v>120</v>
      </c>
      <c r="T1372" s="8" t="s">
        <v>153</v>
      </c>
      <c r="U1372" s="102" t="s">
        <v>469</v>
      </c>
      <c r="V1372" s="8" t="s">
        <v>470</v>
      </c>
      <c r="W1372" s="8" t="s">
        <v>471</v>
      </c>
      <c r="X1372" s="8" t="s">
        <v>472</v>
      </c>
    </row>
    <row r="1373" spans="4:32">
      <c r="D1373" s="8" t="s">
        <v>62</v>
      </c>
      <c r="E1373" s="8">
        <f>'Parameter Inputs'!E70</f>
        <v>6</v>
      </c>
      <c r="F1373" s="8">
        <v>90</v>
      </c>
      <c r="G1373" s="8">
        <f ca="1">2*PI()*('Parameter Inputs'!$K$790/2)*'Parameter Inputs'!$L$790</f>
        <v>64.984971308520073</v>
      </c>
      <c r="H1373" s="50">
        <f ca="1">PI()*(('Parameter Inputs'!$K$790/2)^2)</f>
        <v>16.246242827130018</v>
      </c>
      <c r="I1373" s="50">
        <f t="shared" ref="I1373:I1384" ca="1" si="45">H1373</f>
        <v>16.246242827130018</v>
      </c>
      <c r="J1373" s="8">
        <f ca="1">'Parameter Inputs'!$F$186*'Parameter Inputs'!G1373*('Parameter Inputs'!F1373-'Parameter Inputs'!E1373)*3600</f>
        <v>13756018.726587528</v>
      </c>
      <c r="K1373" s="8">
        <f ca="1">'Parameter Inputs'!$H$186*'Parameter Inputs'!I1373*('Parameter Inputs'!F1373-'Parameter Inputs'!E1373)*3600</f>
        <v>6878009.3632937642</v>
      </c>
      <c r="L1373" s="8">
        <f ca="1">'Parameter Inputs'!$J$186*'Parameter Inputs'!H1373*('Parameter Inputs'!F1373-'Parameter Inputs'!E1373)*86400</f>
        <v>336039886.03520966</v>
      </c>
      <c r="M1373" s="8">
        <f t="shared" ref="M1373:M1384" ca="1" si="46">SUM(J1373:L1373)</f>
        <v>356673914.12509096</v>
      </c>
      <c r="N1373" s="8">
        <f>2</f>
        <v>2</v>
      </c>
      <c r="O1373" s="8">
        <f t="shared" ref="O1373:O1384" ca="1" si="47">M1373*N1373</f>
        <v>713347828.25018191</v>
      </c>
      <c r="P1373" s="8">
        <f t="shared" ref="P1373:P1384" ca="1" si="48">O1373*31</f>
        <v>22113782675.755638</v>
      </c>
      <c r="Q1373" s="8">
        <f ca="1">'Parameter Inputs'!N1155</f>
        <v>71874.620090860888</v>
      </c>
      <c r="R1373" s="8">
        <v>1896</v>
      </c>
      <c r="S1373" s="103">
        <v>25</v>
      </c>
      <c r="T1373" s="8">
        <v>90</v>
      </c>
      <c r="U1373" s="58">
        <f t="shared" ref="U1373:U1384" ca="1" si="49">(Q1373*R1373*(T1373-S1373))*2</f>
        <v>17715656359.995392</v>
      </c>
      <c r="V1373" s="58">
        <f ca="1">U1373*31</f>
        <v>549185347159.85718</v>
      </c>
      <c r="W1373" s="58">
        <f t="shared" ref="W1373:W1384" ca="1" si="50">V1373+P1373</f>
        <v>571299129835.61279</v>
      </c>
      <c r="X1373" s="47">
        <f ca="1">(0.000000277778)*W1373</f>
        <v>158694.32968747686</v>
      </c>
      <c r="Z1373" s="106"/>
      <c r="AA1373" s="106"/>
      <c r="AB1373" s="106"/>
      <c r="AC1373" s="86"/>
    </row>
    <row r="1374" spans="4:32">
      <c r="D1374" s="8" t="s">
        <v>63</v>
      </c>
      <c r="E1374" s="8">
        <f>'Parameter Inputs'!E72</f>
        <v>5</v>
      </c>
      <c r="F1374" s="8">
        <v>90</v>
      </c>
      <c r="G1374" s="8">
        <f ca="1">2*PI()*('Parameter Inputs'!$K$790/2)*'Parameter Inputs'!$L$790</f>
        <v>64.984971308520073</v>
      </c>
      <c r="H1374" s="50">
        <f ca="1">PI()*(('Parameter Inputs'!$K$790/2)^2)</f>
        <v>16.246242827130018</v>
      </c>
      <c r="I1374" s="50">
        <f t="shared" ca="1" si="45"/>
        <v>16.246242827130018</v>
      </c>
      <c r="J1374" s="8">
        <f ca="1">'Parameter Inputs'!$F$186*'Parameter Inputs'!G1374*('Parameter Inputs'!F1374-'Parameter Inputs'!E1374)*3600</f>
        <v>13919780.854284998</v>
      </c>
      <c r="K1374" s="8">
        <f ca="1">'Parameter Inputs'!$H$186*'Parameter Inputs'!I1374*('Parameter Inputs'!F1374-'Parameter Inputs'!E1374)*3600</f>
        <v>6959890.427142499</v>
      </c>
      <c r="L1374" s="8">
        <f ca="1">'Parameter Inputs'!$J$186*'Parameter Inputs'!H1374*('Parameter Inputs'!F1374-'Parameter Inputs'!E1374)*86400</f>
        <v>340040360.86896211</v>
      </c>
      <c r="M1374" s="8">
        <f t="shared" ca="1" si="46"/>
        <v>360920032.15038961</v>
      </c>
      <c r="N1374" s="8">
        <f>2</f>
        <v>2</v>
      </c>
      <c r="O1374" s="8">
        <f t="shared" ca="1" si="47"/>
        <v>721840064.30077922</v>
      </c>
      <c r="P1374" s="8">
        <f t="shared" ca="1" si="48"/>
        <v>22377041993.324158</v>
      </c>
      <c r="Q1374" s="8">
        <f ca="1">'Parameter Inputs'!N1155</f>
        <v>71874.620090860888</v>
      </c>
      <c r="R1374" s="8">
        <v>1896</v>
      </c>
      <c r="S1374" s="103">
        <v>25</v>
      </c>
      <c r="T1374" s="8">
        <v>90</v>
      </c>
      <c r="U1374" s="58">
        <f t="shared" ca="1" si="49"/>
        <v>17715656359.995392</v>
      </c>
      <c r="V1374" s="58">
        <f ca="1">U1374*28</f>
        <v>496038378079.87097</v>
      </c>
      <c r="W1374" s="58">
        <f t="shared" ca="1" si="50"/>
        <v>518415420073.19513</v>
      </c>
      <c r="X1374" s="47">
        <f t="shared" ref="X1374:X1384" ca="1" si="51">(0.000000277778)*W1374</f>
        <v>144004.39855709198</v>
      </c>
      <c r="AA1374" s="106"/>
    </row>
    <row r="1375" spans="4:32">
      <c r="D1375" s="8" t="s">
        <v>64</v>
      </c>
      <c r="E1375" s="8">
        <f>'Parameter Inputs'!E74</f>
        <v>7</v>
      </c>
      <c r="F1375" s="8">
        <v>90</v>
      </c>
      <c r="G1375" s="8">
        <f ca="1">2*PI()*('Parameter Inputs'!$K$790/2)*'Parameter Inputs'!$L$790</f>
        <v>64.984971308520073</v>
      </c>
      <c r="H1375" s="50">
        <f ca="1">PI()*(('Parameter Inputs'!$K$790/2)^2)</f>
        <v>16.246242827130018</v>
      </c>
      <c r="I1375" s="50">
        <f t="shared" ca="1" si="45"/>
        <v>16.246242827130018</v>
      </c>
      <c r="J1375" s="8">
        <f ca="1">'Parameter Inputs'!$F$186*'Parameter Inputs'!G1375*('Parameter Inputs'!F1375-'Parameter Inputs'!E1375)*3600</f>
        <v>13592256.598890057</v>
      </c>
      <c r="K1375" s="8">
        <f ca="1">'Parameter Inputs'!$H$186*'Parameter Inputs'!I1375*('Parameter Inputs'!F1375-'Parameter Inputs'!E1375)*3600</f>
        <v>6796128.2994450284</v>
      </c>
      <c r="L1375" s="8">
        <f ca="1">'Parameter Inputs'!$J$186*'Parameter Inputs'!H1375*('Parameter Inputs'!F1375-'Parameter Inputs'!E1375)*86400</f>
        <v>332039411.20145714</v>
      </c>
      <c r="M1375" s="8">
        <f t="shared" ca="1" si="46"/>
        <v>352427796.09979224</v>
      </c>
      <c r="N1375" s="8">
        <f>2</f>
        <v>2</v>
      </c>
      <c r="O1375" s="8">
        <f t="shared" ca="1" si="47"/>
        <v>704855592.19958448</v>
      </c>
      <c r="P1375" s="8">
        <f t="shared" ca="1" si="48"/>
        <v>21850523358.187119</v>
      </c>
      <c r="Q1375" s="8">
        <f ca="1">'Parameter Inputs'!N1155</f>
        <v>71874.620090860888</v>
      </c>
      <c r="R1375" s="8">
        <v>1896</v>
      </c>
      <c r="S1375" s="103">
        <v>25</v>
      </c>
      <c r="T1375" s="8">
        <v>90</v>
      </c>
      <c r="U1375" s="58">
        <f t="shared" ca="1" si="49"/>
        <v>17715656359.995392</v>
      </c>
      <c r="V1375" s="58">
        <f ca="1">U1375*31</f>
        <v>549185347159.85718</v>
      </c>
      <c r="W1375" s="58">
        <f t="shared" ca="1" si="50"/>
        <v>571035870518.04431</v>
      </c>
      <c r="X1375" s="47">
        <f t="shared" ca="1" si="51"/>
        <v>158621.2020407613</v>
      </c>
      <c r="AA1375" s="106"/>
    </row>
    <row r="1376" spans="4:32">
      <c r="D1376" s="8" t="s">
        <v>65</v>
      </c>
      <c r="E1376" s="8">
        <f>'Parameter Inputs'!E76</f>
        <v>8</v>
      </c>
      <c r="F1376" s="8">
        <v>90</v>
      </c>
      <c r="G1376" s="8">
        <f ca="1">2*PI()*('Parameter Inputs'!$K$790/2)*'Parameter Inputs'!$L$790</f>
        <v>64.984971308520073</v>
      </c>
      <c r="H1376" s="50">
        <f ca="1">PI()*(('Parameter Inputs'!$K$790/2)^2)</f>
        <v>16.246242827130018</v>
      </c>
      <c r="I1376" s="50">
        <f t="shared" ca="1" si="45"/>
        <v>16.246242827130018</v>
      </c>
      <c r="J1376" s="8">
        <f ca="1">'Parameter Inputs'!$F$186*'Parameter Inputs'!G1376*('Parameter Inputs'!F1376-'Parameter Inputs'!E1376)*3600</f>
        <v>13428494.471192585</v>
      </c>
      <c r="K1376" s="8">
        <f ca="1">'Parameter Inputs'!$H$186*'Parameter Inputs'!I1376*('Parameter Inputs'!F1376-'Parameter Inputs'!E1376)*3600</f>
        <v>6714247.2355962927</v>
      </c>
      <c r="L1376" s="8">
        <f ca="1">'Parameter Inputs'!$J$186*'Parameter Inputs'!H1376*('Parameter Inputs'!F1376-'Parameter Inputs'!E1376)*86400</f>
        <v>328038936.36770469</v>
      </c>
      <c r="M1376" s="8">
        <f t="shared" ca="1" si="46"/>
        <v>348181678.07449359</v>
      </c>
      <c r="N1376" s="8">
        <f>2</f>
        <v>2</v>
      </c>
      <c r="O1376" s="8">
        <f t="shared" ca="1" si="47"/>
        <v>696363356.14898717</v>
      </c>
      <c r="P1376" s="8">
        <f t="shared" ca="1" si="48"/>
        <v>21587264040.618603</v>
      </c>
      <c r="Q1376" s="8">
        <f ca="1">'Parameter Inputs'!N1155</f>
        <v>71874.620090860888</v>
      </c>
      <c r="R1376" s="8">
        <v>1896</v>
      </c>
      <c r="S1376" s="103">
        <v>25</v>
      </c>
      <c r="T1376" s="8">
        <v>90</v>
      </c>
      <c r="U1376" s="58">
        <f t="shared" ca="1" si="49"/>
        <v>17715656359.995392</v>
      </c>
      <c r="V1376" s="58">
        <f ca="1">U1376*30</f>
        <v>531469690799.86176</v>
      </c>
      <c r="W1376" s="58">
        <f t="shared" ca="1" si="50"/>
        <v>553056954840.48035</v>
      </c>
      <c r="X1376" s="47">
        <f t="shared" ca="1" si="51"/>
        <v>153627.05480167895</v>
      </c>
      <c r="AA1376" s="106"/>
    </row>
    <row r="1377" spans="4:27">
      <c r="D1377" s="8" t="s">
        <v>66</v>
      </c>
      <c r="E1377" s="8">
        <f>'Parameter Inputs'!E78</f>
        <v>11</v>
      </c>
      <c r="F1377" s="8">
        <v>90</v>
      </c>
      <c r="G1377" s="8">
        <f ca="1">2*PI()*('Parameter Inputs'!$K$790/2)*'Parameter Inputs'!$L$790</f>
        <v>64.984971308520073</v>
      </c>
      <c r="H1377" s="50">
        <f ca="1">PI()*(('Parameter Inputs'!$K$790/2)^2)</f>
        <v>16.246242827130018</v>
      </c>
      <c r="I1377" s="50">
        <f t="shared" ca="1" si="45"/>
        <v>16.246242827130018</v>
      </c>
      <c r="J1377" s="8">
        <f ca="1">'Parameter Inputs'!$F$186*'Parameter Inputs'!G1377*('Parameter Inputs'!F1377-'Parameter Inputs'!E1377)*3600</f>
        <v>12937208.088100176</v>
      </c>
      <c r="K1377" s="8">
        <f ca="1">'Parameter Inputs'!$H$186*'Parameter Inputs'!I1377*('Parameter Inputs'!F1377-'Parameter Inputs'!E1377)*3600</f>
        <v>6468604.0440500882</v>
      </c>
      <c r="L1377" s="8">
        <f ca="1">'Parameter Inputs'!$J$186*'Parameter Inputs'!H1377*('Parameter Inputs'!F1377-'Parameter Inputs'!E1377)*86400</f>
        <v>316037511.86644721</v>
      </c>
      <c r="M1377" s="8">
        <f t="shared" ca="1" si="46"/>
        <v>335443323.9985975</v>
      </c>
      <c r="N1377" s="8">
        <f>2</f>
        <v>2</v>
      </c>
      <c r="O1377" s="8">
        <f t="shared" ca="1" si="47"/>
        <v>670886647.99719501</v>
      </c>
      <c r="P1377" s="8">
        <f t="shared" ca="1" si="48"/>
        <v>20797486087.913044</v>
      </c>
      <c r="Q1377" s="8">
        <f ca="1">'Parameter Inputs'!N1155</f>
        <v>71874.620090860888</v>
      </c>
      <c r="R1377" s="8">
        <v>1896</v>
      </c>
      <c r="S1377" s="103">
        <v>25</v>
      </c>
      <c r="T1377" s="8">
        <v>90</v>
      </c>
      <c r="U1377" s="58">
        <f t="shared" ca="1" si="49"/>
        <v>17715656359.995392</v>
      </c>
      <c r="V1377" s="58">
        <f ca="1">U1377*31</f>
        <v>549185347159.85718</v>
      </c>
      <c r="W1377" s="58">
        <f t="shared" ca="1" si="50"/>
        <v>569982833247.77026</v>
      </c>
      <c r="X1377" s="47">
        <f t="shared" ca="1" si="51"/>
        <v>158328.69145389911</v>
      </c>
      <c r="AA1377" s="106"/>
    </row>
    <row r="1378" spans="4:27">
      <c r="D1378" s="8" t="s">
        <v>67</v>
      </c>
      <c r="E1378" s="8">
        <f>'Parameter Inputs'!E80</f>
        <v>13</v>
      </c>
      <c r="F1378" s="8">
        <v>90</v>
      </c>
      <c r="G1378" s="8">
        <f ca="1">2*PI()*('Parameter Inputs'!$K$790/2)*'Parameter Inputs'!$L$790</f>
        <v>64.984971308520073</v>
      </c>
      <c r="H1378" s="50">
        <f ca="1">PI()*(('Parameter Inputs'!$K$790/2)^2)</f>
        <v>16.246242827130018</v>
      </c>
      <c r="I1378" s="50">
        <f t="shared" ca="1" si="45"/>
        <v>16.246242827130018</v>
      </c>
      <c r="J1378" s="8">
        <f ca="1">'Parameter Inputs'!$F$186*'Parameter Inputs'!G1378*('Parameter Inputs'!F1378-'Parameter Inputs'!E1378)*3600</f>
        <v>12609683.832705235</v>
      </c>
      <c r="K1378" s="8">
        <f ca="1">'Parameter Inputs'!$H$186*'Parameter Inputs'!I1378*('Parameter Inputs'!F1378-'Parameter Inputs'!E1378)*3600</f>
        <v>6304841.9163526176</v>
      </c>
      <c r="L1378" s="8">
        <f ca="1">'Parameter Inputs'!$J$186*'Parameter Inputs'!H1378*('Parameter Inputs'!F1378-'Parameter Inputs'!E1378)*86400</f>
        <v>308036562.19894218</v>
      </c>
      <c r="M1378" s="8">
        <f t="shared" ca="1" si="46"/>
        <v>326951087.94800001</v>
      </c>
      <c r="N1378" s="8">
        <f>2</f>
        <v>2</v>
      </c>
      <c r="O1378" s="8">
        <f t="shared" ca="1" si="47"/>
        <v>653902175.89600003</v>
      </c>
      <c r="P1378" s="8">
        <f t="shared" ca="1" si="48"/>
        <v>20270967452.776001</v>
      </c>
      <c r="Q1378" s="8">
        <f ca="1">'Parameter Inputs'!N1155</f>
        <v>71874.620090860888</v>
      </c>
      <c r="R1378" s="8">
        <v>1896</v>
      </c>
      <c r="S1378" s="103">
        <v>25</v>
      </c>
      <c r="T1378" s="8">
        <v>90</v>
      </c>
      <c r="U1378" s="58">
        <f t="shared" ca="1" si="49"/>
        <v>17715656359.995392</v>
      </c>
      <c r="V1378" s="58">
        <f ca="1">U1378*30</f>
        <v>531469690799.86176</v>
      </c>
      <c r="W1378" s="58">
        <f t="shared" ca="1" si="50"/>
        <v>551740658252.6377</v>
      </c>
      <c r="X1378" s="47">
        <f t="shared" ca="1" si="51"/>
        <v>153261.41656810118</v>
      </c>
      <c r="AA1378" s="106"/>
    </row>
    <row r="1379" spans="4:27">
      <c r="D1379" s="8" t="s">
        <v>68</v>
      </c>
      <c r="E1379" s="8">
        <f>'Parameter Inputs'!E82</f>
        <v>15</v>
      </c>
      <c r="F1379" s="8">
        <v>90</v>
      </c>
      <c r="G1379" s="8">
        <f ca="1">2*PI()*('Parameter Inputs'!$K$790/2)*'Parameter Inputs'!$L$790</f>
        <v>64.984971308520073</v>
      </c>
      <c r="H1379" s="50">
        <f ca="1">PI()*(('Parameter Inputs'!$K$790/2)^2)</f>
        <v>16.246242827130018</v>
      </c>
      <c r="I1379" s="50">
        <f t="shared" ca="1" si="45"/>
        <v>16.246242827130018</v>
      </c>
      <c r="J1379" s="8">
        <f ca="1">'Parameter Inputs'!$F$186*'Parameter Inputs'!G1379*('Parameter Inputs'!F1379-'Parameter Inputs'!E1379)*3600</f>
        <v>12282159.577310292</v>
      </c>
      <c r="K1379" s="8">
        <f ca="1">'Parameter Inputs'!$H$186*'Parameter Inputs'!I1379*('Parameter Inputs'!F1379-'Parameter Inputs'!E1379)*3600</f>
        <v>6141079.788655146</v>
      </c>
      <c r="L1379" s="8">
        <f ca="1">'Parameter Inputs'!$J$186*'Parameter Inputs'!H1379*('Parameter Inputs'!F1379-'Parameter Inputs'!E1379)*86400</f>
        <v>300035612.53143722</v>
      </c>
      <c r="M1379" s="8">
        <f t="shared" ca="1" si="46"/>
        <v>318458851.89740264</v>
      </c>
      <c r="N1379" s="8">
        <f>2</f>
        <v>2</v>
      </c>
      <c r="O1379" s="8">
        <f t="shared" ca="1" si="47"/>
        <v>636917703.79480529</v>
      </c>
      <c r="P1379" s="8">
        <f t="shared" ca="1" si="48"/>
        <v>19744448817.638966</v>
      </c>
      <c r="Q1379" s="8">
        <f ca="1">'Parameter Inputs'!N1155</f>
        <v>71874.620090860888</v>
      </c>
      <c r="R1379" s="8">
        <v>1896</v>
      </c>
      <c r="S1379" s="103">
        <v>25</v>
      </c>
      <c r="T1379" s="8">
        <v>90</v>
      </c>
      <c r="U1379" s="58">
        <f t="shared" ca="1" si="49"/>
        <v>17715656359.995392</v>
      </c>
      <c r="V1379" s="58">
        <f ca="1">U1379*31</f>
        <v>549185347159.85718</v>
      </c>
      <c r="W1379" s="58">
        <f t="shared" ca="1" si="50"/>
        <v>568929795977.49609</v>
      </c>
      <c r="X1379" s="47">
        <f t="shared" ca="1" si="51"/>
        <v>158036.18086703689</v>
      </c>
      <c r="AA1379" s="106"/>
    </row>
    <row r="1380" spans="4:27">
      <c r="D1380" s="8" t="s">
        <v>69</v>
      </c>
      <c r="E1380" s="8">
        <f>'Parameter Inputs'!E84</f>
        <v>15</v>
      </c>
      <c r="F1380" s="8">
        <v>90</v>
      </c>
      <c r="G1380" s="8">
        <f ca="1">2*PI()*('Parameter Inputs'!$K$790/2)*'Parameter Inputs'!$L$790</f>
        <v>64.984971308520073</v>
      </c>
      <c r="H1380" s="50">
        <f ca="1">PI()*(('Parameter Inputs'!$K$790/2)^2)</f>
        <v>16.246242827130018</v>
      </c>
      <c r="I1380" s="50">
        <f t="shared" ca="1" si="45"/>
        <v>16.246242827130018</v>
      </c>
      <c r="J1380" s="8">
        <f ca="1">'Parameter Inputs'!$F$186*'Parameter Inputs'!G1380*('Parameter Inputs'!F1380-'Parameter Inputs'!E1380)*3600</f>
        <v>12282159.577310292</v>
      </c>
      <c r="K1380" s="8">
        <f ca="1">'Parameter Inputs'!$H$186*'Parameter Inputs'!I1380*('Parameter Inputs'!F1380-'Parameter Inputs'!E1380)*3600</f>
        <v>6141079.788655146</v>
      </c>
      <c r="L1380" s="8">
        <f ca="1">'Parameter Inputs'!$J$186*'Parameter Inputs'!H1380*('Parameter Inputs'!F1380-'Parameter Inputs'!E1380)*86400</f>
        <v>300035612.53143722</v>
      </c>
      <c r="M1380" s="8">
        <f t="shared" ca="1" si="46"/>
        <v>318458851.89740264</v>
      </c>
      <c r="N1380" s="8">
        <f>2</f>
        <v>2</v>
      </c>
      <c r="O1380" s="8">
        <f t="shared" ca="1" si="47"/>
        <v>636917703.79480529</v>
      </c>
      <c r="P1380" s="8">
        <f t="shared" ca="1" si="48"/>
        <v>19744448817.638966</v>
      </c>
      <c r="Q1380" s="8">
        <f ca="1">'Parameter Inputs'!N1155</f>
        <v>71874.620090860888</v>
      </c>
      <c r="R1380" s="8">
        <v>1896</v>
      </c>
      <c r="S1380" s="103">
        <v>25</v>
      </c>
      <c r="T1380" s="8">
        <v>90</v>
      </c>
      <c r="U1380" s="58">
        <f t="shared" ca="1" si="49"/>
        <v>17715656359.995392</v>
      </c>
      <c r="V1380" s="58">
        <f ca="1">U1380*31</f>
        <v>549185347159.85718</v>
      </c>
      <c r="W1380" s="58">
        <f t="shared" ca="1" si="50"/>
        <v>568929795977.49609</v>
      </c>
      <c r="X1380" s="47">
        <f t="shared" ca="1" si="51"/>
        <v>158036.18086703689</v>
      </c>
      <c r="AA1380" s="106"/>
    </row>
    <row r="1381" spans="4:27">
      <c r="D1381" s="8" t="s">
        <v>70</v>
      </c>
      <c r="E1381" s="8">
        <f>'Parameter Inputs'!E86</f>
        <v>13</v>
      </c>
      <c r="F1381" s="8">
        <v>90</v>
      </c>
      <c r="G1381" s="8">
        <f ca="1">2*PI()*('Parameter Inputs'!$K$790/2)*'Parameter Inputs'!$L$790</f>
        <v>64.984971308520073</v>
      </c>
      <c r="H1381" s="50">
        <f ca="1">PI()*(('Parameter Inputs'!$K$790/2)^2)</f>
        <v>16.246242827130018</v>
      </c>
      <c r="I1381" s="50">
        <f t="shared" ca="1" si="45"/>
        <v>16.246242827130018</v>
      </c>
      <c r="J1381" s="8">
        <f ca="1">'Parameter Inputs'!$F$186*'Parameter Inputs'!G1381*('Parameter Inputs'!F1381-'Parameter Inputs'!E1381)*3600</f>
        <v>12609683.832705235</v>
      </c>
      <c r="K1381" s="8">
        <f ca="1">'Parameter Inputs'!$H$186*'Parameter Inputs'!I1381*('Parameter Inputs'!F1381-'Parameter Inputs'!E1381)*3600</f>
        <v>6304841.9163526176</v>
      </c>
      <c r="L1381" s="8">
        <f ca="1">'Parameter Inputs'!$J$186*'Parameter Inputs'!H1381*('Parameter Inputs'!F1381-'Parameter Inputs'!E1381)*86400</f>
        <v>308036562.19894218</v>
      </c>
      <c r="M1381" s="8">
        <f t="shared" ca="1" si="46"/>
        <v>326951087.94800001</v>
      </c>
      <c r="N1381" s="8">
        <f>2</f>
        <v>2</v>
      </c>
      <c r="O1381" s="8">
        <f t="shared" ca="1" si="47"/>
        <v>653902175.89600003</v>
      </c>
      <c r="P1381" s="8">
        <f t="shared" ca="1" si="48"/>
        <v>20270967452.776001</v>
      </c>
      <c r="Q1381" s="8">
        <f ca="1">'Parameter Inputs'!N1155</f>
        <v>71874.620090860888</v>
      </c>
      <c r="R1381" s="8">
        <v>1896</v>
      </c>
      <c r="S1381" s="103">
        <v>25</v>
      </c>
      <c r="T1381" s="8">
        <v>90</v>
      </c>
      <c r="U1381" s="58">
        <f t="shared" ca="1" si="49"/>
        <v>17715656359.995392</v>
      </c>
      <c r="V1381" s="58">
        <f ca="1">U1381*30</f>
        <v>531469690799.86176</v>
      </c>
      <c r="W1381" s="58">
        <f t="shared" ca="1" si="50"/>
        <v>551740658252.6377</v>
      </c>
      <c r="X1381" s="47">
        <f t="shared" ca="1" si="51"/>
        <v>153261.41656810118</v>
      </c>
      <c r="AA1381" s="106"/>
    </row>
    <row r="1382" spans="4:27">
      <c r="D1382" s="8" t="s">
        <v>71</v>
      </c>
      <c r="E1382" s="8">
        <f>'Parameter Inputs'!E88</f>
        <v>10</v>
      </c>
      <c r="F1382" s="8">
        <v>90</v>
      </c>
      <c r="G1382" s="8">
        <f ca="1">2*PI()*('Parameter Inputs'!$K$790/2)*'Parameter Inputs'!$L$790</f>
        <v>64.984971308520073</v>
      </c>
      <c r="H1382" s="50">
        <f ca="1">PI()*(('Parameter Inputs'!$K$790/2)^2)</f>
        <v>16.246242827130018</v>
      </c>
      <c r="I1382" s="50">
        <f t="shared" ca="1" si="45"/>
        <v>16.246242827130018</v>
      </c>
      <c r="J1382" s="8">
        <f ca="1">'Parameter Inputs'!$F$186*'Parameter Inputs'!G1382*('Parameter Inputs'!F1382-'Parameter Inputs'!E1382)*3600</f>
        <v>13100970.215797646</v>
      </c>
      <c r="K1382" s="8">
        <f ca="1">'Parameter Inputs'!$H$186*'Parameter Inputs'!I1382*('Parameter Inputs'!F1382-'Parameter Inputs'!E1382)*3600</f>
        <v>6550485.107898823</v>
      </c>
      <c r="L1382" s="8">
        <f ca="1">'Parameter Inputs'!$J$186*'Parameter Inputs'!H1382*('Parameter Inputs'!F1382-'Parameter Inputs'!E1382)*86400</f>
        <v>320037986.70019966</v>
      </c>
      <c r="M1382" s="8">
        <f t="shared" ca="1" si="46"/>
        <v>339689442.02389616</v>
      </c>
      <c r="N1382" s="8">
        <f>2</f>
        <v>2</v>
      </c>
      <c r="O1382" s="8">
        <f t="shared" ca="1" si="47"/>
        <v>679378884.04779232</v>
      </c>
      <c r="P1382" s="8">
        <f t="shared" ca="1" si="48"/>
        <v>21060745405.481564</v>
      </c>
      <c r="Q1382" s="8">
        <f ca="1">'Parameter Inputs'!N1155</f>
        <v>71874.620090860888</v>
      </c>
      <c r="R1382" s="8">
        <v>1896</v>
      </c>
      <c r="S1382" s="103">
        <v>25</v>
      </c>
      <c r="T1382" s="8">
        <v>90</v>
      </c>
      <c r="U1382" s="58">
        <f t="shared" ca="1" si="49"/>
        <v>17715656359.995392</v>
      </c>
      <c r="V1382" s="58">
        <f ca="1">U1382*31</f>
        <v>549185347159.85718</v>
      </c>
      <c r="W1382" s="58">
        <f t="shared" ca="1" si="50"/>
        <v>570246092565.33875</v>
      </c>
      <c r="X1382" s="47">
        <f t="shared" ca="1" si="51"/>
        <v>158401.81910061467</v>
      </c>
      <c r="AA1382" s="106"/>
    </row>
    <row r="1383" spans="4:27">
      <c r="D1383" s="8" t="s">
        <v>72</v>
      </c>
      <c r="E1383" s="8">
        <f>'Parameter Inputs'!E90</f>
        <v>8</v>
      </c>
      <c r="F1383" s="8">
        <v>90</v>
      </c>
      <c r="G1383" s="8">
        <f ca="1">2*PI()*('Parameter Inputs'!$K$790/2)*'Parameter Inputs'!$L$790</f>
        <v>64.984971308520073</v>
      </c>
      <c r="H1383" s="50">
        <f ca="1">PI()*(('Parameter Inputs'!$K$790/2)^2)</f>
        <v>16.246242827130018</v>
      </c>
      <c r="I1383" s="50">
        <f t="shared" ca="1" si="45"/>
        <v>16.246242827130018</v>
      </c>
      <c r="J1383" s="8">
        <f ca="1">'Parameter Inputs'!$F$186*'Parameter Inputs'!G1383*('Parameter Inputs'!F1383-'Parameter Inputs'!E1383)*3600</f>
        <v>13428494.471192585</v>
      </c>
      <c r="K1383" s="8">
        <f ca="1">'Parameter Inputs'!$H$186*'Parameter Inputs'!I1383*('Parameter Inputs'!F1383-'Parameter Inputs'!E1383)*3600</f>
        <v>6714247.2355962927</v>
      </c>
      <c r="L1383" s="8">
        <f ca="1">'Parameter Inputs'!$J$186*'Parameter Inputs'!H1383*('Parameter Inputs'!F1383-'Parameter Inputs'!E1383)*86400</f>
        <v>328038936.36770469</v>
      </c>
      <c r="M1383" s="8">
        <f t="shared" ca="1" si="46"/>
        <v>348181678.07449359</v>
      </c>
      <c r="N1383" s="8">
        <f>2</f>
        <v>2</v>
      </c>
      <c r="O1383" s="8">
        <f t="shared" ca="1" si="47"/>
        <v>696363356.14898717</v>
      </c>
      <c r="P1383" s="8">
        <f t="shared" ca="1" si="48"/>
        <v>21587264040.618603</v>
      </c>
      <c r="Q1383" s="8">
        <f ca="1">'Parameter Inputs'!N1155</f>
        <v>71874.620090860888</v>
      </c>
      <c r="R1383" s="8">
        <v>1896</v>
      </c>
      <c r="S1383" s="103">
        <v>25</v>
      </c>
      <c r="T1383" s="8">
        <v>90</v>
      </c>
      <c r="U1383" s="58">
        <f t="shared" ca="1" si="49"/>
        <v>17715656359.995392</v>
      </c>
      <c r="V1383" s="58">
        <f ca="1">U1383*30</f>
        <v>531469690799.86176</v>
      </c>
      <c r="W1383" s="58">
        <f t="shared" ca="1" si="50"/>
        <v>553056954840.48035</v>
      </c>
      <c r="X1383" s="47">
        <f t="shared" ca="1" si="51"/>
        <v>153627.05480167895</v>
      </c>
      <c r="AA1383" s="106"/>
    </row>
    <row r="1384" spans="4:27">
      <c r="D1384" s="8" t="s">
        <v>73</v>
      </c>
      <c r="E1384" s="8">
        <f>'Parameter Inputs'!E92</f>
        <v>6</v>
      </c>
      <c r="F1384" s="8">
        <v>90</v>
      </c>
      <c r="G1384" s="8">
        <f ca="1">2*PI()*('Parameter Inputs'!$K$790/2)*'Parameter Inputs'!$L$790</f>
        <v>64.984971308520073</v>
      </c>
      <c r="H1384" s="50">
        <f ca="1">PI()*(('Parameter Inputs'!$K$790/2)^2)</f>
        <v>16.246242827130018</v>
      </c>
      <c r="I1384" s="50">
        <f t="shared" ca="1" si="45"/>
        <v>16.246242827130018</v>
      </c>
      <c r="J1384" s="8">
        <f ca="1">'Parameter Inputs'!$F$186*'Parameter Inputs'!G1384*('Parameter Inputs'!F1384-'Parameter Inputs'!E1384)*3600</f>
        <v>13756018.726587528</v>
      </c>
      <c r="K1384" s="8">
        <f ca="1">'Parameter Inputs'!$H$186*'Parameter Inputs'!I1384*('Parameter Inputs'!F1384-'Parameter Inputs'!E1384)*3600</f>
        <v>6878009.3632937642</v>
      </c>
      <c r="L1384" s="8">
        <f ca="1">'Parameter Inputs'!$J$186*'Parameter Inputs'!H1384*('Parameter Inputs'!F1384-'Parameter Inputs'!E1384)*86400</f>
        <v>336039886.03520966</v>
      </c>
      <c r="M1384" s="8">
        <f t="shared" ca="1" si="46"/>
        <v>356673914.12509096</v>
      </c>
      <c r="N1384" s="8">
        <f>2</f>
        <v>2</v>
      </c>
      <c r="O1384" s="8">
        <f t="shared" ca="1" si="47"/>
        <v>713347828.25018191</v>
      </c>
      <c r="P1384" s="8">
        <f t="shared" ca="1" si="48"/>
        <v>22113782675.755638</v>
      </c>
      <c r="Q1384" s="8">
        <f ca="1">'Parameter Inputs'!N1155</f>
        <v>71874.620090860888</v>
      </c>
      <c r="R1384" s="8">
        <v>1896</v>
      </c>
      <c r="S1384" s="103">
        <v>25</v>
      </c>
      <c r="T1384" s="8">
        <v>90</v>
      </c>
      <c r="U1384" s="58">
        <f t="shared" ca="1" si="49"/>
        <v>17715656359.995392</v>
      </c>
      <c r="V1384" s="58">
        <f ca="1">U1384*31</f>
        <v>549185347159.85718</v>
      </c>
      <c r="W1384" s="58">
        <f t="shared" ca="1" si="50"/>
        <v>571299129835.61279</v>
      </c>
      <c r="X1384" s="47">
        <f t="shared" ca="1" si="51"/>
        <v>158694.32968747686</v>
      </c>
      <c r="AA1384" s="106"/>
    </row>
    <row r="1385" spans="4:27">
      <c r="D1385" s="8"/>
      <c r="E1385" s="8"/>
      <c r="F1385" s="8"/>
      <c r="G1385" s="8"/>
      <c r="H1385" s="50"/>
      <c r="I1385" s="50"/>
      <c r="J1385" s="50"/>
      <c r="K1385" s="8"/>
      <c r="L1385" s="8"/>
      <c r="M1385" s="8"/>
      <c r="N1385" s="8"/>
      <c r="O1385" s="8"/>
      <c r="P1385" s="8"/>
      <c r="Q1385" s="8"/>
      <c r="R1385" s="8"/>
      <c r="S1385" s="47"/>
      <c r="T1385" s="8"/>
      <c r="U1385" s="8"/>
      <c r="V1385" s="8"/>
      <c r="W1385" s="8"/>
      <c r="X1385" s="47">
        <f ca="1">SUM(X1373:X1384)</f>
        <v>1866594.0750009546</v>
      </c>
    </row>
    <row r="1386" spans="4:27">
      <c r="H1386" s="105"/>
      <c r="I1386" s="105"/>
      <c r="J1386" s="105"/>
      <c r="Q1386" s="106"/>
      <c r="R1386" s="86"/>
      <c r="T1386" s="86"/>
      <c r="Y1386" s="86"/>
    </row>
    <row r="1387" spans="4:27">
      <c r="S1387" s="101"/>
    </row>
    <row r="1388" spans="4:27">
      <c r="D1388" s="42" t="s">
        <v>109</v>
      </c>
      <c r="E1388" s="121" t="s">
        <v>978</v>
      </c>
      <c r="F1388" s="42" t="s">
        <v>503</v>
      </c>
      <c r="G1388" s="42" t="s">
        <v>1248</v>
      </c>
      <c r="H1388" s="42" t="s">
        <v>504</v>
      </c>
      <c r="I1388" s="42" t="s">
        <v>505</v>
      </c>
      <c r="J1388" s="42" t="s">
        <v>1666</v>
      </c>
      <c r="S1388" s="109"/>
    </row>
    <row r="1389" spans="4:27">
      <c r="D1389" s="300" t="s">
        <v>1274</v>
      </c>
      <c r="E1389" s="301" cm="1">
        <f t="array" aca="1" ref="E1389" ca="1">_xlfn.IFS('Parameter Inputs'!F28='Parameter Inputs'!BJ43,'Parameter Inputs'!L907*'Parameter Inputs'!F690,'Parameter Inputs'!F28='Parameter Inputs'!BJ42,E1429/365)</f>
        <v>182.04337424696635</v>
      </c>
      <c r="F1389" s="302">
        <f ca="1">E1389*'Parameter Inputs'!E11</f>
        <v>66445.831600142716</v>
      </c>
      <c r="G1389" s="303">
        <f ca="1">'Parameter Inputs'!$F1389/F1405</f>
        <v>9.582669584875747E-3</v>
      </c>
      <c r="H1389" s="304"/>
      <c r="I1389" s="302" cm="1">
        <f t="array" aca="1" ref="I1389" ca="1">_xlfn.IFS('Parameter Inputs'!F28='Parameter Inputs'!BJ43,'Parameter Inputs'!L907*'Parameter Inputs'!F688*365,'Parameter Inputs'!F28='Parameter Inputs'!BJ42,AA1425)</f>
        <v>1070516.175780077</v>
      </c>
      <c r="J1389" s="305">
        <f ca="1">'Parameter Inputs'!$I1389/$I$1405</f>
        <v>7.2652514823893857E-2</v>
      </c>
      <c r="L1389" s="86"/>
      <c r="M1389" s="105"/>
      <c r="S1389" s="101"/>
    </row>
    <row r="1390" spans="4:27">
      <c r="D1390" s="8" t="s">
        <v>1247</v>
      </c>
      <c r="E1390" s="8">
        <f ca="1">IFERROR('Parameter Inputs'!F461*(24*5),0)</f>
        <v>250.49890148740496</v>
      </c>
      <c r="F1390" s="49">
        <f ca="1">E1390*'Parameter Inputs'!E11</f>
        <v>91432.099042902817</v>
      </c>
      <c r="G1390" s="306">
        <f ca="1">'Parameter Inputs'!$F1390/F1405</f>
        <v>1.3186133328157334E-2</v>
      </c>
      <c r="H1390" s="8">
        <v>0</v>
      </c>
      <c r="I1390" s="49">
        <f ca="1">AA1335</f>
        <v>11650551.541248491</v>
      </c>
      <c r="J1390" s="284">
        <f ca="1">'Parameter Inputs'!$I1390/$I$1405</f>
        <v>0.79068573432839506</v>
      </c>
      <c r="L1390" s="86"/>
      <c r="M1390" s="105"/>
    </row>
    <row r="1391" spans="4:27">
      <c r="D1391" s="300" t="s">
        <v>409</v>
      </c>
      <c r="E1391" s="300">
        <f ca="1">IFERROR('Parameter Inputs'!F470*'Parameter Inputs'!H1080,0)</f>
        <v>2345.0951981291755</v>
      </c>
      <c r="F1391" s="302">
        <f ca="1">E1391*'Parameter Inputs'!E11</f>
        <v>855959.74731714907</v>
      </c>
      <c r="G1391" s="303">
        <f ca="1">'Parameter Inputs'!$F1391/F1405</f>
        <v>0.12344460501080336</v>
      </c>
      <c r="H1391" s="300">
        <v>0</v>
      </c>
      <c r="I1391" s="304">
        <v>0</v>
      </c>
      <c r="J1391" s="305">
        <f ca="1">'Parameter Inputs'!$I1391/$I$1405</f>
        <v>0</v>
      </c>
      <c r="L1391" s="86"/>
      <c r="M1391" s="105"/>
      <c r="S1391" s="101"/>
      <c r="T1391" s="86"/>
    </row>
    <row r="1392" spans="4:27">
      <c r="D1392" s="307" t="s">
        <v>13</v>
      </c>
      <c r="E1392" s="49">
        <f ca="1">IFERROR('Parameter Inputs'!E1137/'Parameter Inputs'!F528,0)</f>
        <v>2327.0352468422439</v>
      </c>
      <c r="F1392" s="49">
        <f ca="1">E1392*'Parameter Inputs'!E11</f>
        <v>849367.86509741901</v>
      </c>
      <c r="G1392" s="306">
        <f ca="1">'Parameter Inputs'!$F1392/F1405</f>
        <v>0.12249393846434155</v>
      </c>
      <c r="H1392" s="8">
        <v>0</v>
      </c>
      <c r="I1392" s="49">
        <f ca="1">T1352</f>
        <v>65038.523892914091</v>
      </c>
      <c r="J1392" s="284">
        <f ca="1">'Parameter Inputs'!$I1392/$I$1405</f>
        <v>4.4139569566157087E-3</v>
      </c>
      <c r="L1392" s="86"/>
      <c r="M1392" s="105"/>
    </row>
    <row r="1393" spans="4:23">
      <c r="D1393" s="300" t="s">
        <v>25</v>
      </c>
      <c r="E1393" s="302">
        <f ca="1">'Parameter Inputs'!K1124/'Parameter Inputs'!F552</f>
        <v>7082.7117163932999</v>
      </c>
      <c r="F1393" s="302">
        <f ca="1">E1393*'Parameter Inputs'!E11</f>
        <v>2585189.7764835544</v>
      </c>
      <c r="G1393" s="303">
        <f ca="1">'Parameter Inputs'!$F1393/F1405</f>
        <v>0.37283030170078385</v>
      </c>
      <c r="H1393" s="300">
        <v>0</v>
      </c>
      <c r="I1393" s="302">
        <f ca="1">T1369</f>
        <v>75064.949062524625</v>
      </c>
      <c r="J1393" s="305">
        <f ca="1">'Parameter Inputs'!$I1393/$I$1405</f>
        <v>5.0944184197365067E-3</v>
      </c>
      <c r="L1393" s="86"/>
      <c r="M1393" s="105"/>
      <c r="S1393" s="101"/>
      <c r="W1393" s="88"/>
    </row>
    <row r="1394" spans="4:23">
      <c r="D1394" s="8" t="s">
        <v>493</v>
      </c>
      <c r="E1394" s="103">
        <f ca="1">'Parameter Inputs'!K1129*'Parameter Inputs'!F593</f>
        <v>1909.2634658639633</v>
      </c>
      <c r="F1394" s="49">
        <f ca="1">E1394*'Parameter Inputs'!E11</f>
        <v>696881.16504034668</v>
      </c>
      <c r="G1394" s="306">
        <f ca="1">'Parameter Inputs'!$F1394/F1405</f>
        <v>0.10050264679794545</v>
      </c>
      <c r="H1394" s="8">
        <v>0</v>
      </c>
      <c r="I1394" s="50">
        <v>0</v>
      </c>
      <c r="J1394" s="284">
        <f ca="1">'Parameter Inputs'!$I1394/$I$1405</f>
        <v>0</v>
      </c>
      <c r="L1394" s="86"/>
      <c r="M1394" s="105"/>
      <c r="U1394" s="87"/>
    </row>
    <row r="1395" spans="4:23">
      <c r="D1395" s="300" t="s">
        <v>105</v>
      </c>
      <c r="E1395" s="308">
        <f ca="1">'Parameter Inputs'!N1151*'Parameter Inputs'!F607</f>
        <v>3973.6397107375947</v>
      </c>
      <c r="F1395" s="302">
        <f ca="1">E1395*'Parameter Inputs'!E11</f>
        <v>1450378.494419222</v>
      </c>
      <c r="G1395" s="303">
        <f ca="1">'Parameter Inputs'!$F1395/F1405</f>
        <v>0.20917035049944507</v>
      </c>
      <c r="H1395" s="300">
        <v>0</v>
      </c>
      <c r="I1395" s="304">
        <f>H1395*'Parameter Inputs'!E11</f>
        <v>0</v>
      </c>
      <c r="J1395" s="305">
        <f ca="1">'Parameter Inputs'!$I1395/$I$1405</f>
        <v>0</v>
      </c>
      <c r="L1395" s="86"/>
      <c r="M1395" s="105"/>
      <c r="U1395" s="87"/>
    </row>
    <row r="1396" spans="4:23">
      <c r="D1396" s="8" t="s">
        <v>44</v>
      </c>
      <c r="E1396" s="103">
        <f ca="1">'Parameter Inputs'!F643</f>
        <v>0.59526421188697121</v>
      </c>
      <c r="F1396" s="49">
        <f ca="1">E1396*'Parameter Inputs'!E11</f>
        <v>217.27143733874448</v>
      </c>
      <c r="G1396" s="306">
        <f ca="1">'Parameter Inputs'!$F1396/F1405</f>
        <v>3.1334401934759613E-5</v>
      </c>
      <c r="H1396" s="8"/>
      <c r="I1396" s="49">
        <f ca="1">X1385</f>
        <v>1866594.0750009546</v>
      </c>
      <c r="J1396" s="284">
        <f ca="1">'Parameter Inputs'!$I1396/$I$1405</f>
        <v>0.12667978006533093</v>
      </c>
      <c r="L1396" s="86"/>
      <c r="M1396" s="105"/>
    </row>
    <row r="1397" spans="4:23">
      <c r="D1397" s="300" t="s">
        <v>494</v>
      </c>
      <c r="E1397" s="308">
        <f ca="1">'Parameter Inputs'!K1164*2*'Parameter Inputs'!F655</f>
        <v>0.14374924018172178</v>
      </c>
      <c r="F1397" s="302">
        <f ca="1">E1397*'Parameter Inputs'!E11</f>
        <v>52.468472666328445</v>
      </c>
      <c r="G1397" s="303">
        <f ca="1">'Parameter Inputs'!$F1397/F1405</f>
        <v>7.5668860645794093E-6</v>
      </c>
      <c r="H1397" s="300">
        <v>0</v>
      </c>
      <c r="I1397" s="304">
        <v>0</v>
      </c>
      <c r="J1397" s="305">
        <f ca="1">'Parameter Inputs'!$I1397/$I$1405</f>
        <v>0</v>
      </c>
      <c r="L1397" s="86"/>
      <c r="M1397" s="105"/>
      <c r="S1397" s="101"/>
    </row>
    <row r="1398" spans="4:23">
      <c r="D1398" s="8" t="s">
        <v>979</v>
      </c>
      <c r="E1398" s="103">
        <f ca="1">'Parameter Inputs'!F663*'Parameter Inputs'!Q1161*'Parameter Inputs'!F647</f>
        <v>5.0312234063602641E-2</v>
      </c>
      <c r="F1398" s="49">
        <f ca="1">E1398*'Parameter Inputs'!E11</f>
        <v>18.363965433214965</v>
      </c>
      <c r="G1398" s="306">
        <f ca="1">'Parameter Inputs'!$F1398/F1405</f>
        <v>2.6484101226027944E-6</v>
      </c>
      <c r="H1398" s="8">
        <f ca="1">'Parameter Inputs'!Q1161*'Parameter Inputs'!F647*'Parameter Inputs'!F665</f>
        <v>0.40249787250882113</v>
      </c>
      <c r="I1398" s="50">
        <f ca="1">H1398*'Parameter Inputs'!E11</f>
        <v>146.91172346571972</v>
      </c>
      <c r="J1398" s="284">
        <f ca="1">'Parameter Inputs'!$I1398/$I$1405</f>
        <v>9.9704296005796408E-6</v>
      </c>
      <c r="L1398" s="86"/>
      <c r="M1398" s="90"/>
    </row>
    <row r="1399" spans="4:23">
      <c r="D1399" s="300" t="s">
        <v>498</v>
      </c>
      <c r="E1399" s="308">
        <f ca="1">'Parameter Inputs'!Q1170*'Parameter Inputs'!F647*'Parameter Inputs'!F667</f>
        <v>8.4524553226852425E-3</v>
      </c>
      <c r="F1399" s="302">
        <f ca="1">E1399*'Parameter Inputs'!E11</f>
        <v>3.0851461927801136</v>
      </c>
      <c r="G1399" s="303">
        <f ca="1">'Parameter Inputs'!$F1399/F1405</f>
        <v>4.4493290059726939E-7</v>
      </c>
      <c r="H1399" s="300">
        <v>0</v>
      </c>
      <c r="I1399" s="304">
        <v>0</v>
      </c>
      <c r="J1399" s="305">
        <f ca="1">'Parameter Inputs'!$I1399/$I$1405</f>
        <v>0</v>
      </c>
      <c r="L1399" s="86"/>
      <c r="M1399" s="90"/>
    </row>
    <row r="1400" spans="4:23">
      <c r="D1400" s="8" t="s">
        <v>996</v>
      </c>
      <c r="E1400" s="103">
        <f ca="1">'Parameter Inputs'!K1172*'Parameter Inputs'!F647*'Parameter Inputs'!F675</f>
        <v>2.6737358673800249</v>
      </c>
      <c r="F1400" s="49">
        <f ca="1">E1400*'Parameter Inputs'!E11</f>
        <v>975.91359159370904</v>
      </c>
      <c r="G1400" s="306">
        <f ca="1">'Parameter Inputs'!$F1400/F1405</f>
        <v>1.4074408080117699E-4</v>
      </c>
      <c r="H1400" s="8">
        <f ca="1">'Parameter Inputs'!K1172*'Parameter Inputs'!F647*'Parameter Inputs'!F677</f>
        <v>18.716151071660175</v>
      </c>
      <c r="I1400" s="50">
        <f ca="1">H1400*'Parameter Inputs'!E11</f>
        <v>6831.3951411559638</v>
      </c>
      <c r="J1400" s="284">
        <f ca="1">'Parameter Inputs'!$I1400/$I$1405</f>
        <v>4.6362497642695306E-4</v>
      </c>
      <c r="L1400" s="86"/>
      <c r="M1400" s="105"/>
    </row>
    <row r="1401" spans="4:23">
      <c r="D1401" s="300" t="s">
        <v>502</v>
      </c>
      <c r="E1401" s="308">
        <f ca="1">'Parameter Inputs'!K1178*'Parameter Inputs'!F647*'Parameter Inputs'!F679</f>
        <v>0.92644947804717848</v>
      </c>
      <c r="F1401" s="302">
        <f ca="1">E1401*'Parameter Inputs'!E11</f>
        <v>338.15405948722014</v>
      </c>
      <c r="G1401" s="303">
        <f ca="1">'Parameter Inputs'!$F1401/F1405</f>
        <v>4.8767823997607826E-5</v>
      </c>
      <c r="H1401" s="300">
        <v>0</v>
      </c>
      <c r="I1401" s="304">
        <v>0</v>
      </c>
      <c r="J1401" s="305">
        <f ca="1">'Parameter Inputs'!$I1401/$I$1405</f>
        <v>0</v>
      </c>
      <c r="L1401" s="86"/>
      <c r="M1401" s="105"/>
    </row>
    <row r="1402" spans="4:23">
      <c r="D1402" s="8" t="s">
        <v>610</v>
      </c>
      <c r="E1402" s="103">
        <f ca="1">'Parameter Inputs'!R846</f>
        <v>85.844691880445296</v>
      </c>
      <c r="F1402" s="49">
        <f ca="1">E1402*'Parameter Inputs'!E11</f>
        <v>31333.312536362533</v>
      </c>
      <c r="G1402" s="306">
        <f ca="1">'Parameter Inputs'!$F1402/F1405</f>
        <v>4.5188204256738094E-3</v>
      </c>
      <c r="H1402" s="8">
        <v>0</v>
      </c>
      <c r="I1402" s="50">
        <v>0</v>
      </c>
      <c r="J1402" s="284">
        <f ca="1">'Parameter Inputs'!$I1402/$I$1405</f>
        <v>0</v>
      </c>
      <c r="L1402" s="86"/>
      <c r="M1402" s="105"/>
    </row>
    <row r="1403" spans="4:23">
      <c r="D1403" s="300" t="s">
        <v>1448</v>
      </c>
      <c r="E1403" s="308">
        <f ca="1">'Parameter Inputs'!N1174*'Parameter Inputs'!F682</f>
        <v>836.61584293863416</v>
      </c>
      <c r="F1403" s="302">
        <f ca="1">E1403*'Parameter Inputs'!E11</f>
        <v>305364.78267260146</v>
      </c>
      <c r="G1403" s="303">
        <f ca="1">'Parameter Inputs'!$F1403/F1405</f>
        <v>4.4039027652152153E-2</v>
      </c>
      <c r="H1403" s="304"/>
      <c r="I1403" s="304">
        <v>0</v>
      </c>
      <c r="J1403" s="305">
        <f ca="1">'Parameter Inputs'!$I1403/$I$1405</f>
        <v>0</v>
      </c>
      <c r="L1403" s="86"/>
      <c r="M1403" s="105"/>
    </row>
    <row r="1404" spans="4:23">
      <c r="D1404" s="8" t="s">
        <v>994</v>
      </c>
      <c r="E1404" s="103">
        <f ca="1">SUM(E1390:E1403)</f>
        <v>18815.102737759644</v>
      </c>
      <c r="F1404" s="49">
        <f ca="1">SUM(F1390:F1403)</f>
        <v>6867512.4992822688</v>
      </c>
      <c r="G1404" s="306">
        <f ca="1">'Parameter Inputs'!$F1404/F1405</f>
        <v>0.9904173304151237</v>
      </c>
      <c r="H1404" s="8">
        <f ca="1">SUM(H1390:H1403)</f>
        <v>19.118648944168996</v>
      </c>
      <c r="I1404" s="50">
        <f ca="1">SUM(I1390:I1403)</f>
        <v>13664227.396069508</v>
      </c>
      <c r="J1404" s="284">
        <f ca="1">'Parameter Inputs'!$I1404/$I$1405</f>
        <v>0.92734748517610588</v>
      </c>
      <c r="L1404" s="86"/>
      <c r="M1404" s="105"/>
    </row>
    <row r="1405" spans="4:23">
      <c r="D1405" s="300" t="s">
        <v>1246</v>
      </c>
      <c r="E1405" s="308">
        <f ca="1">E1404+E1389</f>
        <v>18997.146112006609</v>
      </c>
      <c r="F1405" s="302">
        <f ca="1">F1404+F1389</f>
        <v>6933958.3308824115</v>
      </c>
      <c r="G1405" s="300"/>
      <c r="H1405" s="304">
        <f ca="1">H1404+H1389</f>
        <v>19.118648944168996</v>
      </c>
      <c r="I1405" s="302">
        <f ca="1">I1404+I1389</f>
        <v>14734743.571849585</v>
      </c>
      <c r="J1405" s="305">
        <f ca="1">'Parameter Inputs'!$I1405/$I$1405</f>
        <v>1</v>
      </c>
      <c r="L1405" s="86"/>
      <c r="O1405" s="113"/>
    </row>
    <row r="1406" spans="4:23">
      <c r="D1406" s="8" t="s">
        <v>983</v>
      </c>
      <c r="E1406" s="49">
        <f ca="1">(E1404)/('Parameter Inputs'!N1174/1000)</f>
        <v>9933.628378440857</v>
      </c>
      <c r="F1406" s="8"/>
      <c r="G1406" s="8">
        <f ca="1">SUM(G1390:G1402)</f>
        <v>0.94637830276297208</v>
      </c>
      <c r="H1406" s="8"/>
      <c r="I1406" s="50">
        <f ca="1">(I1404)/'Parameter Inputs'!E1596</f>
        <v>19764.850379995798</v>
      </c>
      <c r="J1406" s="8"/>
      <c r="O1406" s="113"/>
      <c r="P1406" s="113"/>
    </row>
    <row r="1407" spans="4:23">
      <c r="P1407" s="113"/>
    </row>
    <row r="1408" spans="4:23">
      <c r="I1408" s="91"/>
    </row>
    <row r="1410" spans="4:29">
      <c r="D1410" s="5" t="s">
        <v>551</v>
      </c>
    </row>
    <row r="1411" spans="4:29">
      <c r="D1411" s="5" t="s">
        <v>452</v>
      </c>
    </row>
    <row r="1412" spans="4:29">
      <c r="D1412" s="42" t="s">
        <v>74</v>
      </c>
      <c r="E1412" s="42" t="s">
        <v>117</v>
      </c>
      <c r="F1412" s="42" t="s">
        <v>149</v>
      </c>
      <c r="G1412" s="42" t="s">
        <v>118</v>
      </c>
      <c r="H1412" s="42" t="s">
        <v>122</v>
      </c>
      <c r="I1412" s="42" t="s">
        <v>123</v>
      </c>
      <c r="J1412" s="42" t="s">
        <v>121</v>
      </c>
      <c r="K1412" s="42" t="s">
        <v>150</v>
      </c>
      <c r="L1412" s="42" t="s">
        <v>151</v>
      </c>
      <c r="M1412" s="42" t="s">
        <v>152</v>
      </c>
      <c r="N1412" s="42" t="s">
        <v>154</v>
      </c>
      <c r="O1412" s="42" t="s">
        <v>411</v>
      </c>
      <c r="P1412" s="42" t="s">
        <v>450</v>
      </c>
      <c r="Q1412" s="42" t="s">
        <v>453</v>
      </c>
      <c r="R1412" s="42" t="s">
        <v>157</v>
      </c>
      <c r="S1412" s="42"/>
      <c r="T1412" s="42" t="s">
        <v>451</v>
      </c>
      <c r="U1412" s="42" t="s">
        <v>119</v>
      </c>
      <c r="V1412" s="42" t="s">
        <v>120</v>
      </c>
      <c r="W1412" s="42" t="s">
        <v>153</v>
      </c>
      <c r="X1412" s="42" t="s">
        <v>469</v>
      </c>
      <c r="Y1412" s="42" t="s">
        <v>470</v>
      </c>
      <c r="Z1412" s="42" t="s">
        <v>471</v>
      </c>
      <c r="AA1412" s="42" t="s">
        <v>472</v>
      </c>
      <c r="AB1412" s="42" t="s">
        <v>473</v>
      </c>
      <c r="AC1412" s="42" t="s">
        <v>410</v>
      </c>
    </row>
    <row r="1413" spans="4:29">
      <c r="D1413" s="8" t="s">
        <v>62</v>
      </c>
      <c r="E1413" s="8">
        <f>'Parameter Inputs'!E70</f>
        <v>6</v>
      </c>
      <c r="F1413" s="8">
        <f>'Parameter Inputs'!F70</f>
        <v>6.9686411149825789</v>
      </c>
      <c r="G1413" s="8">
        <v>35</v>
      </c>
      <c r="H1413" s="50">
        <f ca="1">2*PI()*('Parameter Inputs'!K792/2)*'Parameter Inputs'!L792</f>
        <v>206.05073504666839</v>
      </c>
      <c r="I1413" s="50">
        <f ca="1">PI()*(('Parameter Inputs'!K792/2)^2)</f>
        <v>51.512683761667105</v>
      </c>
      <c r="J1413" s="50">
        <f t="shared" ref="J1413:J1424" ca="1" si="52">I1413</f>
        <v>51.512683761667105</v>
      </c>
      <c r="K1413" s="8">
        <f ca="1">'Parameter Inputs'!$F$188*'Parameter Inputs'!H1413*('Parameter Inputs'!G1413-'Parameter Inputs'!E1413)*86400</f>
        <v>361396505.21305263</v>
      </c>
      <c r="L1413" s="8">
        <f ca="1">'Parameter Inputs'!$H$188*'Parameter Inputs'!J1413*('Parameter Inputs'!G1413-'Parameter Inputs'!F1413)*86400</f>
        <v>174662674.78307152</v>
      </c>
      <c r="M1413" s="8">
        <f ca="1">'Parameter Inputs'!$J$188*'Parameter Inputs'!I1413*('Parameter Inputs'!G1413-'Parameter Inputs'!E1413)*86400</f>
        <v>367850014.23471433</v>
      </c>
      <c r="N1413" s="8">
        <f t="shared" ref="N1413:N1424" ca="1" si="53">K1413+L1413+M1413</f>
        <v>903909194.23083854</v>
      </c>
      <c r="O1413" s="8">
        <v>1</v>
      </c>
      <c r="P1413" s="8">
        <f t="shared" ref="P1413:P1424" ca="1" si="54">N1413*O1413</f>
        <v>903909194.23083854</v>
      </c>
      <c r="Q1413" s="8">
        <f ca="1">P1413*31</f>
        <v>28021185021.155994</v>
      </c>
      <c r="R1413" s="8">
        <f ca="1">N1413*'Parameter Inputs'!$F$411</f>
        <v>4519545971.1541929</v>
      </c>
      <c r="S1413" s="8"/>
      <c r="T1413" s="49">
        <f ca="1">'Parameter Inputs'!L906</f>
        <v>25283.801978745327</v>
      </c>
      <c r="U1413" s="8">
        <v>4200</v>
      </c>
      <c r="V1413" s="103">
        <v>10.9876543209876</v>
      </c>
      <c r="W1413" s="8">
        <v>35</v>
      </c>
      <c r="X1413" s="58">
        <f t="shared" ref="X1413:X1424" ca="1" si="55">T1413*U1413*(W1413-V1413)</f>
        <v>2549918251.4119878</v>
      </c>
      <c r="Y1413" s="58">
        <f ca="1">X1413*31</f>
        <v>79047465793.771622</v>
      </c>
      <c r="Z1413" s="58">
        <f t="shared" ref="Z1413:Z1424" ca="1" si="56">Y1413+Q1413</f>
        <v>107068650814.92761</v>
      </c>
      <c r="AA1413" s="47">
        <f ca="1">(0.000000277778)*Z1413</f>
        <v>29741.31568606896</v>
      </c>
      <c r="AB1413" s="8"/>
      <c r="AC1413" s="58">
        <f ca="1">(X1413+R1413)/'Parameter Inputs'!$F$439</f>
        <v>8125820945.4783688</v>
      </c>
    </row>
    <row r="1414" spans="4:29">
      <c r="D1414" s="8" t="s">
        <v>63</v>
      </c>
      <c r="E1414" s="8">
        <f>'Parameter Inputs'!E72</f>
        <v>5</v>
      </c>
      <c r="F1414" s="8">
        <f>'Parameter Inputs'!F72</f>
        <v>5.8072009291521489</v>
      </c>
      <c r="G1414" s="8">
        <v>35</v>
      </c>
      <c r="H1414" s="50">
        <f ca="1">2*PI()*('Parameter Inputs'!K792/2)*'Parameter Inputs'!L792</f>
        <v>206.05073504666839</v>
      </c>
      <c r="I1414" s="50">
        <f ca="1">PI()*(('Parameter Inputs'!K792/2)^2)</f>
        <v>51.512683761667105</v>
      </c>
      <c r="J1414" s="50">
        <f t="shared" ca="1" si="52"/>
        <v>51.512683761667105</v>
      </c>
      <c r="K1414" s="8">
        <f ca="1">'Parameter Inputs'!$F$188*'Parameter Inputs'!H1414*('Parameter Inputs'!G1414-'Parameter Inputs'!E1414)*86400</f>
        <v>373858453.66867512</v>
      </c>
      <c r="L1414" s="8">
        <f ca="1">'Parameter Inputs'!$H$188*'Parameter Inputs'!J1414*('Parameter Inputs'!G1414-'Parameter Inputs'!F1414)*86400</f>
        <v>181899578.64812523</v>
      </c>
      <c r="M1414" s="8">
        <f ca="1">'Parameter Inputs'!$J$188*'Parameter Inputs'!I1414*('Parameter Inputs'!G1414-'Parameter Inputs'!E1414)*86400</f>
        <v>380534497.48418725</v>
      </c>
      <c r="N1414" s="8">
        <f t="shared" ca="1" si="53"/>
        <v>936292529.8009876</v>
      </c>
      <c r="O1414" s="8">
        <v>1</v>
      </c>
      <c r="P1414" s="8">
        <f t="shared" ca="1" si="54"/>
        <v>936292529.8009876</v>
      </c>
      <c r="Q1414" s="8">
        <f ca="1">P1414*28</f>
        <v>26216190834.427654</v>
      </c>
      <c r="R1414" s="8">
        <f ca="1">N1414*'Parameter Inputs'!$F$411</f>
        <v>4681462649.0049381</v>
      </c>
      <c r="S1414" s="8"/>
      <c r="T1414" s="49">
        <f ca="1">'Parameter Inputs'!L906</f>
        <v>25283.801978745327</v>
      </c>
      <c r="U1414" s="8">
        <v>4200</v>
      </c>
      <c r="V1414" s="103">
        <v>11.8518518518518</v>
      </c>
      <c r="W1414" s="8">
        <v>35</v>
      </c>
      <c r="X1414" s="58">
        <f t="shared" ca="1" si="55"/>
        <v>2458147414.600246</v>
      </c>
      <c r="Y1414" s="58">
        <f ca="1">X1414*28</f>
        <v>68828127608.806885</v>
      </c>
      <c r="Z1414" s="58">
        <f t="shared" ca="1" si="56"/>
        <v>95044318443.234543</v>
      </c>
      <c r="AA1414" s="47">
        <f t="shared" ref="AA1414:AA1424" ca="1" si="57">(0.000000277778)*Z1414</f>
        <v>26401.220688524805</v>
      </c>
      <c r="AB1414" s="8"/>
      <c r="AC1414" s="58">
        <f ca="1">(X1414+R1414)/'Parameter Inputs'!$F$439</f>
        <v>8206448348.9714766</v>
      </c>
    </row>
    <row r="1415" spans="4:29">
      <c r="D1415" s="8" t="s">
        <v>64</v>
      </c>
      <c r="E1415" s="8">
        <f>'Parameter Inputs'!E74</f>
        <v>7</v>
      </c>
      <c r="F1415" s="8">
        <f>'Parameter Inputs'!F74</f>
        <v>7.9006772009029342</v>
      </c>
      <c r="G1415" s="8">
        <v>35</v>
      </c>
      <c r="H1415" s="50">
        <f ca="1">2*PI()*('Parameter Inputs'!K792/2)*'Parameter Inputs'!L792</f>
        <v>206.05073504666839</v>
      </c>
      <c r="I1415" s="50">
        <f ca="1">PI()*(('Parameter Inputs'!K792/2)^2)</f>
        <v>51.512683761667105</v>
      </c>
      <c r="J1415" s="50">
        <f t="shared" ca="1" si="52"/>
        <v>51.512683761667105</v>
      </c>
      <c r="K1415" s="8">
        <f ca="1">'Parameter Inputs'!$F$188*'Parameter Inputs'!H1415*('Parameter Inputs'!G1415-'Parameter Inputs'!E1415)*86400</f>
        <v>348934556.75743014</v>
      </c>
      <c r="L1415" s="8">
        <f ca="1">'Parameter Inputs'!$H$188*'Parameter Inputs'!J1415*('Parameter Inputs'!G1415-'Parameter Inputs'!F1415)*86400</f>
        <v>168855181.95231172</v>
      </c>
      <c r="M1415" s="8">
        <f ca="1">'Parameter Inputs'!$J$188*'Parameter Inputs'!I1415*('Parameter Inputs'!G1415-'Parameter Inputs'!E1415)*86400</f>
        <v>355165530.98524147</v>
      </c>
      <c r="N1415" s="8">
        <f t="shared" ca="1" si="53"/>
        <v>872955269.69498324</v>
      </c>
      <c r="O1415" s="8">
        <v>1</v>
      </c>
      <c r="P1415" s="8">
        <f t="shared" ca="1" si="54"/>
        <v>872955269.69498324</v>
      </c>
      <c r="Q1415" s="8">
        <f ca="1">P1415*31</f>
        <v>27061613360.544479</v>
      </c>
      <c r="R1415" s="8">
        <f ca="1">N1415*'Parameter Inputs'!$F$411</f>
        <v>4364776348.4749165</v>
      </c>
      <c r="S1415" s="8"/>
      <c r="T1415" s="49">
        <f ca="1">'Parameter Inputs'!L906</f>
        <v>25283.801978745327</v>
      </c>
      <c r="U1415" s="8">
        <v>4200</v>
      </c>
      <c r="V1415" s="103">
        <v>12.592592592592499</v>
      </c>
      <c r="W1415" s="8">
        <v>35</v>
      </c>
      <c r="X1415" s="58">
        <f t="shared" ca="1" si="55"/>
        <v>2379486697.3330421</v>
      </c>
      <c r="Y1415" s="58">
        <f ca="1">X1415*31</f>
        <v>73764087617.32431</v>
      </c>
      <c r="Z1415" s="58">
        <f t="shared" ca="1" si="56"/>
        <v>100825700977.86879</v>
      </c>
      <c r="AA1415" s="47">
        <f t="shared" ca="1" si="57"/>
        <v>28007.161566230436</v>
      </c>
      <c r="AB1415" s="8"/>
      <c r="AC1415" s="58">
        <f ca="1">(X1415+R1415)/'Parameter Inputs'!$F$439</f>
        <v>7752026489.4344349</v>
      </c>
    </row>
    <row r="1416" spans="4:29">
      <c r="D1416" s="8" t="s">
        <v>65</v>
      </c>
      <c r="E1416" s="8">
        <f>'Parameter Inputs'!E76</f>
        <v>8</v>
      </c>
      <c r="F1416" s="8">
        <f>'Parameter Inputs'!F76</f>
        <v>9.0293453724604973</v>
      </c>
      <c r="G1416" s="8">
        <v>35</v>
      </c>
      <c r="H1416" s="50">
        <f ca="1">2*PI()*('Parameter Inputs'!K792/2)*'Parameter Inputs'!L792</f>
        <v>206.05073504666839</v>
      </c>
      <c r="I1416" s="50">
        <f ca="1">PI()*(('Parameter Inputs'!K792/2)^2)</f>
        <v>51.512683761667105</v>
      </c>
      <c r="J1416" s="50">
        <f t="shared" ca="1" si="52"/>
        <v>51.512683761667105</v>
      </c>
      <c r="K1416" s="8">
        <f ca="1">'Parameter Inputs'!$F$188*'Parameter Inputs'!H1416*('Parameter Inputs'!G1416-'Parameter Inputs'!E1416)*86400</f>
        <v>336472608.30180758</v>
      </c>
      <c r="L1416" s="8">
        <f ca="1">'Parameter Inputs'!$H$188*'Parameter Inputs'!J1416*('Parameter Inputs'!G1416-'Parameter Inputs'!F1416)*86400</f>
        <v>161822479.66358569</v>
      </c>
      <c r="M1416" s="8">
        <f ca="1">'Parameter Inputs'!$J$188*'Parameter Inputs'!I1416*('Parameter Inputs'!G1416-'Parameter Inputs'!E1416)*86400</f>
        <v>342481047.7357685</v>
      </c>
      <c r="N1416" s="8">
        <f t="shared" ca="1" si="53"/>
        <v>840776135.70116186</v>
      </c>
      <c r="O1416" s="8">
        <v>1</v>
      </c>
      <c r="P1416" s="8">
        <f t="shared" ca="1" si="54"/>
        <v>840776135.70116186</v>
      </c>
      <c r="Q1416" s="8">
        <f ca="1">P1416*30</f>
        <v>25223284071.034855</v>
      </c>
      <c r="R1416" s="8">
        <f ca="1">N1416*'Parameter Inputs'!$F$411</f>
        <v>4203880678.5058093</v>
      </c>
      <c r="S1416" s="8"/>
      <c r="T1416" s="49">
        <f ca="1">'Parameter Inputs'!L906</f>
        <v>25283.801978745327</v>
      </c>
      <c r="U1416" s="8">
        <v>4200</v>
      </c>
      <c r="V1416" s="103">
        <v>15.1851851851851</v>
      </c>
      <c r="W1416" s="8">
        <v>35</v>
      </c>
      <c r="X1416" s="58">
        <f t="shared" ca="1" si="55"/>
        <v>2104174186.8978148</v>
      </c>
      <c r="Y1416" s="58">
        <f ca="1">X1416*30</f>
        <v>63125225606.934441</v>
      </c>
      <c r="Z1416" s="58">
        <f t="shared" ca="1" si="56"/>
        <v>88348509677.969299</v>
      </c>
      <c r="AA1416" s="47">
        <f t="shared" ca="1" si="57"/>
        <v>24541.272321326956</v>
      </c>
      <c r="AB1416" s="8"/>
      <c r="AC1416" s="58">
        <f ca="1">(X1416+R1416)/'Parameter Inputs'!$F$439</f>
        <v>7250637776.326004</v>
      </c>
    </row>
    <row r="1417" spans="4:29">
      <c r="D1417" s="8" t="s">
        <v>66</v>
      </c>
      <c r="E1417" s="8">
        <f>'Parameter Inputs'!E78</f>
        <v>11</v>
      </c>
      <c r="F1417" s="8">
        <f>'Parameter Inputs'!F78</f>
        <v>12.415349887133182</v>
      </c>
      <c r="G1417" s="8">
        <v>35</v>
      </c>
      <c r="H1417" s="50">
        <f ca="1">2*PI()*('Parameter Inputs'!K792/2)*'Parameter Inputs'!L792</f>
        <v>206.05073504666839</v>
      </c>
      <c r="I1417" s="50">
        <f ca="1">PI()*(('Parameter Inputs'!K792/2)^2)</f>
        <v>51.512683761667105</v>
      </c>
      <c r="J1417" s="50">
        <f t="shared" ca="1" si="52"/>
        <v>51.512683761667105</v>
      </c>
      <c r="K1417" s="8">
        <f ca="1">'Parameter Inputs'!$F$188*'Parameter Inputs'!H1417*('Parameter Inputs'!G1417-'Parameter Inputs'!E1417)*86400</f>
        <v>299086762.9349401</v>
      </c>
      <c r="L1417" s="8">
        <f ca="1">'Parameter Inputs'!$H$188*'Parameter Inputs'!J1417*('Parameter Inputs'!G1417-'Parameter Inputs'!F1417)*86400</f>
        <v>140724372.79740763</v>
      </c>
      <c r="M1417" s="8">
        <f ca="1">'Parameter Inputs'!$J$188*'Parameter Inputs'!I1417*('Parameter Inputs'!G1417-'Parameter Inputs'!E1417)*86400</f>
        <v>304427597.98734981</v>
      </c>
      <c r="N1417" s="8">
        <f t="shared" ca="1" si="53"/>
        <v>744238733.71969748</v>
      </c>
      <c r="O1417" s="8">
        <v>1</v>
      </c>
      <c r="P1417" s="8">
        <f t="shared" ca="1" si="54"/>
        <v>744238733.71969748</v>
      </c>
      <c r="Q1417" s="8">
        <f ca="1">P1417*31</f>
        <v>23071400745.310623</v>
      </c>
      <c r="R1417" s="8">
        <f ca="1">N1417*'Parameter Inputs'!$F$411</f>
        <v>3721193668.5984874</v>
      </c>
      <c r="S1417" s="8"/>
      <c r="T1417" s="49">
        <f ca="1">'Parameter Inputs'!L906</f>
        <v>25283.801978745327</v>
      </c>
      <c r="U1417" s="8">
        <v>4200</v>
      </c>
      <c r="V1417" s="103">
        <v>17.037037037036999</v>
      </c>
      <c r="W1417" s="8">
        <v>35</v>
      </c>
      <c r="X1417" s="58">
        <f t="shared" ca="1" si="55"/>
        <v>1907522393.7297902</v>
      </c>
      <c r="Y1417" s="58">
        <f ca="1">X1417*31</f>
        <v>59133194205.623497</v>
      </c>
      <c r="Z1417" s="58">
        <f t="shared" ca="1" si="56"/>
        <v>82204594950.934113</v>
      </c>
      <c r="AA1417" s="47">
        <f t="shared" ca="1" si="57"/>
        <v>22834.627976280575</v>
      </c>
      <c r="AB1417" s="8"/>
      <c r="AC1417" s="58">
        <f ca="1">(X1417+R1417)/'Parameter Inputs'!$F$439</f>
        <v>6469788577.3888245</v>
      </c>
    </row>
    <row r="1418" spans="4:29">
      <c r="D1418" s="8" t="s">
        <v>67</v>
      </c>
      <c r="E1418" s="8">
        <f>'Parameter Inputs'!E80</f>
        <v>13</v>
      </c>
      <c r="F1418" s="8">
        <f>'Parameter Inputs'!F80</f>
        <v>18.465909090909093</v>
      </c>
      <c r="G1418" s="8">
        <v>35</v>
      </c>
      <c r="H1418" s="50">
        <f ca="1">2*PI()*('Parameter Inputs'!K792/2)*'Parameter Inputs'!L792</f>
        <v>206.05073504666839</v>
      </c>
      <c r="I1418" s="50">
        <f ca="1">PI()*(('Parameter Inputs'!K792/2)^2)</f>
        <v>51.512683761667105</v>
      </c>
      <c r="J1418" s="50">
        <f t="shared" ca="1" si="52"/>
        <v>51.512683761667105</v>
      </c>
      <c r="K1418" s="8">
        <f ca="1">'Parameter Inputs'!$F$188*'Parameter Inputs'!H1418*('Parameter Inputs'!G1418-'Parameter Inputs'!E1418)*86400</f>
        <v>274162866.02369511</v>
      </c>
      <c r="L1418" s="8">
        <f ca="1">'Parameter Inputs'!$H$188*'Parameter Inputs'!J1418*('Parameter Inputs'!G1418-'Parameter Inputs'!F1418)*86400</f>
        <v>103023494.33483376</v>
      </c>
      <c r="M1418" s="8">
        <f ca="1">'Parameter Inputs'!$J$188*'Parameter Inputs'!I1418*('Parameter Inputs'!G1418-'Parameter Inputs'!E1418)*86400</f>
        <v>279058631.48840398</v>
      </c>
      <c r="N1418" s="8">
        <f t="shared" ca="1" si="53"/>
        <v>656244991.84693289</v>
      </c>
      <c r="O1418" s="8">
        <v>1</v>
      </c>
      <c r="P1418" s="8">
        <f t="shared" ca="1" si="54"/>
        <v>656244991.84693289</v>
      </c>
      <c r="Q1418" s="8">
        <f ca="1">P1418*30</f>
        <v>19687349755.407986</v>
      </c>
      <c r="R1418" s="8">
        <f ca="1">N1418*'Parameter Inputs'!$F$411</f>
        <v>3281224959.2346644</v>
      </c>
      <c r="S1418" s="8"/>
      <c r="T1418" s="49">
        <f ca="1">'Parameter Inputs'!L906</f>
        <v>25283.801978745327</v>
      </c>
      <c r="U1418" s="8">
        <v>4200</v>
      </c>
      <c r="V1418" s="103">
        <v>18.148148148148099</v>
      </c>
      <c r="W1418" s="8">
        <v>35</v>
      </c>
      <c r="X1418" s="58">
        <f t="shared" ca="1" si="55"/>
        <v>1789531317.82898</v>
      </c>
      <c r="Y1418" s="58">
        <f ca="1">X1418*30</f>
        <v>53685939534.8694</v>
      </c>
      <c r="Z1418" s="58">
        <f t="shared" ca="1" si="56"/>
        <v>73373289290.27739</v>
      </c>
      <c r="AA1418" s="47">
        <f t="shared" ca="1" si="57"/>
        <v>20381.485552474671</v>
      </c>
      <c r="AB1418" s="8"/>
      <c r="AC1418" s="58">
        <f ca="1">(X1418+R1418)/'Parameter Inputs'!$F$439</f>
        <v>5828455490.8777523</v>
      </c>
    </row>
    <row r="1419" spans="4:29">
      <c r="D1419" s="8" t="s">
        <v>68</v>
      </c>
      <c r="E1419" s="8">
        <f>'Parameter Inputs'!E82</f>
        <v>15</v>
      </c>
      <c r="F1419" s="8">
        <f>'Parameter Inputs'!F82</f>
        <v>21.306818181818183</v>
      </c>
      <c r="G1419" s="8">
        <v>35</v>
      </c>
      <c r="H1419" s="50">
        <f ca="1">2*PI()*('Parameter Inputs'!K792/2)*'Parameter Inputs'!L792</f>
        <v>206.05073504666839</v>
      </c>
      <c r="I1419" s="50">
        <f ca="1">PI()*(('Parameter Inputs'!K792/2)^2)</f>
        <v>51.512683761667105</v>
      </c>
      <c r="J1419" s="50">
        <f t="shared" ca="1" si="52"/>
        <v>51.512683761667105</v>
      </c>
      <c r="K1419" s="8">
        <f ca="1">'Parameter Inputs'!$F$188*'Parameter Inputs'!H1419*('Parameter Inputs'!G1419-'Parameter Inputs'!E1419)*86400</f>
        <v>249238969.11245006</v>
      </c>
      <c r="L1419" s="8">
        <f ca="1">'Parameter Inputs'!$H$188*'Parameter Inputs'!J1419*('Parameter Inputs'!G1419-'Parameter Inputs'!F1419)*86400</f>
        <v>85321863.005824521</v>
      </c>
      <c r="M1419" s="8">
        <f ca="1">'Parameter Inputs'!$J$188*'Parameter Inputs'!I1419*('Parameter Inputs'!G1419-'Parameter Inputs'!E1419)*86400</f>
        <v>253689664.98945814</v>
      </c>
      <c r="N1419" s="8">
        <f t="shared" ca="1" si="53"/>
        <v>588250497.10773277</v>
      </c>
      <c r="O1419" s="8">
        <v>1</v>
      </c>
      <c r="P1419" s="8">
        <f t="shared" ca="1" si="54"/>
        <v>588250497.10773277</v>
      </c>
      <c r="Q1419" s="8">
        <f ca="1">P1419*31</f>
        <v>18235765410.339714</v>
      </c>
      <c r="R1419" s="8">
        <f ca="1">N1419*'Parameter Inputs'!$F$411</f>
        <v>2941252485.5386639</v>
      </c>
      <c r="S1419" s="8"/>
      <c r="T1419" s="49">
        <f ca="1">'Parameter Inputs'!L906</f>
        <v>25283.801978745327</v>
      </c>
      <c r="U1419" s="8">
        <v>4200</v>
      </c>
      <c r="V1419" s="103">
        <v>18.6419753086419</v>
      </c>
      <c r="W1419" s="8">
        <v>35</v>
      </c>
      <c r="X1419" s="58">
        <f t="shared" ca="1" si="55"/>
        <v>1737090839.6508443</v>
      </c>
      <c r="Y1419" s="58">
        <f ca="1">X1419*31</f>
        <v>53849816029.176178</v>
      </c>
      <c r="Z1419" s="58">
        <f t="shared" ca="1" si="56"/>
        <v>72085581439.5159</v>
      </c>
      <c r="AA1419" s="47">
        <f t="shared" ca="1" si="57"/>
        <v>20023.788641105846</v>
      </c>
      <c r="AB1419" s="8"/>
      <c r="AC1419" s="58">
        <f ca="1">(X1419+R1419)/'Parameter Inputs'!$F$439</f>
        <v>5377406120.9074812</v>
      </c>
    </row>
    <row r="1420" spans="4:29">
      <c r="D1420" s="8" t="s">
        <v>69</v>
      </c>
      <c r="E1420" s="8">
        <f>'Parameter Inputs'!E84</f>
        <v>15</v>
      </c>
      <c r="F1420" s="8">
        <f>'Parameter Inputs'!F84</f>
        <v>21.306818181818183</v>
      </c>
      <c r="G1420" s="8">
        <v>35</v>
      </c>
      <c r="H1420" s="50">
        <f ca="1">2*PI()*('Parameter Inputs'!K792/2)*'Parameter Inputs'!L792</f>
        <v>206.05073504666839</v>
      </c>
      <c r="I1420" s="50">
        <f ca="1">PI()*(('Parameter Inputs'!K792/2)^2)</f>
        <v>51.512683761667105</v>
      </c>
      <c r="J1420" s="50">
        <f t="shared" ca="1" si="52"/>
        <v>51.512683761667105</v>
      </c>
      <c r="K1420" s="8">
        <f ca="1">'Parameter Inputs'!$F$188*'Parameter Inputs'!H1420*('Parameter Inputs'!G1420-'Parameter Inputs'!E1420)*86400</f>
        <v>249238969.11245006</v>
      </c>
      <c r="L1420" s="8">
        <f ca="1">'Parameter Inputs'!$H$188*'Parameter Inputs'!J1420*('Parameter Inputs'!G1420-'Parameter Inputs'!F1420)*86400</f>
        <v>85321863.005824521</v>
      </c>
      <c r="M1420" s="8">
        <f ca="1">'Parameter Inputs'!$J$188*'Parameter Inputs'!I1420*('Parameter Inputs'!G1420-'Parameter Inputs'!E1420)*86400</f>
        <v>253689664.98945814</v>
      </c>
      <c r="N1420" s="8">
        <f t="shared" ca="1" si="53"/>
        <v>588250497.10773277</v>
      </c>
      <c r="O1420" s="8">
        <v>1</v>
      </c>
      <c r="P1420" s="8">
        <f t="shared" ca="1" si="54"/>
        <v>588250497.10773277</v>
      </c>
      <c r="Q1420" s="8">
        <f ca="1">P1420*31</f>
        <v>18235765410.339714</v>
      </c>
      <c r="R1420" s="8">
        <f ca="1">N1420*'Parameter Inputs'!$F$411</f>
        <v>2941252485.5386639</v>
      </c>
      <c r="S1420" s="8"/>
      <c r="T1420" s="49">
        <f ca="1">'Parameter Inputs'!L906</f>
        <v>25283.801978745327</v>
      </c>
      <c r="U1420" s="8">
        <v>4200</v>
      </c>
      <c r="V1420" s="103">
        <v>17.7777777777777</v>
      </c>
      <c r="W1420" s="8">
        <v>35</v>
      </c>
      <c r="X1420" s="58">
        <f t="shared" ca="1" si="55"/>
        <v>1828861676.4625869</v>
      </c>
      <c r="Y1420" s="58">
        <f ca="1">X1420*31</f>
        <v>56694711970.340195</v>
      </c>
      <c r="Z1420" s="58">
        <f t="shared" ca="1" si="56"/>
        <v>74930477380.679901</v>
      </c>
      <c r="AA1420" s="47">
        <f t="shared" ca="1" si="57"/>
        <v>20814.0381458505</v>
      </c>
      <c r="AB1420" s="8"/>
      <c r="AC1420" s="58">
        <f ca="1">(X1420+R1420)/'Parameter Inputs'!$F$439</f>
        <v>5482889841.3807487</v>
      </c>
    </row>
    <row r="1421" spans="4:29">
      <c r="D1421" s="8" t="s">
        <v>70</v>
      </c>
      <c r="E1421" s="8">
        <f>'Parameter Inputs'!E86</f>
        <v>13</v>
      </c>
      <c r="F1421" s="8">
        <f>'Parameter Inputs'!F86</f>
        <v>15.911872705018361</v>
      </c>
      <c r="G1421" s="8">
        <v>35</v>
      </c>
      <c r="H1421" s="50">
        <f ca="1">2*PI()*('Parameter Inputs'!K792/2)*'Parameter Inputs'!L792</f>
        <v>206.05073504666839</v>
      </c>
      <c r="I1421" s="50">
        <f ca="1">PI()*(('Parameter Inputs'!K792/2)^2)</f>
        <v>51.512683761667105</v>
      </c>
      <c r="J1421" s="50">
        <f t="shared" ca="1" si="52"/>
        <v>51.512683761667105</v>
      </c>
      <c r="K1421" s="8">
        <f ca="1">'Parameter Inputs'!$F$188*'Parameter Inputs'!H1421*('Parameter Inputs'!G1421-'Parameter Inputs'!E1421)*86400</f>
        <v>274162866.02369511</v>
      </c>
      <c r="L1421" s="8">
        <f ca="1">'Parameter Inputs'!$H$188*'Parameter Inputs'!J1421*('Parameter Inputs'!G1421-'Parameter Inputs'!F1421)*86400</f>
        <v>118937629.2322111</v>
      </c>
      <c r="M1421" s="8">
        <f ca="1">'Parameter Inputs'!$J$188*'Parameter Inputs'!I1421*('Parameter Inputs'!G1421-'Parameter Inputs'!E1421)*86400</f>
        <v>279058631.48840398</v>
      </c>
      <c r="N1421" s="8">
        <f t="shared" ca="1" si="53"/>
        <v>672159126.74431014</v>
      </c>
      <c r="O1421" s="8">
        <v>1</v>
      </c>
      <c r="P1421" s="8">
        <f t="shared" ca="1" si="54"/>
        <v>672159126.74431014</v>
      </c>
      <c r="Q1421" s="8">
        <f ca="1">P1421*30</f>
        <v>20164773802.329304</v>
      </c>
      <c r="R1421" s="8">
        <f ca="1">N1421*'Parameter Inputs'!$F$411</f>
        <v>3360795633.7215509</v>
      </c>
      <c r="S1421" s="8"/>
      <c r="T1421" s="49">
        <f ca="1">'Parameter Inputs'!L906</f>
        <v>25283.801978745327</v>
      </c>
      <c r="U1421" s="8">
        <v>4200</v>
      </c>
      <c r="V1421" s="103">
        <v>15.432098765432</v>
      </c>
      <c r="W1421" s="8">
        <v>35</v>
      </c>
      <c r="X1421" s="58">
        <f t="shared" ca="1" si="55"/>
        <v>2077953947.8087466</v>
      </c>
      <c r="Y1421" s="58">
        <f ca="1">X1421*30</f>
        <v>62338618434.262398</v>
      </c>
      <c r="Z1421" s="58">
        <f t="shared" ca="1" si="56"/>
        <v>82503392236.591705</v>
      </c>
      <c r="AA1421" s="47">
        <f t="shared" ca="1" si="57"/>
        <v>22917.62728869597</v>
      </c>
      <c r="AB1421" s="8"/>
      <c r="AC1421" s="58">
        <f ca="1">(X1421+R1421)/'Parameter Inputs'!$F$439</f>
        <v>6251436300.6095371</v>
      </c>
    </row>
    <row r="1422" spans="4:29">
      <c r="D1422" s="8" t="s">
        <v>71</v>
      </c>
      <c r="E1422" s="8">
        <f>'Parameter Inputs'!E88</f>
        <v>10</v>
      </c>
      <c r="F1422" s="8">
        <f>'Parameter Inputs'!F88</f>
        <v>12.239902080783354</v>
      </c>
      <c r="G1422" s="8">
        <v>35</v>
      </c>
      <c r="H1422" s="50">
        <f ca="1">2*PI()*('Parameter Inputs'!K792/2)*'Parameter Inputs'!L792</f>
        <v>206.05073504666839</v>
      </c>
      <c r="I1422" s="50">
        <f ca="1">PI()*(('Parameter Inputs'!K792/2)^2)</f>
        <v>51.512683761667105</v>
      </c>
      <c r="J1422" s="50">
        <f t="shared" ca="1" si="52"/>
        <v>51.512683761667105</v>
      </c>
      <c r="K1422" s="8">
        <f ca="1">'Parameter Inputs'!$F$188*'Parameter Inputs'!H1422*('Parameter Inputs'!G1422-'Parameter Inputs'!E1422)*86400</f>
        <v>311548711.39056259</v>
      </c>
      <c r="L1422" s="8">
        <f ca="1">'Parameter Inputs'!$H$188*'Parameter Inputs'!J1422*('Parameter Inputs'!G1422-'Parameter Inputs'!F1422)*86400</f>
        <v>141817583.55709943</v>
      </c>
      <c r="M1422" s="8">
        <f ca="1">'Parameter Inputs'!$J$188*'Parameter Inputs'!I1422*('Parameter Inputs'!G1422-'Parameter Inputs'!E1422)*86400</f>
        <v>317112081.23682266</v>
      </c>
      <c r="N1422" s="8">
        <f t="shared" ca="1" si="53"/>
        <v>770478376.18448472</v>
      </c>
      <c r="O1422" s="8">
        <v>1</v>
      </c>
      <c r="P1422" s="8">
        <f t="shared" ca="1" si="54"/>
        <v>770478376.18448472</v>
      </c>
      <c r="Q1422" s="8">
        <f ca="1">P1422*31</f>
        <v>23884829661.719025</v>
      </c>
      <c r="R1422" s="8">
        <f ca="1">N1422*'Parameter Inputs'!$F$411</f>
        <v>3852391880.9224234</v>
      </c>
      <c r="S1422" s="8"/>
      <c r="T1422" s="49">
        <f ca="1">'Parameter Inputs'!L906</f>
        <v>25283.801978745327</v>
      </c>
      <c r="U1422" s="8">
        <v>4200</v>
      </c>
      <c r="V1422" s="103">
        <v>13.703703703703701</v>
      </c>
      <c r="W1422" s="8">
        <v>35</v>
      </c>
      <c r="X1422" s="58">
        <f t="shared" ca="1" si="55"/>
        <v>2261495621.4322209</v>
      </c>
      <c r="Y1422" s="58">
        <f ca="1">X1422*31</f>
        <v>70106364264.398849</v>
      </c>
      <c r="Z1422" s="58">
        <f t="shared" ca="1" si="56"/>
        <v>93991193926.117874</v>
      </c>
      <c r="AA1422" s="47">
        <f t="shared" ca="1" si="57"/>
        <v>26108.685866409171</v>
      </c>
      <c r="AB1422" s="8"/>
      <c r="AC1422" s="58">
        <f ca="1">(X1422+R1422)/'Parameter Inputs'!$F$439</f>
        <v>7027456899.2582121</v>
      </c>
    </row>
    <row r="1423" spans="4:29">
      <c r="D1423" s="8" t="s">
        <v>72</v>
      </c>
      <c r="E1423" s="8">
        <f>'Parameter Inputs'!E90</f>
        <v>8</v>
      </c>
      <c r="F1423" s="8">
        <f>'Parameter Inputs'!F90</f>
        <v>9.7919216646266829</v>
      </c>
      <c r="G1423" s="8">
        <v>35</v>
      </c>
      <c r="H1423" s="50">
        <f ca="1">2*PI()*('Parameter Inputs'!K792/2)*'Parameter Inputs'!L792</f>
        <v>206.05073504666839</v>
      </c>
      <c r="I1423" s="50">
        <f ca="1">PI()*(('Parameter Inputs'!K792/2)^2)</f>
        <v>51.512683761667105</v>
      </c>
      <c r="J1423" s="50">
        <f t="shared" ca="1" si="52"/>
        <v>51.512683761667105</v>
      </c>
      <c r="K1423" s="8">
        <f ca="1">'Parameter Inputs'!$F$188*'Parameter Inputs'!H1423*('Parameter Inputs'!G1423-'Parameter Inputs'!E1423)*86400</f>
        <v>336472608.30180758</v>
      </c>
      <c r="L1423" s="8">
        <f ca="1">'Parameter Inputs'!$H$188*'Parameter Inputs'!J1423*('Parameter Inputs'!G1423-'Parameter Inputs'!F1423)*86400</f>
        <v>157070886.44035831</v>
      </c>
      <c r="M1423" s="8">
        <f ca="1">'Parameter Inputs'!$J$188*'Parameter Inputs'!I1423*('Parameter Inputs'!G1423-'Parameter Inputs'!E1423)*86400</f>
        <v>342481047.7357685</v>
      </c>
      <c r="N1423" s="8">
        <f t="shared" ca="1" si="53"/>
        <v>836024542.47793436</v>
      </c>
      <c r="O1423" s="8">
        <v>1</v>
      </c>
      <c r="P1423" s="8">
        <f t="shared" ca="1" si="54"/>
        <v>836024542.47793436</v>
      </c>
      <c r="Q1423" s="8">
        <f ca="1">P1423*30</f>
        <v>25080736274.338032</v>
      </c>
      <c r="R1423" s="8">
        <f ca="1">N1423*'Parameter Inputs'!$F$411</f>
        <v>4180122712.3896718</v>
      </c>
      <c r="S1423" s="8"/>
      <c r="T1423" s="49">
        <f ca="1">'Parameter Inputs'!L906</f>
        <v>25283.801978745327</v>
      </c>
      <c r="U1423" s="8">
        <v>4200</v>
      </c>
      <c r="V1423" s="103">
        <v>12.469135802469101</v>
      </c>
      <c r="W1423" s="8">
        <v>35</v>
      </c>
      <c r="X1423" s="58">
        <f t="shared" ca="1" si="55"/>
        <v>2392596816.8775706</v>
      </c>
      <c r="Y1423" s="58">
        <f ca="1">X1423*30</f>
        <v>71777904506.327118</v>
      </c>
      <c r="Z1423" s="58">
        <f t="shared" ca="1" si="56"/>
        <v>96858640780.665146</v>
      </c>
      <c r="AA1423" s="47">
        <f t="shared" ca="1" si="57"/>
        <v>26905.199518771602</v>
      </c>
      <c r="AB1423" s="8"/>
      <c r="AC1423" s="58">
        <f ca="1">(X1423+R1423)/'Parameter Inputs'!$F$439</f>
        <v>7554850033.6405087</v>
      </c>
    </row>
    <row r="1424" spans="4:29">
      <c r="D1424" s="8" t="s">
        <v>73</v>
      </c>
      <c r="E1424" s="8">
        <f>'Parameter Inputs'!E92</f>
        <v>6</v>
      </c>
      <c r="F1424" s="8">
        <f>'Parameter Inputs'!F92</f>
        <v>6.9686411149825789</v>
      </c>
      <c r="G1424" s="8">
        <v>35</v>
      </c>
      <c r="H1424" s="50">
        <f ca="1">2*PI()*('Parameter Inputs'!K792/2)*'Parameter Inputs'!L792</f>
        <v>206.05073504666839</v>
      </c>
      <c r="I1424" s="50">
        <f ca="1">PI()*(('Parameter Inputs'!K792/2)^2)</f>
        <v>51.512683761667105</v>
      </c>
      <c r="J1424" s="50">
        <f t="shared" ca="1" si="52"/>
        <v>51.512683761667105</v>
      </c>
      <c r="K1424" s="8">
        <f ca="1">'Parameter Inputs'!$F$188*'Parameter Inputs'!H1424*('Parameter Inputs'!G1424-'Parameter Inputs'!E1424)*86400</f>
        <v>361396505.21305263</v>
      </c>
      <c r="L1424" s="8">
        <f ca="1">'Parameter Inputs'!$H$188*'Parameter Inputs'!J1424*('Parameter Inputs'!G1424-'Parameter Inputs'!F1424)*86400</f>
        <v>174662674.78307152</v>
      </c>
      <c r="M1424" s="8">
        <f ca="1">'Parameter Inputs'!$J$188*'Parameter Inputs'!I1424*('Parameter Inputs'!G1424-'Parameter Inputs'!E1424)*86400</f>
        <v>367850014.23471433</v>
      </c>
      <c r="N1424" s="8">
        <f t="shared" ca="1" si="53"/>
        <v>903909194.23083854</v>
      </c>
      <c r="O1424" s="8">
        <v>1</v>
      </c>
      <c r="P1424" s="8">
        <f t="shared" ca="1" si="54"/>
        <v>903909194.23083854</v>
      </c>
      <c r="Q1424" s="8">
        <f ca="1">P1424*31</f>
        <v>28021185021.155994</v>
      </c>
      <c r="R1424" s="8">
        <f ca="1">N1424*'Parameter Inputs'!$F$411</f>
        <v>4519545971.1541929</v>
      </c>
      <c r="S1424" s="8"/>
      <c r="T1424" s="49">
        <f ca="1">'Parameter Inputs'!L906</f>
        <v>25283.801978745327</v>
      </c>
      <c r="U1424" s="8">
        <v>4200</v>
      </c>
      <c r="V1424" s="8">
        <v>12.468999999999999</v>
      </c>
      <c r="W1424" s="8">
        <v>35</v>
      </c>
      <c r="X1424" s="58">
        <f t="shared" ca="1" si="55"/>
        <v>2392611238.0090656</v>
      </c>
      <c r="Y1424" s="58">
        <f ca="1">X1424*31</f>
        <v>74170948378.281036</v>
      </c>
      <c r="Z1424" s="58">
        <f t="shared" ca="1" si="56"/>
        <v>102192133399.43703</v>
      </c>
      <c r="AA1424" s="47">
        <f t="shared" ca="1" si="57"/>
        <v>28386.726431428819</v>
      </c>
      <c r="AB1424" s="8"/>
      <c r="AC1424" s="58">
        <f ca="1">(X1424+R1424)/'Parameter Inputs'!$F$439</f>
        <v>7945008286.3945503</v>
      </c>
    </row>
    <row r="1425" spans="4:29">
      <c r="D1425" s="8" t="s">
        <v>477</v>
      </c>
      <c r="E1425" s="8"/>
      <c r="F1425" s="8"/>
      <c r="G1425" s="8"/>
      <c r="H1425" s="50"/>
      <c r="I1425" s="50"/>
      <c r="J1425" s="50"/>
      <c r="K1425" s="8"/>
      <c r="L1425" s="8"/>
      <c r="M1425" s="8"/>
      <c r="N1425" s="8"/>
      <c r="O1425" s="8"/>
      <c r="P1425" s="8"/>
      <c r="Q1425" s="8"/>
      <c r="R1425" s="8"/>
      <c r="S1425" s="8"/>
      <c r="T1425" s="8"/>
      <c r="U1425" s="8"/>
      <c r="V1425" s="8"/>
      <c r="W1425" s="8"/>
      <c r="X1425" s="58"/>
      <c r="Y1425" s="58"/>
      <c r="Z1425" s="58"/>
      <c r="AA1425" s="49">
        <f ca="1">SUM(AA1413:AA1424)</f>
        <v>297063.14968316833</v>
      </c>
      <c r="AB1425" s="8"/>
      <c r="AC1425" s="58"/>
    </row>
    <row r="1426" spans="4:29">
      <c r="D1426" s="8" t="s">
        <v>1148</v>
      </c>
      <c r="E1426" s="8">
        <f ca="1">'Parameter Inputs'!F307*'Parameter Inputs'!G792</f>
        <v>2.2755421780870804</v>
      </c>
      <c r="AA1426" s="5">
        <v>15141080.491547132</v>
      </c>
      <c r="AC1426" s="5">
        <f ca="1">AA1425/('Parameter Inputs'!L907*365)</f>
        <v>32.189448550964002</v>
      </c>
    </row>
    <row r="1427" spans="4:29">
      <c r="D1427" s="8" t="s">
        <v>1147</v>
      </c>
      <c r="E1427" s="49">
        <f ca="1">E1426*(8760)</f>
        <v>19933.749480042825</v>
      </c>
    </row>
    <row r="1428" spans="4:29">
      <c r="D1428" s="8" t="s">
        <v>1368</v>
      </c>
      <c r="E1428" s="49">
        <f ca="1">'Parameter Inputs'!F470*'Parameter Inputs'!L1047*365</f>
        <v>0</v>
      </c>
    </row>
    <row r="1429" spans="4:29">
      <c r="D1429" s="8" t="s">
        <v>1369</v>
      </c>
      <c r="E1429" s="49">
        <f ca="1">E1427+E1428</f>
        <v>19933.749480042825</v>
      </c>
    </row>
    <row r="1430" spans="4:29">
      <c r="E1430" s="91"/>
    </row>
    <row r="1431" spans="4:29">
      <c r="D1431" s="42" t="s">
        <v>1258</v>
      </c>
      <c r="E1431" s="42" t="s">
        <v>1263</v>
      </c>
      <c r="F1431" s="42" t="s">
        <v>1259</v>
      </c>
      <c r="G1431" s="42" t="s">
        <v>1260</v>
      </c>
      <c r="H1431" s="42" t="s">
        <v>1261</v>
      </c>
      <c r="I1431" s="42" t="s">
        <v>1262</v>
      </c>
      <c r="J1431" s="42" t="s">
        <v>1264</v>
      </c>
      <c r="K1431" s="42" t="s">
        <v>1265</v>
      </c>
      <c r="L1431" s="42" t="s">
        <v>1321</v>
      </c>
      <c r="M1431" s="42" t="s">
        <v>1266</v>
      </c>
      <c r="N1431" s="42" t="s">
        <v>1267</v>
      </c>
      <c r="O1431" s="42" t="s">
        <v>1268</v>
      </c>
      <c r="P1431" s="42" t="s">
        <v>1269</v>
      </c>
      <c r="Q1431" s="42" t="s">
        <v>1270</v>
      </c>
      <c r="R1431" s="42" t="s">
        <v>1271</v>
      </c>
      <c r="S1431" s="42" t="s">
        <v>1272</v>
      </c>
      <c r="T1431" s="42"/>
    </row>
    <row r="1432" spans="4:29">
      <c r="D1432" s="8" t="s">
        <v>62</v>
      </c>
      <c r="E1432" s="103">
        <v>10.9876543209876</v>
      </c>
      <c r="F1432" s="8">
        <v>1.5</v>
      </c>
      <c r="G1432" s="8">
        <v>4.2</v>
      </c>
      <c r="H1432" s="167">
        <v>0.16</v>
      </c>
      <c r="I1432" s="8">
        <v>110</v>
      </c>
      <c r="J1432" s="8">
        <v>2785</v>
      </c>
      <c r="K1432" s="8">
        <v>0</v>
      </c>
      <c r="L1432" s="159">
        <f t="shared" ref="L1432:L1443" si="58">((F1432+(G1432/H1432)-G1432)*(I1432-E1432))/(J1432-(G1432*(I1432-K1432)))</f>
        <v>1.0037626951100913</v>
      </c>
      <c r="M1432" s="49">
        <f ca="1">'Parameter Inputs'!L906</f>
        <v>25283.801978745327</v>
      </c>
      <c r="N1432" s="49">
        <f t="shared" ref="N1432:N1443" ca="1" si="59">L1432*M1432</f>
        <v>25378.937216815269</v>
      </c>
      <c r="O1432" s="49">
        <v>2785</v>
      </c>
      <c r="P1432" s="49">
        <f t="shared" ref="P1432:P1443" ca="1" si="60">O1432*N1432</f>
        <v>70680340.148830518</v>
      </c>
      <c r="Q1432" s="49">
        <f t="shared" ref="Q1432:Q1443" ca="1" si="61">P1432/3600</f>
        <v>19633.427819119588</v>
      </c>
      <c r="R1432" s="49">
        <f ca="1">Q1432*31</f>
        <v>608636.26239270729</v>
      </c>
      <c r="S1432" s="49">
        <f t="shared" ref="S1432:S1443" ca="1" si="62">Q1413/3600000</f>
        <v>7783.6625058766649</v>
      </c>
      <c r="T1432" s="47">
        <f t="shared" ref="T1432:T1443" ca="1" si="63">R1432+S1432</f>
        <v>616419.92489858391</v>
      </c>
    </row>
    <row r="1433" spans="4:29">
      <c r="D1433" s="8" t="s">
        <v>63</v>
      </c>
      <c r="E1433" s="103">
        <v>11.8518518518518</v>
      </c>
      <c r="F1433" s="8">
        <v>1.5</v>
      </c>
      <c r="G1433" s="8">
        <v>4.2</v>
      </c>
      <c r="H1433" s="167">
        <v>0.16</v>
      </c>
      <c r="I1433" s="8">
        <v>110</v>
      </c>
      <c r="J1433" s="8">
        <v>2785</v>
      </c>
      <c r="K1433" s="8">
        <v>0</v>
      </c>
      <c r="L1433" s="49">
        <f t="shared" si="58"/>
        <v>0.99500167408045204</v>
      </c>
      <c r="M1433" s="49">
        <f ca="1">'Parameter Inputs'!L906</f>
        <v>25283.801978745327</v>
      </c>
      <c r="N1433" s="49">
        <f t="shared" ca="1" si="59"/>
        <v>25157.425295970246</v>
      </c>
      <c r="O1433" s="49">
        <v>2785</v>
      </c>
      <c r="P1433" s="49">
        <f t="shared" ca="1" si="60"/>
        <v>70063429.449277133</v>
      </c>
      <c r="Q1433" s="49">
        <f t="shared" ca="1" si="61"/>
        <v>19462.063735910313</v>
      </c>
      <c r="R1433" s="49">
        <f ca="1">Q1433*28</f>
        <v>544937.78460548876</v>
      </c>
      <c r="S1433" s="49">
        <f t="shared" ca="1" si="62"/>
        <v>7282.2752317854593</v>
      </c>
      <c r="T1433" s="47">
        <f t="shared" ca="1" si="63"/>
        <v>552220.05983727425</v>
      </c>
    </row>
    <row r="1434" spans="4:29">
      <c r="D1434" s="8" t="s">
        <v>64</v>
      </c>
      <c r="E1434" s="103">
        <v>12.592592592592499</v>
      </c>
      <c r="F1434" s="8">
        <v>1.5</v>
      </c>
      <c r="G1434" s="8">
        <v>4.2</v>
      </c>
      <c r="H1434" s="167">
        <v>0.16</v>
      </c>
      <c r="I1434" s="8">
        <v>110</v>
      </c>
      <c r="J1434" s="8">
        <v>2785</v>
      </c>
      <c r="K1434" s="8">
        <v>0</v>
      </c>
      <c r="L1434" s="49">
        <f t="shared" si="58"/>
        <v>0.98749222748361887</v>
      </c>
      <c r="M1434" s="49">
        <f ca="1">'Parameter Inputs'!L906</f>
        <v>25283.801978745327</v>
      </c>
      <c r="N1434" s="49">
        <f t="shared" ca="1" si="59"/>
        <v>24967.557935245954</v>
      </c>
      <c r="O1434" s="49">
        <v>2785</v>
      </c>
      <c r="P1434" s="49">
        <f t="shared" ca="1" si="60"/>
        <v>69534648.849659979</v>
      </c>
      <c r="Q1434" s="49">
        <f t="shared" ca="1" si="61"/>
        <v>19315.180236016662</v>
      </c>
      <c r="R1434" s="49">
        <f ca="1">Q1434*31</f>
        <v>598770.58731651655</v>
      </c>
      <c r="S1434" s="49">
        <f t="shared" ca="1" si="62"/>
        <v>7517.1148223734663</v>
      </c>
      <c r="T1434" s="47">
        <f t="shared" ca="1" si="63"/>
        <v>606287.70213889005</v>
      </c>
    </row>
    <row r="1435" spans="4:29">
      <c r="D1435" s="8" t="s">
        <v>65</v>
      </c>
      <c r="E1435" s="103">
        <v>15.1851851851851</v>
      </c>
      <c r="F1435" s="8">
        <v>1.5</v>
      </c>
      <c r="G1435" s="8">
        <v>4.2</v>
      </c>
      <c r="H1435" s="167">
        <v>0.16</v>
      </c>
      <c r="I1435" s="8">
        <v>110</v>
      </c>
      <c r="J1435" s="8">
        <v>2785</v>
      </c>
      <c r="K1435" s="8">
        <v>0</v>
      </c>
      <c r="L1435" s="49">
        <f t="shared" si="58"/>
        <v>0.96120916439470128</v>
      </c>
      <c r="M1435" s="49">
        <f ca="1">'Parameter Inputs'!L906</f>
        <v>25283.801978745327</v>
      </c>
      <c r="N1435" s="49">
        <f t="shared" ca="1" si="59"/>
        <v>24303.022172710891</v>
      </c>
      <c r="O1435" s="49">
        <v>2785</v>
      </c>
      <c r="P1435" s="49">
        <f t="shared" ca="1" si="60"/>
        <v>67683916.750999838</v>
      </c>
      <c r="Q1435" s="49">
        <f t="shared" ca="1" si="61"/>
        <v>18801.087986388844</v>
      </c>
      <c r="R1435" s="49">
        <f ca="1">Q1435*30</f>
        <v>564032.63959166536</v>
      </c>
      <c r="S1435" s="49">
        <f t="shared" ca="1" si="62"/>
        <v>7006.467797509682</v>
      </c>
      <c r="T1435" s="47">
        <f t="shared" ca="1" si="63"/>
        <v>571039.10738917498</v>
      </c>
    </row>
    <row r="1436" spans="4:29">
      <c r="D1436" s="8" t="s">
        <v>66</v>
      </c>
      <c r="E1436" s="103">
        <v>17.037037037036999</v>
      </c>
      <c r="F1436" s="8">
        <v>1.5</v>
      </c>
      <c r="G1436" s="8">
        <v>4.2</v>
      </c>
      <c r="H1436" s="167">
        <v>0.16</v>
      </c>
      <c r="I1436" s="8">
        <v>110</v>
      </c>
      <c r="J1436" s="8">
        <v>2785</v>
      </c>
      <c r="K1436" s="8">
        <v>0</v>
      </c>
      <c r="L1436" s="49">
        <f t="shared" si="58"/>
        <v>0.94243554790261674</v>
      </c>
      <c r="M1436" s="49">
        <f ca="1">'Parameter Inputs'!L906</f>
        <v>25283.801978745327</v>
      </c>
      <c r="N1436" s="49">
        <f t="shared" ca="1" si="59"/>
        <v>23828.353770900118</v>
      </c>
      <c r="O1436" s="49">
        <v>2785</v>
      </c>
      <c r="P1436" s="49">
        <f t="shared" ca="1" si="60"/>
        <v>66361965.251956828</v>
      </c>
      <c r="Q1436" s="49">
        <f t="shared" ca="1" si="61"/>
        <v>18433.879236654673</v>
      </c>
      <c r="R1436" s="49">
        <f ca="1">Q1436*31</f>
        <v>571450.25633629481</v>
      </c>
      <c r="S1436" s="49">
        <f t="shared" ca="1" si="62"/>
        <v>6408.7224292529509</v>
      </c>
      <c r="T1436" s="47">
        <f t="shared" ca="1" si="63"/>
        <v>577858.97876554774</v>
      </c>
    </row>
    <row r="1437" spans="4:29">
      <c r="D1437" s="8" t="s">
        <v>67</v>
      </c>
      <c r="E1437" s="103">
        <v>18.148148148148099</v>
      </c>
      <c r="F1437" s="8">
        <v>1.5</v>
      </c>
      <c r="G1437" s="8">
        <v>4.2</v>
      </c>
      <c r="H1437" s="167">
        <v>0.16</v>
      </c>
      <c r="I1437" s="8">
        <v>110</v>
      </c>
      <c r="J1437" s="8">
        <v>2785</v>
      </c>
      <c r="K1437" s="8">
        <v>0</v>
      </c>
      <c r="L1437" s="49">
        <f t="shared" si="58"/>
        <v>0.93117137800736638</v>
      </c>
      <c r="M1437" s="49">
        <f ca="1">'Parameter Inputs'!L906</f>
        <v>25283.801978745327</v>
      </c>
      <c r="N1437" s="49">
        <f t="shared" ca="1" si="59"/>
        <v>23543.552729813662</v>
      </c>
      <c r="O1437" s="49">
        <v>2785</v>
      </c>
      <c r="P1437" s="49">
        <f t="shared" ca="1" si="60"/>
        <v>65568794.352531046</v>
      </c>
      <c r="Q1437" s="49">
        <f t="shared" ca="1" si="61"/>
        <v>18213.553986814179</v>
      </c>
      <c r="R1437" s="49">
        <f ca="1">Q1437*30</f>
        <v>546406.61960442539</v>
      </c>
      <c r="S1437" s="49">
        <f t="shared" ca="1" si="62"/>
        <v>5468.7082653911075</v>
      </c>
      <c r="T1437" s="47">
        <f t="shared" ca="1" si="63"/>
        <v>551875.32786981645</v>
      </c>
    </row>
    <row r="1438" spans="4:29">
      <c r="D1438" s="8" t="s">
        <v>68</v>
      </c>
      <c r="E1438" s="103">
        <v>18.6419753086419</v>
      </c>
      <c r="F1438" s="8">
        <v>1.5</v>
      </c>
      <c r="G1438" s="8">
        <v>4.2</v>
      </c>
      <c r="H1438" s="167">
        <v>0.16</v>
      </c>
      <c r="I1438" s="8">
        <v>110</v>
      </c>
      <c r="J1438" s="8">
        <v>2785</v>
      </c>
      <c r="K1438" s="8">
        <v>0</v>
      </c>
      <c r="L1438" s="49">
        <f t="shared" si="58"/>
        <v>0.9261650802761443</v>
      </c>
      <c r="M1438" s="49">
        <f ca="1">'Parameter Inputs'!L906</f>
        <v>25283.801978745327</v>
      </c>
      <c r="N1438" s="49">
        <f t="shared" ca="1" si="59"/>
        <v>23416.974489330802</v>
      </c>
      <c r="O1438" s="49">
        <v>2785</v>
      </c>
      <c r="P1438" s="49">
        <f t="shared" ca="1" si="60"/>
        <v>65216273.952786282</v>
      </c>
      <c r="Q1438" s="49">
        <f t="shared" ca="1" si="61"/>
        <v>18115.631653551744</v>
      </c>
      <c r="R1438" s="49">
        <f ca="1">Q1438*31</f>
        <v>561584.58126010408</v>
      </c>
      <c r="S1438" s="49">
        <f t="shared" ca="1" si="62"/>
        <v>5065.4903917610318</v>
      </c>
      <c r="T1438" s="47">
        <f t="shared" ca="1" si="63"/>
        <v>566650.07165186515</v>
      </c>
    </row>
    <row r="1439" spans="4:29">
      <c r="D1439" s="8" t="s">
        <v>69</v>
      </c>
      <c r="E1439" s="103">
        <v>17.7777777777777</v>
      </c>
      <c r="F1439" s="8">
        <v>1.5</v>
      </c>
      <c r="G1439" s="8">
        <v>4.2</v>
      </c>
      <c r="H1439" s="167">
        <v>0.16</v>
      </c>
      <c r="I1439" s="8">
        <v>110</v>
      </c>
      <c r="J1439" s="8">
        <v>2785</v>
      </c>
      <c r="K1439" s="8">
        <v>0</v>
      </c>
      <c r="L1439" s="49">
        <f t="shared" si="58"/>
        <v>0.93492610130578357</v>
      </c>
      <c r="M1439" s="49">
        <f ca="1">'Parameter Inputs'!L906</f>
        <v>25283.801978745327</v>
      </c>
      <c r="N1439" s="49">
        <f t="shared" ca="1" si="59"/>
        <v>23638.486410175825</v>
      </c>
      <c r="O1439" s="49">
        <v>2785</v>
      </c>
      <c r="P1439" s="49">
        <f t="shared" ca="1" si="60"/>
        <v>65833184.652339675</v>
      </c>
      <c r="Q1439" s="49">
        <f t="shared" ca="1" si="61"/>
        <v>18286.995736761022</v>
      </c>
      <c r="R1439" s="49">
        <f ca="1">Q1439*31</f>
        <v>566896.86783959169</v>
      </c>
      <c r="S1439" s="49">
        <f t="shared" ca="1" si="62"/>
        <v>5065.4903917610318</v>
      </c>
      <c r="T1439" s="47">
        <f t="shared" ca="1" si="63"/>
        <v>571962.35823135276</v>
      </c>
    </row>
    <row r="1440" spans="4:29">
      <c r="D1440" s="8" t="s">
        <v>70</v>
      </c>
      <c r="E1440" s="103">
        <v>15.432098765432</v>
      </c>
      <c r="F1440" s="8">
        <v>1.5</v>
      </c>
      <c r="G1440" s="8">
        <v>4.2</v>
      </c>
      <c r="H1440" s="167">
        <v>0.16</v>
      </c>
      <c r="I1440" s="8">
        <v>110</v>
      </c>
      <c r="J1440" s="8">
        <v>2785</v>
      </c>
      <c r="K1440" s="8">
        <v>0</v>
      </c>
      <c r="L1440" s="49">
        <f t="shared" si="58"/>
        <v>0.95870601552909029</v>
      </c>
      <c r="M1440" s="49">
        <f ca="1">'Parameter Inputs'!L906</f>
        <v>25283.801978745327</v>
      </c>
      <c r="N1440" s="49">
        <f t="shared" ca="1" si="59"/>
        <v>24239.733052469463</v>
      </c>
      <c r="O1440" s="49">
        <v>2785</v>
      </c>
      <c r="P1440" s="49">
        <f t="shared" ca="1" si="60"/>
        <v>67507656.551127449</v>
      </c>
      <c r="Q1440" s="49">
        <f t="shared" ca="1" si="61"/>
        <v>18752.126819757625</v>
      </c>
      <c r="R1440" s="49">
        <f ca="1">Q1440*30</f>
        <v>562563.80459272873</v>
      </c>
      <c r="S1440" s="49">
        <f t="shared" ca="1" si="62"/>
        <v>5601.3260562025844</v>
      </c>
      <c r="T1440" s="47">
        <f t="shared" ca="1" si="63"/>
        <v>568165.13064893137</v>
      </c>
    </row>
    <row r="1441" spans="4:20">
      <c r="D1441" s="8" t="s">
        <v>71</v>
      </c>
      <c r="E1441" s="103">
        <v>13.703703703703701</v>
      </c>
      <c r="F1441" s="8">
        <v>1.5</v>
      </c>
      <c r="G1441" s="8">
        <v>4.2</v>
      </c>
      <c r="H1441" s="167">
        <v>0.16</v>
      </c>
      <c r="I1441" s="8">
        <v>110</v>
      </c>
      <c r="J1441" s="8">
        <v>2785</v>
      </c>
      <c r="K1441" s="8">
        <v>0</v>
      </c>
      <c r="L1441" s="49">
        <f t="shared" si="58"/>
        <v>0.9762280575883675</v>
      </c>
      <c r="M1441" s="49">
        <f ca="1">'Parameter Inputs'!L906</f>
        <v>25283.801978745327</v>
      </c>
      <c r="N1441" s="49">
        <f t="shared" ca="1" si="59"/>
        <v>24682.756894159473</v>
      </c>
      <c r="O1441" s="49">
        <v>2785</v>
      </c>
      <c r="P1441" s="49">
        <f t="shared" ca="1" si="60"/>
        <v>68741477.95023413</v>
      </c>
      <c r="Q1441" s="49">
        <f t="shared" ca="1" si="61"/>
        <v>19094.854986176146</v>
      </c>
      <c r="R1441" s="49">
        <f ca="1">Q1441*31</f>
        <v>591940.50457146054</v>
      </c>
      <c r="S1441" s="49">
        <f t="shared" ca="1" si="62"/>
        <v>6634.6749060330621</v>
      </c>
      <c r="T1441" s="47">
        <f t="shared" ca="1" si="63"/>
        <v>598575.17947749363</v>
      </c>
    </row>
    <row r="1442" spans="4:20">
      <c r="D1442" s="8" t="s">
        <v>72</v>
      </c>
      <c r="E1442" s="103">
        <v>12.469135802469101</v>
      </c>
      <c r="F1442" s="8">
        <v>1.5</v>
      </c>
      <c r="G1442" s="8">
        <v>4.2</v>
      </c>
      <c r="H1442" s="167">
        <v>0.16</v>
      </c>
      <c r="I1442" s="8">
        <v>110</v>
      </c>
      <c r="J1442" s="8">
        <v>2785</v>
      </c>
      <c r="K1442" s="8">
        <v>0</v>
      </c>
      <c r="L1442" s="49">
        <f t="shared" si="58"/>
        <v>0.98874380191642386</v>
      </c>
      <c r="M1442" s="49">
        <f ca="1">'Parameter Inputs'!L906</f>
        <v>25283.801978745327</v>
      </c>
      <c r="N1442" s="49">
        <f t="shared" ca="1" si="59"/>
        <v>24999.202495366655</v>
      </c>
      <c r="O1442" s="49">
        <v>2785</v>
      </c>
      <c r="P1442" s="49">
        <f t="shared" ca="1" si="60"/>
        <v>69622778.949596137</v>
      </c>
      <c r="Q1442" s="49">
        <f t="shared" ca="1" si="61"/>
        <v>19339.660819332261</v>
      </c>
      <c r="R1442" s="49">
        <f ca="1">Q1442*30</f>
        <v>580189.82457996788</v>
      </c>
      <c r="S1442" s="49">
        <f t="shared" ca="1" si="62"/>
        <v>6966.8711873161201</v>
      </c>
      <c r="T1442" s="47">
        <f t="shared" ca="1" si="63"/>
        <v>587156.69576728402</v>
      </c>
    </row>
    <row r="1443" spans="4:20">
      <c r="D1443" s="8" t="s">
        <v>73</v>
      </c>
      <c r="E1443" s="8">
        <v>12.468999999999999</v>
      </c>
      <c r="F1443" s="8">
        <v>1.5</v>
      </c>
      <c r="G1443" s="8">
        <v>4.2</v>
      </c>
      <c r="H1443" s="167">
        <v>0.16</v>
      </c>
      <c r="I1443" s="8">
        <v>110</v>
      </c>
      <c r="J1443" s="8">
        <v>2785</v>
      </c>
      <c r="K1443" s="8">
        <v>0</v>
      </c>
      <c r="L1443" s="49">
        <f t="shared" si="58"/>
        <v>0.98874517864829969</v>
      </c>
      <c r="M1443" s="49">
        <f ca="1">'Parameter Inputs'!L906</f>
        <v>25283.801978745327</v>
      </c>
      <c r="N1443" s="49">
        <f t="shared" ca="1" si="59"/>
        <v>24999.237304382783</v>
      </c>
      <c r="O1443" s="49">
        <v>2785</v>
      </c>
      <c r="P1443" s="49">
        <f t="shared" ca="1" si="60"/>
        <v>69622875.892706051</v>
      </c>
      <c r="Q1443" s="49">
        <f t="shared" ca="1" si="61"/>
        <v>19339.687747973901</v>
      </c>
      <c r="R1443" s="49">
        <f ca="1">Q1443*31</f>
        <v>599530.3201871909</v>
      </c>
      <c r="S1443" s="49">
        <f t="shared" ca="1" si="62"/>
        <v>7783.6625058766649</v>
      </c>
      <c r="T1443" s="47">
        <f t="shared" ca="1" si="63"/>
        <v>607313.98269306752</v>
      </c>
    </row>
    <row r="1444" spans="4:20">
      <c r="D1444" s="8"/>
      <c r="E1444" s="8"/>
      <c r="F1444" s="8"/>
      <c r="G1444" s="8"/>
      <c r="H1444" s="8"/>
      <c r="I1444" s="8"/>
      <c r="J1444" s="8"/>
      <c r="K1444" s="8"/>
      <c r="L1444" s="8"/>
      <c r="M1444" s="8"/>
      <c r="N1444" s="8"/>
      <c r="O1444" s="8"/>
      <c r="P1444" s="8"/>
      <c r="Q1444" s="8"/>
      <c r="R1444" s="49">
        <f ca="1">SUM(R1432:R1443)</f>
        <v>6896940.0528781423</v>
      </c>
      <c r="S1444" s="49">
        <f ca="1">SUM(S1432:S1443)</f>
        <v>78584.466491139829</v>
      </c>
      <c r="T1444" s="49">
        <f ca="1">SUM(T1432:T1443)</f>
        <v>6975524.5193692828</v>
      </c>
    </row>
    <row r="1446" spans="4:20">
      <c r="D1446" s="170"/>
      <c r="F1446" s="171"/>
      <c r="I1446" s="134"/>
      <c r="J1446" s="134"/>
      <c r="K1446" s="134"/>
    </row>
    <row r="1447" spans="4:20">
      <c r="D1447" s="8" t="s">
        <v>1208</v>
      </c>
      <c r="E1447" s="167">
        <v>0.42</v>
      </c>
      <c r="F1447" s="8"/>
    </row>
    <row r="1448" spans="4:20">
      <c r="D1448" s="8" t="s">
        <v>1209</v>
      </c>
      <c r="E1448" s="167">
        <v>0.39</v>
      </c>
      <c r="F1448" s="8"/>
    </row>
    <row r="1449" spans="4:20">
      <c r="D1449" s="8" t="s">
        <v>1210</v>
      </c>
      <c r="E1449" s="167">
        <v>0.33</v>
      </c>
      <c r="F1449" s="8">
        <f>F727*279</f>
        <v>863.14229999999998</v>
      </c>
    </row>
    <row r="1450" spans="4:20">
      <c r="D1450" s="8" t="s">
        <v>1211</v>
      </c>
      <c r="E1450" s="167">
        <v>0.08</v>
      </c>
      <c r="F1450" s="8">
        <f>F1449*1000</f>
        <v>863142.29999999993</v>
      </c>
    </row>
    <row r="1451" spans="4:20">
      <c r="D1451" s="8" t="s">
        <v>1212</v>
      </c>
      <c r="E1451" s="167">
        <v>0.41</v>
      </c>
      <c r="F1451" s="8">
        <f>F1450/15000</f>
        <v>57.542819999999992</v>
      </c>
    </row>
    <row r="1452" spans="4:20">
      <c r="D1452" s="8" t="s">
        <v>1213</v>
      </c>
      <c r="E1452" s="8"/>
      <c r="F1452" s="8"/>
    </row>
    <row r="1453" spans="4:20">
      <c r="D1453" s="8" t="s">
        <v>1214</v>
      </c>
      <c r="E1453" s="8">
        <f>517301</f>
        <v>517301</v>
      </c>
      <c r="F1453" s="8"/>
    </row>
    <row r="1454" spans="4:20">
      <c r="D1454" s="8"/>
      <c r="E1454" s="8"/>
      <c r="F1454" s="8"/>
    </row>
    <row r="1455" spans="4:20">
      <c r="D1455" s="8" t="s">
        <v>1205</v>
      </c>
      <c r="E1455" s="8">
        <f>129500</f>
        <v>129500</v>
      </c>
      <c r="F1455" s="284">
        <f>E1455/E1458</f>
        <v>0.15805351954485738</v>
      </c>
    </row>
    <row r="1456" spans="4:20">
      <c r="D1456" s="8" t="s">
        <v>1217</v>
      </c>
      <c r="E1456" s="49">
        <f>E1461*E1460</f>
        <v>338638.71614398586</v>
      </c>
      <c r="F1456" s="284">
        <f>E1456/E1458</f>
        <v>0.41330533544948939</v>
      </c>
    </row>
    <row r="1457" spans="4:10">
      <c r="D1457" s="8" t="s">
        <v>1218</v>
      </c>
      <c r="E1457" s="8">
        <v>351204</v>
      </c>
      <c r="F1457" s="284">
        <f>E1457/E1458</f>
        <v>0.4286411450056532</v>
      </c>
    </row>
    <row r="1458" spans="4:10">
      <c r="D1458" s="8" t="s">
        <v>1207</v>
      </c>
      <c r="E1458" s="8">
        <f>SUM(E1455:E1457)</f>
        <v>819342.71614398586</v>
      </c>
      <c r="F1458" s="8"/>
    </row>
    <row r="1459" spans="4:10">
      <c r="D1459" s="8"/>
      <c r="E1459" s="8"/>
      <c r="F1459" s="8"/>
    </row>
    <row r="1460" spans="4:10">
      <c r="D1460" s="8" t="s">
        <v>1215</v>
      </c>
      <c r="E1460" s="284">
        <f>E1455/E1453</f>
        <v>0.25033781106164499</v>
      </c>
      <c r="F1460" s="8"/>
    </row>
    <row r="1461" spans="4:10">
      <c r="D1461" s="8" t="s">
        <v>1216</v>
      </c>
      <c r="E1461" s="8">
        <v>1352727</v>
      </c>
      <c r="F1461" s="8"/>
    </row>
    <row r="1462" spans="4:10">
      <c r="D1462" s="8"/>
      <c r="E1462" s="8"/>
      <c r="F1462" s="8"/>
    </row>
    <row r="1463" spans="4:10">
      <c r="D1463" s="8" t="s">
        <v>1206</v>
      </c>
      <c r="E1463" s="8">
        <f>597000</f>
        <v>597000</v>
      </c>
      <c r="F1463" s="8"/>
    </row>
    <row r="1464" spans="4:10">
      <c r="D1464" s="8" t="s">
        <v>1207</v>
      </c>
      <c r="E1464" s="8">
        <f>E1455+E1463</f>
        <v>726500</v>
      </c>
      <c r="F1464" s="8"/>
    </row>
    <row r="1465" spans="4:10">
      <c r="D1465" s="8"/>
      <c r="E1465" s="8"/>
      <c r="F1465" s="8"/>
    </row>
    <row r="1466" spans="4:10">
      <c r="D1466" s="8"/>
      <c r="E1466" s="8"/>
      <c r="F1466" s="8"/>
    </row>
    <row r="1467" spans="4:10">
      <c r="D1467" s="8" t="s">
        <v>1253</v>
      </c>
      <c r="E1467" s="8">
        <v>58387</v>
      </c>
      <c r="F1467" s="8"/>
    </row>
    <row r="1468" spans="4:10">
      <c r="D1468" s="8" t="s">
        <v>1254</v>
      </c>
      <c r="E1468" s="8">
        <v>57643</v>
      </c>
      <c r="F1468" s="285">
        <f>E1468/E1467</f>
        <v>0.98725743744326644</v>
      </c>
    </row>
    <row r="1469" spans="4:10">
      <c r="D1469" s="8" t="s">
        <v>1255</v>
      </c>
      <c r="E1469" s="8">
        <v>650</v>
      </c>
      <c r="F1469" s="285">
        <f>E1469/E1467</f>
        <v>1.1132615136931166E-2</v>
      </c>
      <c r="J1469" s="134"/>
    </row>
    <row r="1470" spans="4:10">
      <c r="D1470" s="8" t="s">
        <v>1256</v>
      </c>
      <c r="E1470" s="8">
        <v>94</v>
      </c>
      <c r="F1470" s="285">
        <f>E1470/E1467</f>
        <v>1.6099474198023533E-3</v>
      </c>
      <c r="J1470" s="134"/>
    </row>
    <row r="1472" spans="4:10">
      <c r="J1472" s="134"/>
    </row>
    <row r="1475" spans="4:5">
      <c r="D1475" s="8" t="s">
        <v>1303</v>
      </c>
      <c r="E1475" s="8"/>
    </row>
    <row r="1476" spans="4:5">
      <c r="D1476" s="8" t="s">
        <v>1325</v>
      </c>
      <c r="E1476" s="8"/>
    </row>
    <row r="1477" spans="4:5">
      <c r="D1477" s="8" t="s">
        <v>1326</v>
      </c>
      <c r="E1477" s="8"/>
    </row>
    <row r="1478" spans="4:5">
      <c r="D1478" s="8" t="s">
        <v>1327</v>
      </c>
      <c r="E1478" s="8"/>
    </row>
    <row r="1479" spans="4:5">
      <c r="D1479" s="8" t="s">
        <v>1328</v>
      </c>
      <c r="E1479" s="8">
        <f>12+4</f>
        <v>16</v>
      </c>
    </row>
    <row r="1480" spans="4:5">
      <c r="D1480" s="8" t="s">
        <v>1329</v>
      </c>
      <c r="E1480" s="8">
        <f ca="1">'Parameter Inputs'!L1023*0.65</f>
        <v>4069.3410525331451</v>
      </c>
    </row>
    <row r="1481" spans="4:5">
      <c r="D1481" s="8" t="s">
        <v>1330</v>
      </c>
      <c r="E1481" s="8">
        <f>44.7</f>
        <v>44.7</v>
      </c>
    </row>
    <row r="1482" spans="4:5">
      <c r="D1482" s="8" t="s">
        <v>1331</v>
      </c>
      <c r="E1482" s="8">
        <f ca="1">E1480*E1481</f>
        <v>181899.54504823161</v>
      </c>
    </row>
    <row r="1483" spans="4:5">
      <c r="D1483" s="8" t="s">
        <v>1332</v>
      </c>
      <c r="E1483" s="8">
        <f ca="1">E1482</f>
        <v>181899.54504823161</v>
      </c>
    </row>
    <row r="1484" spans="4:5">
      <c r="D1484" s="8" t="s">
        <v>1333</v>
      </c>
      <c r="E1484" s="8">
        <f>12+16+16</f>
        <v>44</v>
      </c>
    </row>
    <row r="1485" spans="4:5">
      <c r="D1485" s="8" t="s">
        <v>1334</v>
      </c>
      <c r="E1485" s="8">
        <f ca="1">(E1484/1000)*E1483</f>
        <v>8003.5799821221899</v>
      </c>
    </row>
    <row r="1486" spans="4:5">
      <c r="D1486" s="8" t="s">
        <v>1335</v>
      </c>
      <c r="E1486" s="8">
        <f ca="1">('Parameter Inputs'!L1023*0.25)</f>
        <v>1565.1311740512097</v>
      </c>
    </row>
    <row r="1487" spans="4:5">
      <c r="D1487" s="8" t="s">
        <v>1336</v>
      </c>
      <c r="E1487" s="8">
        <f ca="1">E1486*'Parameter Inputs'!F445</f>
        <v>2926.795295475762</v>
      </c>
    </row>
    <row r="1488" spans="4:5">
      <c r="D1488" s="8" t="s">
        <v>1337</v>
      </c>
      <c r="E1488" s="8">
        <f ca="1">E1487+E1485</f>
        <v>10930.375277597952</v>
      </c>
    </row>
    <row r="1489" spans="4:5">
      <c r="D1489" s="8" t="s">
        <v>1342</v>
      </c>
      <c r="E1489" s="8">
        <f ca="1">E1482*2</f>
        <v>363799.09009646322</v>
      </c>
    </row>
    <row r="1490" spans="4:5">
      <c r="D1490" s="8" t="s">
        <v>1343</v>
      </c>
      <c r="E1490" s="8">
        <f ca="1">(E1489*(18/1000))</f>
        <v>6548.3836217363378</v>
      </c>
    </row>
    <row r="1491" spans="4:5">
      <c r="D1491" s="8" t="s">
        <v>1344</v>
      </c>
      <c r="E1491" s="8">
        <f ca="1">E1482*7.52</f>
        <v>1367884.5787627017</v>
      </c>
    </row>
    <row r="1492" spans="4:5">
      <c r="D1492" s="8" t="s">
        <v>1345</v>
      </c>
      <c r="E1492" s="8">
        <f ca="1">E1491*(28/1000)</f>
        <v>38300.768205355649</v>
      </c>
    </row>
    <row r="1493" spans="4:5">
      <c r="D1493" s="8"/>
      <c r="E1493" s="8"/>
    </row>
    <row r="1494" spans="4:5">
      <c r="D1494" s="8" t="s">
        <v>1338</v>
      </c>
      <c r="E1494" s="49">
        <f ca="1">'Parameter Inputs'!E1235/365</f>
        <v>544.66192065916528</v>
      </c>
    </row>
    <row r="1495" spans="4:5">
      <c r="D1495" s="8" t="s">
        <v>1339</v>
      </c>
      <c r="E1495" s="8">
        <f ca="1">E1494*E1484</f>
        <v>23965.124509003272</v>
      </c>
    </row>
    <row r="1496" spans="4:5">
      <c r="D1496" s="8" t="s">
        <v>1340</v>
      </c>
      <c r="E1496" s="8">
        <f ca="1">E1495</f>
        <v>23965.124509003272</v>
      </c>
    </row>
    <row r="1497" spans="4:5">
      <c r="D1497" s="8" t="s">
        <v>1341</v>
      </c>
      <c r="E1497" s="8">
        <f ca="1">E1496*(E1484/1000)</f>
        <v>1054.4654783961439</v>
      </c>
    </row>
    <row r="1498" spans="4:5">
      <c r="D1498" s="8"/>
      <c r="E1498" s="8"/>
    </row>
    <row r="1499" spans="4:5">
      <c r="D1499" s="8" t="s">
        <v>1346</v>
      </c>
      <c r="E1499" s="8">
        <f ca="1">E1495*2</f>
        <v>47930.249018006543</v>
      </c>
    </row>
    <row r="1500" spans="4:5">
      <c r="D1500" s="8" t="s">
        <v>1347</v>
      </c>
      <c r="E1500" s="8">
        <f ca="1">E1499*(18/1000)</f>
        <v>862.74448232411771</v>
      </c>
    </row>
    <row r="1501" spans="4:5">
      <c r="D1501" s="8" t="s">
        <v>1348</v>
      </c>
      <c r="E1501" s="8">
        <f ca="1">E1495*7.52</f>
        <v>180217.73630770459</v>
      </c>
    </row>
    <row r="1502" spans="4:5">
      <c r="D1502" s="8" t="s">
        <v>1349</v>
      </c>
      <c r="E1502" s="8">
        <f ca="1">E1501*(28/1000)</f>
        <v>5046.0966166157286</v>
      </c>
    </row>
    <row r="1503" spans="4:5">
      <c r="D1503" s="8"/>
      <c r="E1503" s="8"/>
    </row>
    <row r="1504" spans="4:5">
      <c r="D1504" s="8" t="s">
        <v>1350</v>
      </c>
      <c r="E1504" s="49">
        <f ca="1">E1497+E1488</f>
        <v>11984.840755994095</v>
      </c>
    </row>
    <row r="1505" spans="4:5">
      <c r="D1505" s="8" t="s">
        <v>1351</v>
      </c>
      <c r="E1505" s="49">
        <f ca="1">E1500+E1490</f>
        <v>7411.1281040604554</v>
      </c>
    </row>
    <row r="1506" spans="4:5">
      <c r="D1506" s="8" t="s">
        <v>1352</v>
      </c>
      <c r="E1506" s="49">
        <f ca="1">E1492+E1502</f>
        <v>43346.86482197138</v>
      </c>
    </row>
    <row r="1507" spans="4:5">
      <c r="D1507" s="8"/>
      <c r="E1507" s="49">
        <f ca="1">SUM(E1504:E1506)</f>
        <v>62742.833682025928</v>
      </c>
    </row>
    <row r="1508" spans="4:5">
      <c r="D1508" s="8"/>
      <c r="E1508" s="8"/>
    </row>
    <row r="1509" spans="4:5">
      <c r="D1509" s="8"/>
      <c r="E1509" s="8"/>
    </row>
    <row r="1510" spans="4:5">
      <c r="D1510" s="8" t="s">
        <v>1359</v>
      </c>
      <c r="E1510" s="8"/>
    </row>
    <row r="1511" spans="4:5">
      <c r="D1511" s="8" t="s">
        <v>1363</v>
      </c>
      <c r="E1511" s="8">
        <v>5.6000000000000001E-2</v>
      </c>
    </row>
    <row r="1512" spans="4:5">
      <c r="D1512" s="8" t="s">
        <v>1356</v>
      </c>
      <c r="E1512" s="8">
        <v>59</v>
      </c>
    </row>
    <row r="1513" spans="4:5">
      <c r="D1513" s="334" t="s">
        <v>1362</v>
      </c>
      <c r="E1513" s="334"/>
    </row>
    <row r="1514" spans="4:5">
      <c r="D1514" s="8" t="s">
        <v>1357</v>
      </c>
      <c r="E1514" s="8">
        <f ca="1">('Parameter Inputs'!E1111*'Parameter Inputs'!E1108*'Parameter Inputs'!F482)</f>
        <v>2472.7076532945684</v>
      </c>
    </row>
    <row r="1515" spans="4:5">
      <c r="D1515" s="8" t="s">
        <v>1358</v>
      </c>
      <c r="E1515" s="8">
        <f ca="1">(E1514*1000)/E1512</f>
        <v>41910.299208382516</v>
      </c>
    </row>
    <row r="1516" spans="4:5">
      <c r="D1516" s="8" t="s">
        <v>1360</v>
      </c>
      <c r="E1516" s="8">
        <f ca="1">E1515*E1511</f>
        <v>2346.976755669421</v>
      </c>
    </row>
    <row r="1517" spans="4:5">
      <c r="D1517" s="8" t="s">
        <v>1361</v>
      </c>
      <c r="E1517" s="8">
        <f ca="1">E1516*(44/1000)</f>
        <v>103.26697724945451</v>
      </c>
    </row>
    <row r="1518" spans="4:5">
      <c r="D1518" s="334" t="s">
        <v>25</v>
      </c>
      <c r="E1518" s="334"/>
    </row>
    <row r="1519" spans="4:5">
      <c r="D1519" s="8" t="s">
        <v>1364</v>
      </c>
      <c r="E1519" s="8">
        <f ca="1">'Parameter Inputs'!K1106*'Parameter Inputs'!K1107*'Parameter Inputs'!F536</f>
        <v>9226.5500835070652</v>
      </c>
    </row>
    <row r="1520" spans="4:5">
      <c r="D1520" s="8" t="s">
        <v>1358</v>
      </c>
      <c r="E1520" s="8">
        <f ca="1">(E1519*1000)/E1512</f>
        <v>156382.2048052045</v>
      </c>
    </row>
    <row r="1521" spans="4:28">
      <c r="D1521" s="8" t="s">
        <v>1360</v>
      </c>
      <c r="E1521" s="8">
        <f ca="1">E1520*E1511</f>
        <v>8757.4034690914523</v>
      </c>
    </row>
    <row r="1522" spans="4:28">
      <c r="D1522" s="8" t="s">
        <v>1361</v>
      </c>
      <c r="E1522" s="8">
        <f ca="1">E1521*(44/1000)</f>
        <v>385.32575264002389</v>
      </c>
    </row>
    <row r="1525" spans="4:28" s="224" customFormat="1">
      <c r="D1525" s="225" t="s">
        <v>1699</v>
      </c>
    </row>
    <row r="1528" spans="4:28">
      <c r="D1528" s="8"/>
      <c r="E1528" s="8" t="s">
        <v>664</v>
      </c>
      <c r="F1528" s="8" t="s">
        <v>665</v>
      </c>
      <c r="G1528" s="8" t="s">
        <v>669</v>
      </c>
      <c r="H1528" s="8" t="s">
        <v>666</v>
      </c>
      <c r="I1528" s="8" t="s">
        <v>667</v>
      </c>
      <c r="J1528" s="8" t="s">
        <v>668</v>
      </c>
      <c r="K1528" s="8" t="s">
        <v>676</v>
      </c>
      <c r="L1528" s="8" t="s">
        <v>677</v>
      </c>
      <c r="M1528" s="8" t="s">
        <v>678</v>
      </c>
      <c r="N1528" s="8" t="s">
        <v>807</v>
      </c>
      <c r="O1528" s="8" t="s">
        <v>805</v>
      </c>
    </row>
    <row r="1529" spans="4:28">
      <c r="D1529" s="8" t="s">
        <v>651</v>
      </c>
      <c r="E1529" s="8" t="s">
        <v>658</v>
      </c>
      <c r="F1529" s="8">
        <v>2500</v>
      </c>
      <c r="G1529" s="8" t="s">
        <v>670</v>
      </c>
      <c r="H1529" s="8">
        <v>122407</v>
      </c>
      <c r="I1529" s="8">
        <v>0.75</v>
      </c>
      <c r="J1529" s="50">
        <f ca="1">'Parameter Inputs'!H786</f>
        <v>1372.4662485667614</v>
      </c>
      <c r="K1529" s="49">
        <f t="shared" ref="K1529:K1536" ca="1" si="64">H1529*(J1529/F1529)^I1529</f>
        <v>78068.799770092679</v>
      </c>
      <c r="L1529" s="8">
        <v>5</v>
      </c>
      <c r="M1529" s="8" cm="1">
        <f t="array" aca="1" ref="M1529" ca="1">_xlfn.IFS(E195=$D$1719,K1529*L1529,E195=$D$1720,G195)</f>
        <v>390343.99885046342</v>
      </c>
      <c r="N1529" s="287">
        <f ca="1">K1529</f>
        <v>78068.799770092679</v>
      </c>
      <c r="O1529" s="8">
        <v>5</v>
      </c>
      <c r="P1529" s="60" t="s">
        <v>806</v>
      </c>
    </row>
    <row r="1530" spans="4:28">
      <c r="D1530" s="8" t="s">
        <v>652</v>
      </c>
      <c r="E1530" s="8" t="s">
        <v>659</v>
      </c>
      <c r="F1530" s="8">
        <v>4</v>
      </c>
      <c r="G1530" s="8" t="s">
        <v>671</v>
      </c>
      <c r="H1530" s="8">
        <v>235000</v>
      </c>
      <c r="I1530" s="8">
        <v>0.6</v>
      </c>
      <c r="J1530" s="50">
        <f ca="1">'Parameter Inputs'!E797</f>
        <v>56.699593765212192</v>
      </c>
      <c r="K1530" s="49">
        <f t="shared" ca="1" si="64"/>
        <v>1153399.7046545669</v>
      </c>
      <c r="L1530" s="8">
        <v>1</v>
      </c>
      <c r="M1530" s="8" cm="1">
        <f t="array" aca="1" ref="M1530" ca="1">_xlfn.IFS(E197=$D$1719,K1530*L1530,E197=$D$1720,G197)</f>
        <v>1153399.7046545669</v>
      </c>
      <c r="N1530" s="8">
        <f>60000*E1574</f>
        <v>0</v>
      </c>
      <c r="O1530" s="8">
        <v>1</v>
      </c>
    </row>
    <row r="1531" spans="4:28">
      <c r="D1531" s="8" t="s">
        <v>653</v>
      </c>
      <c r="E1531" s="8" t="s">
        <v>660</v>
      </c>
      <c r="F1531" s="8">
        <v>30</v>
      </c>
      <c r="G1531" s="8" t="s">
        <v>491</v>
      </c>
      <c r="H1531" s="8">
        <v>263947</v>
      </c>
      <c r="I1531" s="8">
        <v>0.78</v>
      </c>
      <c r="J1531" s="50">
        <f ca="1">'Parameter Inputs'!H787</f>
        <v>450.47523986787769</v>
      </c>
      <c r="K1531" s="49">
        <f t="shared" ca="1" si="64"/>
        <v>2183863.4165731492</v>
      </c>
      <c r="L1531" s="8">
        <v>1</v>
      </c>
      <c r="M1531" s="8" cm="1">
        <f t="array" aca="1" ref="M1531" ca="1">_xlfn.IFS(E199=$D$1719,K1531*L1531,E199=$D$1720,G199)</f>
        <v>2183863.4165731492</v>
      </c>
      <c r="N1531" s="8"/>
      <c r="O1531" s="8"/>
    </row>
    <row r="1532" spans="4:28">
      <c r="D1532" s="8" t="s">
        <v>654</v>
      </c>
      <c r="E1532" s="8" t="s">
        <v>660</v>
      </c>
      <c r="F1532" s="8">
        <v>30</v>
      </c>
      <c r="G1532" s="8" t="s">
        <v>491</v>
      </c>
      <c r="H1532" s="8">
        <v>263947</v>
      </c>
      <c r="I1532" s="8">
        <v>0.78</v>
      </c>
      <c r="J1532" s="50">
        <f ca="1">'Parameter Inputs'!H788</f>
        <v>558.56112033254271</v>
      </c>
      <c r="K1532" s="49">
        <f t="shared" ca="1" si="64"/>
        <v>2582719.8447433985</v>
      </c>
      <c r="L1532" s="8">
        <v>1</v>
      </c>
      <c r="M1532" s="8" cm="1">
        <f t="array" aca="1" ref="M1532" ca="1">_xlfn.IFS(E201=$D$1719,K1532*L1532,E201=$D$1720,G201)</f>
        <v>2582719.8447433985</v>
      </c>
      <c r="N1532" s="8"/>
      <c r="O1532" s="8"/>
      <c r="AB1532" s="113"/>
    </row>
    <row r="1533" spans="4:28">
      <c r="D1533" s="8" t="s">
        <v>655</v>
      </c>
      <c r="E1533" s="8" t="s">
        <v>659</v>
      </c>
      <c r="F1533" s="8">
        <v>4</v>
      </c>
      <c r="G1533" s="8" t="s">
        <v>671</v>
      </c>
      <c r="H1533" s="8">
        <v>235000</v>
      </c>
      <c r="I1533" s="8">
        <v>0.6</v>
      </c>
      <c r="J1533" s="50">
        <f ca="1">'Parameter Inputs'!K1129/24</f>
        <v>42.315236388828978</v>
      </c>
      <c r="K1533" s="49">
        <f t="shared" ca="1" si="64"/>
        <v>967675.91162787378</v>
      </c>
      <c r="L1533" s="8">
        <v>1</v>
      </c>
      <c r="M1533" s="8" cm="1">
        <f t="array" aca="1" ref="M1533" ca="1">_xlfn.IFS(E203=$D$1719,K1533*L1533,E203=$D$1720,G203)</f>
        <v>967675.91162787378</v>
      </c>
      <c r="N1533" s="8"/>
      <c r="O1533" s="8"/>
      <c r="AA1533" s="86"/>
      <c r="AB1533" s="113"/>
    </row>
    <row r="1534" spans="4:28">
      <c r="D1534" s="8" t="s">
        <v>656</v>
      </c>
      <c r="E1534" s="8" t="s">
        <v>661</v>
      </c>
      <c r="F1534" s="8">
        <v>51.6</v>
      </c>
      <c r="G1534" s="8" t="s">
        <v>672</v>
      </c>
      <c r="H1534" s="8">
        <v>118000</v>
      </c>
      <c r="I1534" s="8">
        <v>0.6</v>
      </c>
      <c r="J1534" s="50">
        <f ca="1">'Parameter Inputs'!N1151/24</f>
        <v>534.78139948557202</v>
      </c>
      <c r="K1534" s="49">
        <f t="shared" ca="1" si="64"/>
        <v>479952.17309669207</v>
      </c>
      <c r="L1534" s="8">
        <v>1</v>
      </c>
      <c r="M1534" s="8" cm="1">
        <f t="array" aca="1" ref="M1534" ca="1">_xlfn.IFS(E205=$D$1719,K1534*L1534,E205=$D$1720,G205)</f>
        <v>479952.17309669207</v>
      </c>
      <c r="N1534" s="8"/>
      <c r="O1534" s="8"/>
      <c r="AB1534" s="113"/>
    </row>
    <row r="1535" spans="4:28">
      <c r="D1535" s="8" t="s">
        <v>657</v>
      </c>
      <c r="E1535" s="8" t="s">
        <v>662</v>
      </c>
      <c r="F1535" s="8">
        <v>125</v>
      </c>
      <c r="G1535" s="8" t="s">
        <v>670</v>
      </c>
      <c r="H1535" s="8">
        <v>50255</v>
      </c>
      <c r="I1535" s="8">
        <v>0.78</v>
      </c>
      <c r="J1535" s="50">
        <f ca="1">'Parameter Inputs'!H790</f>
        <v>73.889796355090638</v>
      </c>
      <c r="K1535" s="49">
        <f t="shared" ca="1" si="64"/>
        <v>33349.194871277083</v>
      </c>
      <c r="L1535" s="8">
        <v>1</v>
      </c>
      <c r="M1535" s="8" cm="1">
        <f t="array" aca="1" ref="M1535" ca="1">_xlfn.IFS(E207=$D$1719,K1535*L1535,E207=$D$1720,G207)</f>
        <v>33349.194871277083</v>
      </c>
      <c r="N1535" s="8"/>
      <c r="O1535" s="8"/>
      <c r="AA1535" s="86"/>
      <c r="AB1535" s="113"/>
    </row>
    <row r="1536" spans="4:28">
      <c r="D1536" s="8" t="s">
        <v>673</v>
      </c>
      <c r="E1536" s="8" t="s">
        <v>659</v>
      </c>
      <c r="F1536" s="8">
        <v>4</v>
      </c>
      <c r="G1536" s="8" t="s">
        <v>671</v>
      </c>
      <c r="H1536" s="8">
        <v>235000</v>
      </c>
      <c r="I1536" s="8">
        <v>0.6</v>
      </c>
      <c r="J1536" s="50">
        <f ca="1">('Parameter Inputs'!K1165/20)</f>
        <v>3.3586271070495739</v>
      </c>
      <c r="K1536" s="49">
        <f t="shared" ca="1" si="64"/>
        <v>211606.46920139904</v>
      </c>
      <c r="L1536" s="8">
        <v>1</v>
      </c>
      <c r="M1536" s="8" cm="1">
        <f t="array" aca="1" ref="M1536" ca="1">_xlfn.IFS(E209=$D$1719,K1536*L1536,E209=$D$1720,G209)</f>
        <v>211606.46920139904</v>
      </c>
      <c r="N1536" s="8"/>
      <c r="O1536" s="8"/>
      <c r="AB1536" s="113"/>
    </row>
    <row r="1537" spans="4:28">
      <c r="D1537" s="8" t="s">
        <v>674</v>
      </c>
      <c r="E1537" s="8" t="s">
        <v>663</v>
      </c>
      <c r="F1537" s="8">
        <v>0.02</v>
      </c>
      <c r="G1537" s="8" t="s">
        <v>804</v>
      </c>
      <c r="H1537" s="8">
        <v>2550</v>
      </c>
      <c r="I1537" s="8">
        <v>0.6</v>
      </c>
      <c r="J1537" s="50">
        <f ca="1">('Parameter Inputs'!N1172/2)/10</f>
        <v>3308.7481358827804</v>
      </c>
      <c r="K1537" s="49">
        <v>434920.14</v>
      </c>
      <c r="L1537" s="8">
        <v>2</v>
      </c>
      <c r="M1537" s="8" cm="1">
        <f t="array" ref="M1537">_xlfn.IFS(E211=$D$1719,K1537*L1537,E211=$D$1720,G211)</f>
        <v>869840.28</v>
      </c>
      <c r="N1537" s="8"/>
      <c r="O1537" s="8"/>
      <c r="AA1537" s="86"/>
      <c r="AB1537" s="113"/>
    </row>
    <row r="1538" spans="4:28">
      <c r="D1538" s="8" t="s">
        <v>675</v>
      </c>
      <c r="E1538" s="8" t="s">
        <v>663</v>
      </c>
      <c r="F1538" s="8">
        <v>0.02</v>
      </c>
      <c r="G1538" s="8" t="s">
        <v>804</v>
      </c>
      <c r="H1538" s="8">
        <v>2550</v>
      </c>
      <c r="I1538" s="8">
        <v>0.6</v>
      </c>
      <c r="J1538" s="50">
        <f ca="1">('Parameter Inputs'!T1161/2)/10</f>
        <v>105.65569153356553</v>
      </c>
      <c r="K1538" s="49">
        <v>434920.14</v>
      </c>
      <c r="L1538" s="8">
        <v>1</v>
      </c>
      <c r="M1538" s="8" cm="1">
        <f t="array" ref="M1538">_xlfn.IFS(E213=$D$1719,K1538*L1538,E213=$D$1720,G213)</f>
        <v>434920.14</v>
      </c>
      <c r="N1538" s="8"/>
      <c r="O1538" s="8"/>
      <c r="AB1538" s="113"/>
    </row>
    <row r="1539" spans="4:28">
      <c r="D1539" s="8" t="s">
        <v>1438</v>
      </c>
      <c r="E1539" s="8" t="s">
        <v>1451</v>
      </c>
      <c r="F1539" s="8">
        <v>500</v>
      </c>
      <c r="G1539" s="8" t="s">
        <v>804</v>
      </c>
      <c r="H1539" s="8">
        <v>485930</v>
      </c>
      <c r="I1539" s="8">
        <v>0.6</v>
      </c>
      <c r="J1539" s="8">
        <v>300</v>
      </c>
      <c r="K1539" s="49">
        <f>H1539*(J1539/F1539)^I1539</f>
        <v>357655.13295486971</v>
      </c>
      <c r="L1539" s="8">
        <v>1</v>
      </c>
      <c r="M1539" s="8" cm="1">
        <f t="array" ref="M1539">_xlfn.IFS(E215=$D$1719,K1539*L1539,E215=$D$1720,G215)</f>
        <v>357655.13295486971</v>
      </c>
      <c r="N1539" s="8"/>
      <c r="O1539" s="8"/>
      <c r="AB1539" s="113"/>
    </row>
    <row r="1540" spans="4:28">
      <c r="D1540" s="8" t="s">
        <v>679</v>
      </c>
      <c r="E1540" s="8"/>
      <c r="F1540" s="8"/>
      <c r="G1540" s="8"/>
      <c r="H1540" s="8"/>
      <c r="I1540" s="8"/>
      <c r="J1540" s="8"/>
      <c r="K1540" s="8"/>
      <c r="L1540" s="8"/>
      <c r="M1540" s="8">
        <f ca="1">SUM(M1529:M1537)</f>
        <v>8872750.9936188199</v>
      </c>
      <c r="N1540" s="8"/>
      <c r="O1540" s="8"/>
      <c r="AA1540" s="86"/>
      <c r="AB1540" s="113"/>
    </row>
    <row r="1541" spans="4:28">
      <c r="D1541" s="8" t="s">
        <v>680</v>
      </c>
      <c r="E1541" s="8" t="s">
        <v>686</v>
      </c>
      <c r="F1541" s="284">
        <v>0.15</v>
      </c>
      <c r="G1541" s="8">
        <f ca="1">F1541*$M$1540</f>
        <v>1330912.6490428229</v>
      </c>
      <c r="H1541" s="8"/>
      <c r="I1541" s="8"/>
      <c r="J1541" s="8"/>
      <c r="K1541" s="8"/>
      <c r="L1541" s="8"/>
      <c r="M1541" s="8"/>
      <c r="N1541" s="8"/>
      <c r="O1541" s="8"/>
      <c r="AA1541" s="86"/>
      <c r="AB1541" s="113"/>
    </row>
    <row r="1542" spans="4:28">
      <c r="D1542" s="8" t="s">
        <v>681</v>
      </c>
      <c r="E1542" s="8" t="s">
        <v>686</v>
      </c>
      <c r="F1542" s="284">
        <v>0.25</v>
      </c>
      <c r="G1542" s="8">
        <f ca="1">F1542*$M$1540</f>
        <v>2218187.748404705</v>
      </c>
      <c r="H1542" s="8"/>
      <c r="I1542" s="8"/>
      <c r="J1542" s="8"/>
      <c r="K1542" s="8"/>
      <c r="L1542" s="8"/>
      <c r="M1542" s="8"/>
      <c r="N1542" s="8"/>
      <c r="O1542" s="8">
        <f ca="1">J1529/24</f>
        <v>57.186093690281723</v>
      </c>
      <c r="AA1542" s="86"/>
      <c r="AB1542" s="113"/>
    </row>
    <row r="1543" spans="4:28">
      <c r="D1543" s="8" t="s">
        <v>682</v>
      </c>
      <c r="E1543" s="8" t="s">
        <v>686</v>
      </c>
      <c r="F1543" s="284">
        <v>0.1</v>
      </c>
      <c r="G1543" s="8">
        <f ca="1">F1543*$M$1540</f>
        <v>887275.09936188208</v>
      </c>
      <c r="H1543" s="8"/>
      <c r="I1543" s="8"/>
      <c r="J1543" s="8"/>
      <c r="K1543" s="8">
        <v>4.5</v>
      </c>
      <c r="L1543" s="8"/>
      <c r="M1543" s="8"/>
      <c r="N1543" s="8"/>
      <c r="O1543" s="8">
        <f ca="1">O1542/60</f>
        <v>0.95310156150469538</v>
      </c>
      <c r="AA1543" s="86"/>
      <c r="AB1543" s="113"/>
    </row>
    <row r="1544" spans="4:28">
      <c r="D1544" s="8" t="s">
        <v>683</v>
      </c>
      <c r="E1544" s="8" t="s">
        <v>686</v>
      </c>
      <c r="F1544" s="284">
        <v>0.34</v>
      </c>
      <c r="G1544" s="8">
        <f ca="1">F1544*$M$1540</f>
        <v>3016735.3378303992</v>
      </c>
      <c r="H1544" s="8"/>
      <c r="I1544" s="8"/>
      <c r="J1544" s="8"/>
      <c r="K1544" s="8"/>
      <c r="L1544" s="8"/>
      <c r="M1544" s="8"/>
      <c r="N1544" s="8"/>
      <c r="O1544" s="8">
        <f ca="1">O1543*1000</f>
        <v>953.10156150469538</v>
      </c>
    </row>
    <row r="1545" spans="4:28">
      <c r="D1545" s="8" t="s">
        <v>684</v>
      </c>
      <c r="E1545" s="8" t="s">
        <v>686</v>
      </c>
      <c r="F1545" s="284">
        <v>0.12</v>
      </c>
      <c r="G1545" s="8">
        <f ca="1">F1545*$M$1540</f>
        <v>1064730.1192342583</v>
      </c>
      <c r="H1545" s="8"/>
      <c r="I1545" s="8"/>
      <c r="J1545" s="8"/>
      <c r="K1545" s="8"/>
      <c r="L1545" s="8"/>
      <c r="M1545" s="8"/>
      <c r="N1545" s="8"/>
      <c r="O1545" s="8"/>
    </row>
    <row r="1546" spans="4:28">
      <c r="D1546" s="8" t="s">
        <v>688</v>
      </c>
      <c r="E1546" s="8"/>
      <c r="F1546" s="167"/>
      <c r="G1546" s="8">
        <f ca="1">G1545+M1540</f>
        <v>9937481.1128530782</v>
      </c>
      <c r="H1546" s="8"/>
      <c r="I1546" s="8"/>
      <c r="J1546" s="8"/>
      <c r="K1546" s="8"/>
      <c r="L1546" s="8"/>
      <c r="M1546" s="8"/>
      <c r="N1546" s="8"/>
      <c r="O1546" s="8"/>
    </row>
    <row r="1547" spans="4:28">
      <c r="D1547" s="8" t="s">
        <v>685</v>
      </c>
      <c r="E1547" s="8" t="s">
        <v>687</v>
      </c>
      <c r="F1547" s="285">
        <v>5.0000000000000001E-3</v>
      </c>
      <c r="G1547" s="8">
        <f ca="1">F1547*G1546</f>
        <v>49687.405564265391</v>
      </c>
      <c r="H1547" s="8"/>
      <c r="I1547" s="8"/>
      <c r="J1547" s="8"/>
      <c r="K1547" s="8"/>
      <c r="L1547" s="8"/>
      <c r="M1547" s="8"/>
      <c r="N1547" s="8"/>
      <c r="O1547" s="8">
        <f ca="1">J1530/60</f>
        <v>0.94499322942020325</v>
      </c>
    </row>
    <row r="1548" spans="4:28">
      <c r="D1548" s="8" t="s">
        <v>1121</v>
      </c>
      <c r="E1548" s="8"/>
      <c r="F1548" s="8"/>
      <c r="G1548" s="8">
        <f ca="1">G1547+G1546</f>
        <v>9987168.5184173435</v>
      </c>
      <c r="H1548" s="8"/>
      <c r="I1548" s="8"/>
      <c r="J1548" s="8"/>
      <c r="K1548" s="8"/>
      <c r="L1548" s="8"/>
      <c r="M1548" s="8"/>
      <c r="N1548" s="8"/>
      <c r="O1548" s="8">
        <f ca="1">O1547*1000</f>
        <v>944.99322942020331</v>
      </c>
      <c r="AA1548" s="86"/>
      <c r="AB1548" s="113"/>
    </row>
    <row r="1549" spans="4:28">
      <c r="D1549" s="8" t="s">
        <v>1372</v>
      </c>
      <c r="E1549" s="8"/>
      <c r="F1549" s="8"/>
      <c r="G1549" s="284">
        <v>4.1000000000000002E-2</v>
      </c>
      <c r="H1549" s="8"/>
      <c r="I1549" s="8"/>
      <c r="J1549" s="8"/>
      <c r="K1549" s="8"/>
      <c r="L1549" s="8"/>
      <c r="M1549" s="8"/>
      <c r="N1549" s="8"/>
      <c r="O1549" s="8"/>
      <c r="AB1549" s="113"/>
    </row>
    <row r="1550" spans="4:28">
      <c r="D1550" s="8" t="s">
        <v>1122</v>
      </c>
      <c r="E1550" s="8"/>
      <c r="F1550" s="8"/>
      <c r="G1550" s="50">
        <f ca="1">G1548/((1-((1+G1549)^(-20)))/G1549)</f>
        <v>741395.29559232167</v>
      </c>
      <c r="H1550" s="8"/>
      <c r="I1550" s="8"/>
      <c r="J1550" s="284"/>
      <c r="K1550" s="8"/>
      <c r="L1550" s="8"/>
      <c r="M1550" s="8"/>
      <c r="N1550" s="8"/>
      <c r="O1550" s="8"/>
      <c r="AA1550" s="86"/>
      <c r="AB1550" s="113"/>
    </row>
    <row r="1551" spans="4:28">
      <c r="G1551" s="105"/>
      <c r="J1551" s="113"/>
      <c r="AA1551" s="86"/>
      <c r="AB1551" s="113"/>
    </row>
    <row r="1552" spans="4:28">
      <c r="D1552" s="8" t="s">
        <v>1125</v>
      </c>
      <c r="E1552" s="8">
        <v>13</v>
      </c>
      <c r="F1552" s="8"/>
      <c r="G1552" s="50"/>
      <c r="H1552" s="8"/>
      <c r="I1552" s="8"/>
      <c r="J1552" s="284"/>
      <c r="K1552" s="8"/>
      <c r="L1552" s="8"/>
      <c r="M1552" s="8"/>
      <c r="N1552" s="8"/>
      <c r="O1552" s="8"/>
      <c r="P1552" s="8"/>
      <c r="Q1552" s="8"/>
      <c r="AA1552" s="86"/>
      <c r="AB1552" s="113"/>
    </row>
    <row r="1553" spans="4:28">
      <c r="D1553" s="8" t="s">
        <v>1124</v>
      </c>
      <c r="E1553" s="8">
        <v>1</v>
      </c>
      <c r="F1553" s="8"/>
      <c r="G1553" s="50"/>
      <c r="H1553" s="8"/>
      <c r="I1553" s="8"/>
      <c r="J1553" s="284"/>
      <c r="K1553" s="8"/>
      <c r="L1553" s="8"/>
      <c r="M1553" s="8"/>
      <c r="N1553" s="8"/>
      <c r="O1553" s="8"/>
      <c r="P1553" s="8"/>
      <c r="Q1553" s="8"/>
      <c r="AA1553" s="86"/>
      <c r="AB1553" s="113"/>
    </row>
    <row r="1554" spans="4:28">
      <c r="D1554" s="8" t="s">
        <v>1123</v>
      </c>
      <c r="E1554" s="8">
        <f>(6.29+(31.7*(E1553^2))+(0.23*E1552))^0.5</f>
        <v>6.4015623093116893</v>
      </c>
      <c r="F1554" s="8"/>
      <c r="G1554" s="50"/>
      <c r="H1554" s="8"/>
      <c r="I1554" s="8"/>
      <c r="J1554" s="284"/>
      <c r="K1554" s="8"/>
      <c r="L1554" s="8"/>
      <c r="M1554" s="8"/>
      <c r="N1554" s="8"/>
      <c r="O1554" s="8"/>
      <c r="P1554" s="8"/>
      <c r="Q1554" s="8"/>
      <c r="AA1554" s="86"/>
      <c r="AB1554" s="113"/>
    </row>
    <row r="1555" spans="4:28">
      <c r="D1555" s="8" t="s">
        <v>1132</v>
      </c>
      <c r="E1555" s="8">
        <f>E1554*4.5</f>
        <v>28.8070303919026</v>
      </c>
      <c r="F1555" s="8"/>
      <c r="G1555" s="50"/>
      <c r="H1555" s="8"/>
      <c r="I1555" s="8"/>
      <c r="J1555" s="284"/>
      <c r="K1555" s="8"/>
      <c r="L1555" s="8"/>
      <c r="M1555" s="8"/>
      <c r="N1555" s="8"/>
      <c r="O1555" s="8"/>
      <c r="P1555" s="8"/>
      <c r="Q1555" s="8"/>
      <c r="AA1555" s="86"/>
      <c r="AB1555" s="113"/>
    </row>
    <row r="1556" spans="4:28">
      <c r="D1556" s="8" t="s">
        <v>1647</v>
      </c>
      <c r="E1556" s="8">
        <v>40000</v>
      </c>
      <c r="F1556" s="8"/>
      <c r="G1556" s="50"/>
      <c r="H1556" s="8"/>
      <c r="I1556" s="8"/>
      <c r="J1556" s="284"/>
      <c r="K1556" s="8"/>
      <c r="L1556" s="8"/>
      <c r="M1556" s="8"/>
      <c r="N1556" s="8"/>
      <c r="O1556" s="8"/>
      <c r="P1556" s="8"/>
      <c r="Q1556" s="8"/>
      <c r="AA1556" s="86"/>
      <c r="AB1556" s="113"/>
    </row>
    <row r="1557" spans="4:28">
      <c r="D1557" s="8" t="s">
        <v>1595</v>
      </c>
      <c r="E1557" s="8">
        <f>E1555*E1556</f>
        <v>1152281.215676104</v>
      </c>
      <c r="F1557" s="8"/>
      <c r="G1557" s="50"/>
      <c r="H1557" s="8"/>
      <c r="I1557" s="8"/>
      <c r="J1557" s="284"/>
      <c r="K1557" s="8"/>
      <c r="L1557" s="8"/>
      <c r="M1557" s="8"/>
      <c r="N1557" s="8"/>
      <c r="O1557" s="8"/>
      <c r="P1557" s="8"/>
      <c r="Q1557" s="8"/>
      <c r="AA1557" s="86"/>
      <c r="AB1557" s="113"/>
    </row>
    <row r="1558" spans="4:28">
      <c r="D1558" s="8"/>
      <c r="E1558" s="8"/>
      <c r="F1558" s="8"/>
      <c r="G1558" s="8"/>
      <c r="H1558" s="8"/>
      <c r="I1558" s="8"/>
      <c r="J1558" s="8"/>
      <c r="K1558" s="8"/>
      <c r="L1558" s="8"/>
      <c r="M1558" s="8"/>
      <c r="N1558" s="8"/>
      <c r="O1558" s="8"/>
      <c r="P1558" s="8"/>
      <c r="Q1558" s="8">
        <v>100</v>
      </c>
      <c r="AA1558" s="86"/>
      <c r="AB1558" s="113"/>
    </row>
    <row r="1559" spans="4:28">
      <c r="D1559" s="8" t="s">
        <v>1648</v>
      </c>
      <c r="E1559" s="8"/>
      <c r="F1559" s="8"/>
      <c r="G1559" s="8" t="s">
        <v>692</v>
      </c>
      <c r="H1559" s="8" t="s">
        <v>1119</v>
      </c>
      <c r="I1559" s="8" t="s">
        <v>1120</v>
      </c>
      <c r="J1559" s="8" t="s">
        <v>977</v>
      </c>
      <c r="K1559" s="8" t="s">
        <v>1367</v>
      </c>
      <c r="L1559" s="8" t="s">
        <v>705</v>
      </c>
      <c r="M1559" s="8"/>
      <c r="N1559" s="8"/>
      <c r="O1559" s="8"/>
      <c r="P1559" s="8"/>
      <c r="Q1559" s="8"/>
      <c r="AA1559" s="86"/>
      <c r="AB1559" s="113"/>
    </row>
    <row r="1560" spans="4:28">
      <c r="D1560" s="8" t="s">
        <v>1495</v>
      </c>
      <c r="E1560" s="8" t="s">
        <v>691</v>
      </c>
      <c r="F1560" s="8" t="s">
        <v>693</v>
      </c>
      <c r="G1560" s="284">
        <v>0.09</v>
      </c>
      <c r="H1560" s="8">
        <f>F242+(F242*G1560)</f>
        <v>0.24001800000000001</v>
      </c>
      <c r="I1560" s="47">
        <f ca="1">(H1560*('Parameter Inputs'!E1217*'Parameter Inputs'!E1185))</f>
        <v>1664274.8106617355</v>
      </c>
      <c r="J1560" s="47">
        <f ca="1">I1560/'Parameter Inputs'!E1595</f>
        <v>2.4073181505590999</v>
      </c>
      <c r="K1560" s="47">
        <f ca="1">I1560/((('Parameter Inputs'!L987+'Parameter Inputs'!L988)*365)/1000)</f>
        <v>63.199191392591842</v>
      </c>
      <c r="L1560" s="52" t="s">
        <v>704</v>
      </c>
      <c r="M1560" s="8"/>
      <c r="N1560" s="8"/>
      <c r="O1560" s="8"/>
      <c r="P1560" s="8"/>
      <c r="Q1560" s="8"/>
      <c r="AA1560" s="86"/>
      <c r="AB1560" s="113"/>
    </row>
    <row r="1561" spans="4:28">
      <c r="D1561" s="8" t="s">
        <v>556</v>
      </c>
      <c r="E1561" s="8" t="s">
        <v>1118</v>
      </c>
      <c r="F1561" s="8">
        <f>F242</f>
        <v>0.22020000000000001</v>
      </c>
      <c r="G1561" s="284">
        <v>0.09</v>
      </c>
      <c r="H1561" s="8">
        <f>F244+(F244*G1561)</f>
        <v>7.0522999999999988E-2</v>
      </c>
      <c r="I1561" s="47">
        <f ca="1">('Parameter Inputs'!E1196*'Parameter Inputs'!E1241*H1561)</f>
        <v>124603.50819427721</v>
      </c>
      <c r="J1561" s="47">
        <f ca="1">I1561/'Parameter Inputs'!E1595</f>
        <v>0.18023482959533305</v>
      </c>
      <c r="K1561" s="47">
        <f ca="1">I1561/((('Parameter Inputs'!L987+'Parameter Inputs'!L988)*365)/1000)</f>
        <v>4.7316950975346321</v>
      </c>
      <c r="L1561" s="288" t="s">
        <v>704</v>
      </c>
      <c r="M1561" s="8"/>
      <c r="N1561" s="8"/>
      <c r="O1561" s="8"/>
      <c r="P1561" s="8" t="s">
        <v>1126</v>
      </c>
      <c r="Q1561" s="8"/>
    </row>
    <row r="1562" spans="4:28">
      <c r="D1562" s="8" t="s">
        <v>164</v>
      </c>
      <c r="E1562" s="8" t="s">
        <v>1118</v>
      </c>
      <c r="F1562" s="8">
        <f>F244</f>
        <v>6.4699999999999994E-2</v>
      </c>
      <c r="G1562" s="8" t="s">
        <v>81</v>
      </c>
      <c r="H1562" s="8">
        <f ca="1">F246</f>
        <v>1872.98</v>
      </c>
      <c r="I1562" s="47">
        <f ca="1">H1562</f>
        <v>1872.98</v>
      </c>
      <c r="J1562" s="47">
        <f ca="1">I1562/'Parameter Inputs'!E1595</f>
        <v>2.7092032642381985E-3</v>
      </c>
      <c r="K1562" s="47">
        <f ca="1">I1562/((('Parameter Inputs'!L987+'Parameter Inputs'!L988)*365)/1000)</f>
        <v>7.1124564727042303E-2</v>
      </c>
      <c r="L1562" s="288" t="s">
        <v>703</v>
      </c>
      <c r="M1562" s="8"/>
      <c r="N1562" s="8"/>
      <c r="O1562" s="8"/>
      <c r="P1562" s="8" t="s">
        <v>1127</v>
      </c>
      <c r="Q1562" s="8">
        <v>5</v>
      </c>
    </row>
    <row r="1563" spans="4:28">
      <c r="D1563" s="8" t="s">
        <v>694</v>
      </c>
      <c r="E1563" s="8" t="s">
        <v>696</v>
      </c>
      <c r="F1563" s="8">
        <f ca="1">F246</f>
        <v>1872.98</v>
      </c>
      <c r="G1563" s="8" t="s">
        <v>81</v>
      </c>
      <c r="H1563" s="8">
        <f>F248</f>
        <v>1.05</v>
      </c>
      <c r="I1563" s="47">
        <f ca="1">H1563*'Parameter Inputs'!E1590</f>
        <v>64973.599397854981</v>
      </c>
      <c r="J1563" s="47">
        <f ca="1">I1563/'Parameter Inputs'!E1595</f>
        <v>9.3982150144675203E-2</v>
      </c>
      <c r="K1563" s="47">
        <f ca="1">I1563/((('Parameter Inputs'!L987+'Parameter Inputs'!L988)*365)/1000)</f>
        <v>2.4673082338955319</v>
      </c>
      <c r="L1563" s="288" t="s">
        <v>703</v>
      </c>
      <c r="M1563" s="8"/>
      <c r="N1563" s="8"/>
      <c r="O1563" s="8"/>
      <c r="P1563" s="8" t="s">
        <v>494</v>
      </c>
      <c r="Q1563" s="8">
        <v>0.25</v>
      </c>
    </row>
    <row r="1564" spans="4:28">
      <c r="D1564" s="8" t="s">
        <v>695</v>
      </c>
      <c r="E1564" s="8" t="s">
        <v>697</v>
      </c>
      <c r="F1564" s="8">
        <f>F248</f>
        <v>1.05</v>
      </c>
      <c r="G1564" s="8" t="s">
        <v>81</v>
      </c>
      <c r="H1564" s="8">
        <f>F250*('Parameter Inputs'!F565/1000)</f>
        <v>0</v>
      </c>
      <c r="I1564" s="47">
        <f ca="1">'Parameter Inputs'!E1584*'Parameter Inputs'!H1564</f>
        <v>0</v>
      </c>
      <c r="J1564" s="47">
        <f ca="1">I1564/'Parameter Inputs'!E1595</f>
        <v>0</v>
      </c>
      <c r="K1564" s="47">
        <f ca="1">I1564/((('Parameter Inputs'!L987+'Parameter Inputs'!L988)*365)/1000)</f>
        <v>0</v>
      </c>
      <c r="L1564" s="288" t="s">
        <v>702</v>
      </c>
      <c r="M1564" s="8"/>
      <c r="N1564" s="8"/>
      <c r="O1564" s="8"/>
      <c r="P1564" s="8" t="s">
        <v>1128</v>
      </c>
      <c r="Q1564" s="8"/>
    </row>
    <row r="1565" spans="4:28">
      <c r="D1565" s="8" t="s">
        <v>172</v>
      </c>
      <c r="E1565" s="8" t="s">
        <v>689</v>
      </c>
      <c r="F1565" s="8">
        <f>F250</f>
        <v>305</v>
      </c>
      <c r="G1565" s="8" t="s">
        <v>81</v>
      </c>
      <c r="H1565" s="8">
        <f>F252*('Parameter Inputs'!G565/1000)</f>
        <v>0</v>
      </c>
      <c r="I1565" s="47">
        <f ca="1">H1565*'Parameter Inputs'!E1586</f>
        <v>0</v>
      </c>
      <c r="J1565" s="47">
        <f ca="1">I1565/'Parameter Inputs'!E1595</f>
        <v>0</v>
      </c>
      <c r="K1565" s="47">
        <f ca="1">I1565/((('Parameter Inputs'!L987+'Parameter Inputs'!L988)*365)/1000)</f>
        <v>0</v>
      </c>
      <c r="L1565" s="288" t="s">
        <v>699</v>
      </c>
      <c r="M1565" s="8"/>
      <c r="N1565" s="8"/>
      <c r="O1565" s="8"/>
      <c r="P1565" s="8" t="s">
        <v>1129</v>
      </c>
      <c r="Q1565" s="8">
        <v>1</v>
      </c>
    </row>
    <row r="1566" spans="4:28">
      <c r="D1566" s="8" t="s">
        <v>430</v>
      </c>
      <c r="E1566" s="8" t="s">
        <v>698</v>
      </c>
      <c r="F1566" s="8">
        <f>F252</f>
        <v>150</v>
      </c>
      <c r="G1566" s="8" t="s">
        <v>81</v>
      </c>
      <c r="H1566" s="8">
        <f>F254</f>
        <v>1350</v>
      </c>
      <c r="I1566" s="47">
        <f ca="1">H1566*'Parameter Inputs'!E1588</f>
        <v>0</v>
      </c>
      <c r="J1566" s="47">
        <f ca="1">I1566/'Parameter Inputs'!E1595</f>
        <v>0</v>
      </c>
      <c r="K1566" s="47">
        <f ca="1">I1566/((('Parameter Inputs'!L987+'Parameter Inputs'!L988)*365)/1000)</f>
        <v>0</v>
      </c>
      <c r="L1566" s="288" t="s">
        <v>700</v>
      </c>
      <c r="M1566" s="8"/>
      <c r="N1566" s="8"/>
      <c r="O1566" s="8"/>
      <c r="P1566" s="8" t="s">
        <v>25</v>
      </c>
      <c r="Q1566" s="8">
        <v>1</v>
      </c>
    </row>
    <row r="1567" spans="4:28">
      <c r="D1567" s="8" t="s">
        <v>435</v>
      </c>
      <c r="E1567" s="8" t="s">
        <v>698</v>
      </c>
      <c r="F1567" s="8">
        <f>F254</f>
        <v>1350</v>
      </c>
      <c r="G1567" s="8" t="s">
        <v>81</v>
      </c>
      <c r="H1567" s="8">
        <f>F256</f>
        <v>850</v>
      </c>
      <c r="I1567" s="47">
        <f ca="1">H1567*'Parameter Inputs'!E1592</f>
        <v>202003.78019977917</v>
      </c>
      <c r="J1567" s="47">
        <f ca="1">I1567/'Parameter Inputs'!E1595</f>
        <v>0.29219174828652589</v>
      </c>
      <c r="K1567" s="47">
        <f ca="1">I1567/((('Parameter Inputs'!L987+'Parameter Inputs'!L988)*365)/1000)</f>
        <v>7.6708939443701585</v>
      </c>
      <c r="L1567" s="288" t="s">
        <v>701</v>
      </c>
      <c r="M1567" s="8"/>
      <c r="N1567" s="8"/>
      <c r="O1567" s="8"/>
      <c r="P1567" s="8" t="s">
        <v>494</v>
      </c>
      <c r="Q1567" s="8">
        <v>0.25</v>
      </c>
    </row>
    <row r="1568" spans="4:28">
      <c r="D1568" s="8" t="s">
        <v>690</v>
      </c>
      <c r="E1568" s="8" t="s">
        <v>698</v>
      </c>
      <c r="F1568" s="8">
        <f>F256</f>
        <v>850</v>
      </c>
      <c r="G1568" s="8"/>
      <c r="H1568" s="8"/>
      <c r="I1568" s="47">
        <f ca="1">G1550</f>
        <v>741395.29559232167</v>
      </c>
      <c r="J1568" s="47">
        <f ca="1">I1568/'Parameter Inputs'!E1595</f>
        <v>1.0724036321314492</v>
      </c>
      <c r="K1568" s="47">
        <f ca="1">I1568/((('Parameter Inputs'!L987+'Parameter Inputs'!L988)*365)/1000)</f>
        <v>28.153753745197889</v>
      </c>
      <c r="L1568" s="8"/>
      <c r="M1568" s="8"/>
      <c r="N1568" s="8"/>
      <c r="O1568" s="8"/>
      <c r="P1568" s="8" t="s">
        <v>40</v>
      </c>
      <c r="Q1568" s="8">
        <v>0.5</v>
      </c>
    </row>
    <row r="1569" spans="4:17">
      <c r="D1569" s="8" t="s">
        <v>982</v>
      </c>
      <c r="E1569" s="8"/>
      <c r="F1569" s="8"/>
      <c r="G1569" s="8"/>
      <c r="H1569" s="8"/>
      <c r="I1569" s="47">
        <f>E1557</f>
        <v>1152281.215676104</v>
      </c>
      <c r="J1569" s="47">
        <f ca="1">I1569/'Parameter Inputs'!E1595</f>
        <v>1.666736447175122</v>
      </c>
      <c r="K1569" s="47">
        <f ca="1">I1569/((('Parameter Inputs'!L987+'Parameter Inputs'!L988)*365)/1000)</f>
        <v>43.756740546140399</v>
      </c>
      <c r="L1569" s="8"/>
      <c r="M1569" s="8"/>
      <c r="N1569" s="8"/>
      <c r="O1569" s="8"/>
      <c r="P1569" s="8" t="s">
        <v>1130</v>
      </c>
      <c r="Q1569" s="8">
        <v>1</v>
      </c>
    </row>
    <row r="1570" spans="4:17">
      <c r="D1570" s="8" t="s">
        <v>1133</v>
      </c>
      <c r="E1570" s="8" t="s">
        <v>1650</v>
      </c>
      <c r="F1570" s="8">
        <f>F258</f>
        <v>40000</v>
      </c>
      <c r="G1570" s="8"/>
      <c r="H1570" s="8"/>
      <c r="I1570" s="47">
        <f ca="1">M1540*F260</f>
        <v>177455.0198723764</v>
      </c>
      <c r="J1570" s="47">
        <f ca="1">I1570/'Parameter Inputs'!E1595</f>
        <v>0.25668278310163295</v>
      </c>
      <c r="K1570" s="47">
        <f ca="1">I1570/((('Parameter Inputs'!L987+'Parameter Inputs'!L988)*365)/1000)</f>
        <v>6.7386790286342686</v>
      </c>
      <c r="L1570" s="8"/>
      <c r="M1570" s="8">
        <v>67</v>
      </c>
      <c r="N1570" s="8">
        <v>4.4409861625973166</v>
      </c>
      <c r="O1570" s="8"/>
      <c r="P1570" s="8" t="s">
        <v>494</v>
      </c>
      <c r="Q1570" s="8">
        <v>0.25</v>
      </c>
    </row>
    <row r="1571" spans="4:17">
      <c r="D1571" s="8" t="s">
        <v>1500</v>
      </c>
      <c r="E1571" s="8" t="s">
        <v>1649</v>
      </c>
      <c r="F1571" s="8">
        <f>F260</f>
        <v>0.02</v>
      </c>
      <c r="G1571" s="8"/>
      <c r="H1571" s="8"/>
      <c r="I1571" s="47">
        <f ca="1">SUM(I1560:I1570)</f>
        <v>4128860.2095944486</v>
      </c>
      <c r="J1571" s="47">
        <f ca="1">SUM(J1560:J1570)</f>
        <v>5.9722589442580762</v>
      </c>
      <c r="K1571" s="47">
        <f ca="1">SUM(K1560:K1570)</f>
        <v>156.78938655309176</v>
      </c>
      <c r="L1571" s="8"/>
      <c r="M1571" s="8">
        <v>68</v>
      </c>
      <c r="N1571" s="8">
        <v>4.4175278971802676</v>
      </c>
      <c r="O1571" s="8"/>
      <c r="P1571" s="8" t="s">
        <v>1131</v>
      </c>
      <c r="Q1571" s="8">
        <v>0.5</v>
      </c>
    </row>
    <row r="1572" spans="4:17">
      <c r="D1572" s="8"/>
      <c r="E1572" s="8">
        <f ca="1">M1540*0.03</f>
        <v>266182.52980856458</v>
      </c>
      <c r="F1572" s="8"/>
      <c r="G1572" s="8"/>
      <c r="H1572" s="8"/>
      <c r="I1572" s="8"/>
      <c r="J1572" s="8"/>
      <c r="K1572" s="8"/>
      <c r="L1572" s="8"/>
      <c r="M1572" s="8">
        <v>69</v>
      </c>
      <c r="N1572" s="8">
        <v>4.5281230235729204</v>
      </c>
      <c r="O1572" s="8"/>
      <c r="P1572" s="8" t="s">
        <v>1131</v>
      </c>
      <c r="Q1572" s="8">
        <v>0.5</v>
      </c>
    </row>
    <row r="1573" spans="4:17">
      <c r="D1573" s="8" t="s">
        <v>1373</v>
      </c>
      <c r="E1573" s="8">
        <f ca="1">E1572/20</f>
        <v>13309.126490428229</v>
      </c>
      <c r="F1573" s="8"/>
      <c r="G1573" s="8"/>
      <c r="H1573" s="8"/>
      <c r="I1573" s="8">
        <f>E1555*40000</f>
        <v>1152281.215676104</v>
      </c>
      <c r="J1573" s="47">
        <f ca="1">J1571</f>
        <v>5.9722589442580762</v>
      </c>
      <c r="K1573" s="8"/>
      <c r="L1573" s="8"/>
      <c r="M1573" s="8">
        <v>70</v>
      </c>
      <c r="N1573" s="8">
        <v>4.599444526238103</v>
      </c>
      <c r="O1573" s="8"/>
      <c r="P1573" s="8" t="s">
        <v>1131</v>
      </c>
      <c r="Q1573" s="8">
        <v>0.5</v>
      </c>
    </row>
    <row r="1574" spans="4:17">
      <c r="D1574" s="8"/>
      <c r="E1574" s="8"/>
      <c r="F1574" s="8"/>
      <c r="G1574" s="8"/>
      <c r="H1574" s="8"/>
      <c r="I1574" s="8"/>
      <c r="J1574" s="8"/>
      <c r="K1574" s="8"/>
      <c r="L1574" s="8"/>
      <c r="M1574" s="8"/>
      <c r="N1574" s="8"/>
      <c r="O1574" s="8"/>
      <c r="P1574" s="8" t="s">
        <v>1492</v>
      </c>
      <c r="Q1574" s="8">
        <v>1</v>
      </c>
    </row>
    <row r="1576" spans="4:17" s="228" customFormat="1">
      <c r="D1576" s="229" t="s">
        <v>1703</v>
      </c>
    </row>
    <row r="1578" spans="4:17">
      <c r="D1578" s="8" t="s">
        <v>563</v>
      </c>
      <c r="E1578" s="8"/>
      <c r="F1578" s="8" t="s">
        <v>555</v>
      </c>
      <c r="G1578" s="8"/>
      <c r="K1578" s="8" t="s">
        <v>569</v>
      </c>
      <c r="L1578" s="8"/>
      <c r="O1578" s="8" t="s">
        <v>288</v>
      </c>
      <c r="P1578" s="8"/>
    </row>
    <row r="1579" spans="4:17">
      <c r="D1579" s="8" t="s">
        <v>564</v>
      </c>
      <c r="E1579" s="8"/>
      <c r="F1579" s="8" t="s">
        <v>565</v>
      </c>
      <c r="G1579" s="50">
        <f>'Parameter Inputs'!E1182</f>
        <v>29882429.550000001</v>
      </c>
      <c r="K1579" s="8"/>
      <c r="L1579" s="8"/>
      <c r="O1579" s="8" t="s">
        <v>1690</v>
      </c>
      <c r="P1579" s="8"/>
    </row>
    <row r="1580" spans="4:17">
      <c r="D1580" s="8" t="s">
        <v>975</v>
      </c>
      <c r="E1580" s="49">
        <f ca="1">IFERROR('Parameter Inputs'!F1404,0)</f>
        <v>6867512.4992822688</v>
      </c>
      <c r="F1580" s="8" t="s">
        <v>566</v>
      </c>
      <c r="G1580" s="49">
        <f ca="1">'Parameter Inputs'!E1193</f>
        <v>1092363.4446735485</v>
      </c>
      <c r="K1580" s="8" t="s">
        <v>34</v>
      </c>
      <c r="L1580" s="49">
        <f ca="1">E1580+G1579</f>
        <v>36749942.049282268</v>
      </c>
      <c r="O1580" s="309" t="s">
        <v>600</v>
      </c>
      <c r="P1580" s="284">
        <f ca="1">L1600</f>
        <v>0.20699999999999996</v>
      </c>
    </row>
    <row r="1581" spans="4:17">
      <c r="D1581" s="8"/>
      <c r="E1581" s="8"/>
      <c r="K1581" s="8" t="s">
        <v>571</v>
      </c>
      <c r="L1581" s="49">
        <f ca="1">'Parameter Inputs'!E1205</f>
        <v>0</v>
      </c>
      <c r="O1581" s="309" t="s">
        <v>606</v>
      </c>
      <c r="P1581" s="284">
        <f ca="1">L1607</f>
        <v>0.8800895841428954</v>
      </c>
    </row>
    <row r="1582" spans="4:17">
      <c r="D1582" s="8" t="s">
        <v>566</v>
      </c>
      <c r="E1582" s="49">
        <f ca="1">IFERROR('Parameter Inputs'!I1404,0)</f>
        <v>13664227.396069508</v>
      </c>
      <c r="I1582" s="91"/>
      <c r="K1582" s="8" t="s">
        <v>601</v>
      </c>
      <c r="L1582" s="50">
        <f ca="1">IF('Parameter Inputs'!E1198+'Parameter Inputs'!E1199&gt;L1580,L1580,'Parameter Inputs'!E1198+'Parameter Inputs'!E1199)</f>
        <v>0</v>
      </c>
      <c r="O1582" s="309" t="s">
        <v>630</v>
      </c>
      <c r="P1582" s="284">
        <f ca="1">('Parameter Inputs'!E1207/'Parameter Inputs'!E1186)+(('Parameter Inputs'!E126*'Parameter Inputs'!E1200)/'Parameter Inputs'!E1186)</f>
        <v>1.7999999999999999E-2</v>
      </c>
    </row>
    <row r="1583" spans="4:17">
      <c r="D1583" s="8"/>
      <c r="E1583" s="8"/>
      <c r="K1583" s="8" t="s">
        <v>602</v>
      </c>
      <c r="L1583" s="49">
        <f ca="1">'Parameter Inputs'!E1200</f>
        <v>36816387.88088242</v>
      </c>
      <c r="O1583" s="309" t="s">
        <v>1141</v>
      </c>
      <c r="P1583" s="284">
        <f ca="1">L1608</f>
        <v>0.66470173348399775</v>
      </c>
    </row>
    <row r="1584" spans="4:17">
      <c r="D1584" s="8" t="s">
        <v>645</v>
      </c>
      <c r="E1584" s="8">
        <f ca="1">IFERROR(('Parameter Inputs'!F565*'Parameter Inputs'!E11+'Parameter Inputs'!F581*'Parameter Inputs'!E11)/1000,0)</f>
        <v>0</v>
      </c>
      <c r="K1584" s="8" t="s">
        <v>1140</v>
      </c>
      <c r="L1584" s="284">
        <f ca="1">((L1583*'Parameter Inputs'!E142)+('Parameter Inputs'!E1205*1)+('Parameter Inputs'!E1198*1)+('Parameter Inputs'!E1199*1))/'Parameter Inputs'!E1186</f>
        <v>0.20699999999999999</v>
      </c>
      <c r="O1584" s="309" t="s">
        <v>1142</v>
      </c>
      <c r="P1584" s="284">
        <f ca="1">1-P1583</f>
        <v>0.33529826651600225</v>
      </c>
    </row>
    <row r="1585" spans="4:16">
      <c r="D1585" s="8"/>
      <c r="E1585" s="8"/>
      <c r="K1585" s="8" t="s">
        <v>570</v>
      </c>
      <c r="L1585" s="284">
        <f ca="1">1-L1584</f>
        <v>0.79300000000000004</v>
      </c>
      <c r="O1585" s="8"/>
      <c r="P1585" s="8"/>
    </row>
    <row r="1586" spans="4:16">
      <c r="D1586" s="8" t="s">
        <v>646</v>
      </c>
      <c r="E1586" s="8">
        <f ca="1">IFERROR(('Parameter Inputs'!G565*'Parameter Inputs'!E11+'Parameter Inputs'!G581*'Parameter Inputs'!E11)/1000,0)</f>
        <v>0</v>
      </c>
      <c r="K1586" s="8"/>
      <c r="L1586" s="8"/>
      <c r="O1586" s="8" t="s">
        <v>1691</v>
      </c>
      <c r="P1586" s="49"/>
    </row>
    <row r="1587" spans="4:16">
      <c r="D1587" s="8"/>
      <c r="E1587" s="8"/>
      <c r="K1587" s="8" t="s">
        <v>1134</v>
      </c>
      <c r="L1587" s="49">
        <f ca="1">E1582+G1580</f>
        <v>14756590.840743057</v>
      </c>
      <c r="O1587" s="309" t="s">
        <v>1370</v>
      </c>
      <c r="P1587" s="49"/>
    </row>
    <row r="1588" spans="4:16">
      <c r="D1588" s="8" t="s">
        <v>647</v>
      </c>
      <c r="E1588" s="8">
        <f ca="1">('Parameter Inputs'!H565*'Parameter Inputs'!E11+'Parameter Inputs'!H581*'Parameter Inputs'!E11)/1000</f>
        <v>0</v>
      </c>
      <c r="K1588" s="8" t="s">
        <v>1139</v>
      </c>
      <c r="L1588" s="49">
        <f ca="1">IF('Parameter Inputs'!E1229&gt;L1587,L1587,'Parameter Inputs'!E1229)</f>
        <v>12967894.342601297</v>
      </c>
      <c r="O1588" s="310" t="s">
        <v>1376</v>
      </c>
      <c r="P1588" s="49">
        <f ca="1">E1592*1000</f>
        <v>237651.50611738727</v>
      </c>
    </row>
    <row r="1589" spans="4:16">
      <c r="D1589" s="8"/>
      <c r="E1589" s="8"/>
      <c r="K1589" s="8" t="s">
        <v>573</v>
      </c>
      <c r="L1589" s="49">
        <f ca="1">IF('Parameter Inputs'!E1229&gt;'Parameter Inputs'!E1197,0,'Parameter Inputs'!E1197-'Parameter Inputs'!E1229)</f>
        <v>1788696.49814176</v>
      </c>
      <c r="O1589" s="310" t="s">
        <v>1371</v>
      </c>
      <c r="P1589" s="49">
        <f ca="1">E1584+E1586+E1588</f>
        <v>0</v>
      </c>
    </row>
    <row r="1590" spans="4:16">
      <c r="D1590" s="8" t="s">
        <v>567</v>
      </c>
      <c r="E1590" s="8">
        <f ca="1">'Parameter Inputs'!E1117*'Parameter Inputs'!E11</f>
        <v>61879.618474147617</v>
      </c>
      <c r="K1590" s="8"/>
      <c r="L1590" s="8"/>
      <c r="O1590" s="310" t="s">
        <v>164</v>
      </c>
      <c r="P1590" s="49">
        <f ca="1">'Parameter Inputs'!E1235*0.68</f>
        <v>135185.08870760482</v>
      </c>
    </row>
    <row r="1591" spans="4:16">
      <c r="D1591" s="8"/>
      <c r="E1591" s="8"/>
      <c r="K1591" s="8" t="s">
        <v>1236</v>
      </c>
      <c r="L1591" s="8"/>
      <c r="O1591" s="309" t="s">
        <v>1374</v>
      </c>
      <c r="P1591" s="8"/>
    </row>
    <row r="1592" spans="4:16">
      <c r="D1592" s="8" t="s">
        <v>648</v>
      </c>
      <c r="E1592" s="8">
        <f ca="1">(('Parameter Inputs'!K1160*'Parameter Inputs'!E11)+('Parameter Inputs'!K1157/20))/1000</f>
        <v>237.65150611738727</v>
      </c>
      <c r="K1592" s="8" t="s">
        <v>1220</v>
      </c>
      <c r="L1592" s="49">
        <f ca="1">'Parameter Inputs'!E1185</f>
        <v>6933958.3308824152</v>
      </c>
      <c r="O1592" s="310" t="s">
        <v>1375</v>
      </c>
      <c r="P1592" s="49">
        <f ca="1">'Parameter Inputs'!H1063*'Parameter Inputs'!H1066</f>
        <v>26333799.119727667</v>
      </c>
    </row>
    <row r="1593" spans="4:16">
      <c r="D1593" s="8"/>
      <c r="E1593" s="8"/>
      <c r="K1593" s="8" t="s">
        <v>1221</v>
      </c>
      <c r="L1593" s="49">
        <f ca="1">('Parameter Inputs'!E1212*'Parameter Inputs'!E1185)</f>
        <v>0</v>
      </c>
      <c r="O1593" s="310" t="s">
        <v>1376</v>
      </c>
      <c r="P1593" s="49">
        <f ca="1">'Parameter Inputs'!K1157*365</f>
        <v>24945947.941803493</v>
      </c>
    </row>
    <row r="1594" spans="4:16">
      <c r="D1594" s="8" t="s">
        <v>481</v>
      </c>
      <c r="E1594" s="49">
        <f ca="1">'Parameter Inputs'!N1174</f>
        <v>1894.0816004949834</v>
      </c>
      <c r="K1594" s="8" t="s">
        <v>1310</v>
      </c>
      <c r="L1594" s="49">
        <f>'Parameter Inputs'!E1207</f>
        <v>0</v>
      </c>
      <c r="M1594" s="91"/>
      <c r="O1594" s="310" t="s">
        <v>1377</v>
      </c>
      <c r="P1594" s="49">
        <f ca="1">'Parameter Inputs'!L1024*365</f>
        <v>2366075.157374993</v>
      </c>
    </row>
    <row r="1595" spans="4:16">
      <c r="D1595" s="8" t="s">
        <v>482</v>
      </c>
      <c r="E1595" s="49">
        <f ca="1">'Parameter Inputs'!E1594*'Parameter Inputs'!E11</f>
        <v>691339.78418066888</v>
      </c>
      <c r="K1595" s="8" t="s">
        <v>1222</v>
      </c>
      <c r="L1595" s="49">
        <f ca="1">'Parameter Inputs'!E1209</f>
        <v>6933958.3308824152</v>
      </c>
      <c r="M1595" s="91"/>
      <c r="O1595" s="310" t="s">
        <v>1200</v>
      </c>
      <c r="P1595" s="8">
        <v>0</v>
      </c>
    </row>
    <row r="1596" spans="4:16">
      <c r="D1596" s="8" t="s">
        <v>483</v>
      </c>
      <c r="E1596" s="49">
        <f ca="1">(E1594*'Parameter Inputs'!E11)/1000</f>
        <v>691.33978418066886</v>
      </c>
      <c r="K1596" s="8" t="s">
        <v>1223</v>
      </c>
      <c r="L1596" s="49" cm="1">
        <f t="array" aca="1" ref="L1596" ca="1">_xlfn.IFS('Parameter Inputs'!E13='Parameter Inputs'!AJ19,L1595*'Parameter Inputs'!E142,'Parameter Inputs'!E13='Parameter Inputs'!AJ20,L1595*'Parameter Inputs'!E171)</f>
        <v>1435329.3744926599</v>
      </c>
      <c r="M1596" s="91"/>
      <c r="O1596" s="310" t="s">
        <v>1201</v>
      </c>
      <c r="P1596" s="285">
        <f ca="1">'Parameter Inputs'!K1157/('Parameter Inputs'!K1157+'Parameter Inputs'!K1158)</f>
        <v>0.99532710280373848</v>
      </c>
    </row>
    <row r="1597" spans="4:16">
      <c r="D1597" s="8" t="s">
        <v>989</v>
      </c>
      <c r="E1597" s="49">
        <f ca="1">E1596*'Parameter Inputs'!F700</f>
        <v>642.94599928802211</v>
      </c>
      <c r="K1597" s="8" t="s">
        <v>1305</v>
      </c>
      <c r="L1597" s="49">
        <f ca="1">'Parameter Inputs'!E1182*'Parameter Inputs'!E1213</f>
        <v>0</v>
      </c>
      <c r="M1597" s="91"/>
      <c r="O1597" s="310" t="s">
        <v>1202</v>
      </c>
      <c r="P1597" s="284">
        <f ca="1">('Parameter Inputs'!L904+'Parameter Inputs'!L898)/('Parameter Inputs'!L898+'Parameter Inputs'!L904)</f>
        <v>1</v>
      </c>
    </row>
    <row r="1598" spans="4:16">
      <c r="D1598" s="8" t="s">
        <v>289</v>
      </c>
      <c r="E1598" s="61" t="s">
        <v>156</v>
      </c>
      <c r="K1598" s="8" t="s">
        <v>1306</v>
      </c>
      <c r="L1598" s="8">
        <f ca="1">'Parameter Inputs'!E1182*'Parameter Inputs'!E1214</f>
        <v>0</v>
      </c>
      <c r="M1598" s="91"/>
      <c r="O1598" s="310" t="s">
        <v>1203</v>
      </c>
      <c r="P1598" s="299">
        <f ca="1">1-P1596</f>
        <v>4.6728971962615162E-3</v>
      </c>
    </row>
    <row r="1599" spans="4:16">
      <c r="D1599" s="8"/>
      <c r="E1599" s="8"/>
      <c r="K1599" s="8" t="s">
        <v>1307</v>
      </c>
      <c r="L1599" s="49">
        <f ca="1">L1598+L1597</f>
        <v>0</v>
      </c>
      <c r="O1599" s="310" t="s">
        <v>1380</v>
      </c>
      <c r="P1599" s="299">
        <f ca="1">(P1592+P1593+P1594)/(P1588+P1589+P1590+P1592+P1593+P1594)</f>
        <v>0.99309800348596911</v>
      </c>
    </row>
    <row r="1600" spans="4:16">
      <c r="D1600" s="8" t="s">
        <v>1385</v>
      </c>
      <c r="E1600" s="8"/>
      <c r="K1600" s="8" t="s">
        <v>1236</v>
      </c>
      <c r="L1600" s="284">
        <f ca="1">((L1593+L1596)-L1597)/(L1592-L1599)</f>
        <v>0.20699999999999999</v>
      </c>
      <c r="O1600" s="307" t="s">
        <v>1692</v>
      </c>
      <c r="P1600" s="8"/>
    </row>
    <row r="1601" spans="4:17">
      <c r="D1601" s="8" t="s">
        <v>1228</v>
      </c>
      <c r="E1601" s="284">
        <f ca="1">'Parameter Inputs'!E1212</f>
        <v>0</v>
      </c>
      <c r="K1601" s="8" t="s">
        <v>1237</v>
      </c>
      <c r="L1601" s="8"/>
      <c r="O1601" s="310" t="s">
        <v>1355</v>
      </c>
      <c r="P1601" s="49">
        <f ca="1">'Parameter Inputs'!L1029</f>
        <v>18801.404287306996</v>
      </c>
    </row>
    <row r="1602" spans="4:17">
      <c r="D1602" s="8" t="s">
        <v>1273</v>
      </c>
      <c r="E1602" s="284">
        <f>'Parameter Inputs'!E1215</f>
        <v>0</v>
      </c>
      <c r="K1602" s="8" t="s">
        <v>1238</v>
      </c>
      <c r="L1602" s="49">
        <f ca="1">'Parameter Inputs'!E1229+'Parameter Inputs'!E1234</f>
        <v>14734743.571849588</v>
      </c>
      <c r="O1602" s="310" t="s">
        <v>1354</v>
      </c>
      <c r="P1602" s="49">
        <f ca="1">'Parameter Inputs'!N1174</f>
        <v>1894.0816004949834</v>
      </c>
    </row>
    <row r="1603" spans="4:17">
      <c r="D1603" s="8" t="s">
        <v>1229</v>
      </c>
      <c r="E1603" s="284">
        <f ca="1">'Parameter Inputs'!E1217</f>
        <v>1</v>
      </c>
      <c r="K1603" s="8" t="s">
        <v>1314</v>
      </c>
      <c r="L1603" s="49">
        <f ca="1">'Parameter Inputs'!E1229</f>
        <v>12967894.342601297</v>
      </c>
      <c r="O1603" s="310" t="s">
        <v>1353</v>
      </c>
      <c r="P1603" s="49">
        <f ca="1">'Parameter Inputs'!E1507+'Parameter Inputs'!E1522+'Parameter Inputs'!E1517+'Parameter Inputs'!K1076+'Parameter Inputs'!K1073</f>
        <v>63536.953183393925</v>
      </c>
    </row>
    <row r="1604" spans="4:17">
      <c r="D1604" s="8" t="s">
        <v>1414</v>
      </c>
      <c r="E1604" s="167">
        <f ca="1">'Parameter Inputs'!E1240</f>
        <v>0.88008958414289484</v>
      </c>
      <c r="K1604" s="8" t="s">
        <v>1239</v>
      </c>
      <c r="L1604" s="49">
        <f ca="1">L1602-L1603</f>
        <v>1766849.2292482909</v>
      </c>
      <c r="O1604" s="310" t="s">
        <v>1204</v>
      </c>
      <c r="P1604" s="285">
        <f>'Parameter Inputs'!F1468+'Parameter Inputs'!F1469</f>
        <v>0.99839005258019764</v>
      </c>
    </row>
    <row r="1605" spans="4:17">
      <c r="D1605" s="8" t="s">
        <v>1415</v>
      </c>
      <c r="E1605" s="167">
        <f ca="1">'Parameter Inputs'!E1241</f>
        <v>0.11991041585710516</v>
      </c>
      <c r="K1605" s="8" t="s">
        <v>1240</v>
      </c>
      <c r="L1605" s="49">
        <f ca="1">'Parameter Inputs'!E1194*'Parameter Inputs'!E1237</f>
        <v>0</v>
      </c>
      <c r="O1605" s="310" t="s">
        <v>1219</v>
      </c>
      <c r="P1605" s="167">
        <f>'Parameter Inputs'!F1457</f>
        <v>0.4286411450056532</v>
      </c>
    </row>
    <row r="1606" spans="4:17">
      <c r="D1606" s="8" t="s">
        <v>1233</v>
      </c>
      <c r="E1606" s="284">
        <f ca="1">'Parameter Inputs'!E1213</f>
        <v>0</v>
      </c>
      <c r="K1606" s="8" t="s">
        <v>1311</v>
      </c>
      <c r="L1606" s="49">
        <f ca="1">IF('Parameter Inputs'!E1234-'Parameter Inputs'!E1229&lt;0,0,'Parameter Inputs'!E1234-'Parameter Inputs'!E1229)</f>
        <v>0</v>
      </c>
      <c r="O1606" s="310" t="s">
        <v>1251</v>
      </c>
      <c r="P1606" s="167">
        <f>'Parameter Inputs'!F1457</f>
        <v>0.4286411450056532</v>
      </c>
    </row>
    <row r="1607" spans="4:17">
      <c r="D1607" s="8" t="s">
        <v>1304</v>
      </c>
      <c r="E1607" s="284">
        <f ca="1">'Parameter Inputs'!E1214</f>
        <v>0</v>
      </c>
      <c r="K1607" s="8" t="s">
        <v>1237</v>
      </c>
      <c r="L1607" s="285">
        <f ca="1">(L1603-L1605)/(L1602-L1606-L1605)</f>
        <v>0.88008958414289484</v>
      </c>
      <c r="O1607" s="310" t="s">
        <v>1252</v>
      </c>
      <c r="P1607" s="167">
        <f>'Parameter Inputs'!F1455+'Parameter Inputs'!F1456</f>
        <v>0.5713588549943468</v>
      </c>
    </row>
    <row r="1608" spans="4:17">
      <c r="D1608" s="8" t="s">
        <v>1235</v>
      </c>
      <c r="E1608" s="284">
        <f ca="1">'Parameter Inputs'!E1216</f>
        <v>1</v>
      </c>
      <c r="K1608" s="8" t="s">
        <v>1241</v>
      </c>
      <c r="L1608" s="284">
        <f ca="1">((L1600*L1592)+(L1602*L1607))/(L1592+L1602)</f>
        <v>0.66470173348399753</v>
      </c>
      <c r="O1608" s="310" t="s">
        <v>1688</v>
      </c>
      <c r="P1608" s="284">
        <f ca="1">((P1604*P1601)+(P1605*P1602))/(P1601+P1602+P1603)</f>
        <v>0.23248782223205144</v>
      </c>
    </row>
    <row r="1609" spans="4:17">
      <c r="D1609" s="13" t="s">
        <v>1416</v>
      </c>
      <c r="E1609" s="289">
        <f ca="1">'Parameter Inputs'!E1237</f>
        <v>0</v>
      </c>
      <c r="L1609" s="113"/>
      <c r="O1609" s="8"/>
      <c r="P1609" s="8"/>
    </row>
    <row r="1610" spans="4:17">
      <c r="D1610" s="8" t="s">
        <v>1417</v>
      </c>
      <c r="E1610" s="167">
        <f ca="1">'Parameter Inputs'!E1238</f>
        <v>1</v>
      </c>
      <c r="L1610" s="113"/>
      <c r="O1610" s="310" t="s">
        <v>1693</v>
      </c>
      <c r="P1610" s="8"/>
    </row>
    <row r="1611" spans="4:17">
      <c r="L1611" s="113"/>
      <c r="O1611" s="310" t="s">
        <v>629</v>
      </c>
      <c r="P1611" s="8"/>
    </row>
    <row r="1612" spans="4:17" ht="30" customHeight="1">
      <c r="L1612" s="113"/>
      <c r="O1612" s="310" t="s">
        <v>903</v>
      </c>
      <c r="P1612" s="285">
        <f ca="1">('Parameter Inputs'!H1117*2)/('Parameter Inputs'!H1071+('Parameter Inputs'!E1136))</f>
        <v>0.30445937478256779</v>
      </c>
    </row>
    <row r="1613" spans="4:17">
      <c r="D1613" s="8" t="s">
        <v>974</v>
      </c>
      <c r="E1613" s="8">
        <f ca="1">(E1580*1000)/E1596</f>
        <v>9933628.3784408551</v>
      </c>
      <c r="F1613" s="8"/>
      <c r="L1613" s="113"/>
      <c r="O1613" s="8" t="s">
        <v>1694</v>
      </c>
      <c r="P1613" s="8"/>
    </row>
    <row r="1614" spans="4:17">
      <c r="D1614" s="8" t="s">
        <v>976</v>
      </c>
      <c r="E1614" s="47">
        <f ca="1">(E1582*1000)/E1596</f>
        <v>19764850.379995801</v>
      </c>
      <c r="F1614" s="8"/>
      <c r="L1614" s="113"/>
      <c r="O1614" s="310" t="s">
        <v>1378</v>
      </c>
      <c r="P1614" s="49">
        <f ca="1">'Parameter Inputs'!J1573*'Parameter Inputs'!E1595</f>
        <v>4128860.2095944476</v>
      </c>
    </row>
    <row r="1615" spans="4:17">
      <c r="D1615" s="8"/>
      <c r="E1615" s="8"/>
      <c r="F1615" s="8"/>
      <c r="L1615" s="113"/>
      <c r="O1615" s="310" t="s">
        <v>1379</v>
      </c>
      <c r="P1615" s="8">
        <f ca="1">P1614/(P1592+P1593+P1594+P1588+P1589+P1590)</f>
        <v>7.6433963750038941E-2</v>
      </c>
    </row>
    <row r="1616" spans="4:17">
      <c r="D1616" s="8" t="s">
        <v>1411</v>
      </c>
      <c r="E1616" s="8" t="s">
        <v>1412</v>
      </c>
      <c r="F1616" s="8" t="s">
        <v>1413</v>
      </c>
      <c r="L1616" s="113"/>
      <c r="O1616" s="310" t="s">
        <v>1382</v>
      </c>
      <c r="P1616" s="49">
        <f ca="1">P1615*(P1588+P1589+P1590)</f>
        <v>28497.378773541404</v>
      </c>
      <c r="Q1616" s="91"/>
    </row>
    <row r="1617" spans="4:42">
      <c r="D1617" s="8" t="s">
        <v>1151</v>
      </c>
      <c r="E1617" s="8"/>
      <c r="F1617" s="8"/>
      <c r="L1617" s="113"/>
      <c r="O1617" s="310" t="s">
        <v>1381</v>
      </c>
      <c r="P1617" s="49">
        <f ca="1">P1615*(P1592+P1593+P1594)</f>
        <v>4100362.8308209064</v>
      </c>
    </row>
    <row r="1618" spans="4:42">
      <c r="D1618" s="8" t="s">
        <v>757</v>
      </c>
      <c r="E1618" s="49">
        <f ca="1">'Parameter Inputs'!L898</f>
        <v>72147.394848568947</v>
      </c>
      <c r="F1618" s="49">
        <f ca="1">E1618*365</f>
        <v>26333799.119727667</v>
      </c>
      <c r="L1618" s="113"/>
      <c r="O1618" s="310" t="s">
        <v>1383</v>
      </c>
      <c r="P1618" s="284">
        <f ca="1">P1617/P1614</f>
        <v>0.99309800348596922</v>
      </c>
    </row>
    <row r="1619" spans="4:42">
      <c r="D1619" s="8" t="s">
        <v>758</v>
      </c>
      <c r="E1619" s="49">
        <f ca="1">'Parameter Inputs'!L899</f>
        <v>49252.627363179403</v>
      </c>
      <c r="F1619" s="49">
        <f ca="1">E1619*365</f>
        <v>17977208.987560481</v>
      </c>
      <c r="L1619" s="113"/>
      <c r="O1619" s="310" t="s">
        <v>1384</v>
      </c>
      <c r="P1619" s="306">
        <f ca="1">P1617/(P1588+P1589+P1590)</f>
        <v>10.997747774049913</v>
      </c>
    </row>
    <row r="1620" spans="4:42" ht="29">
      <c r="D1620" s="8" t="s">
        <v>759</v>
      </c>
      <c r="E1620" s="49">
        <f ca="1">'Parameter Inputs'!L900</f>
        <v>1247696.5896061466</v>
      </c>
      <c r="F1620" s="49">
        <f ca="1">E1620*365</f>
        <v>455409255.20624352</v>
      </c>
      <c r="L1620" s="113"/>
      <c r="O1620" s="311" t="s">
        <v>1496</v>
      </c>
      <c r="P1620" s="49">
        <f ca="1">'Parameter Inputs'!H1117*2</f>
        <v>409.52294533443433</v>
      </c>
    </row>
    <row r="1621" spans="4:42">
      <c r="D1621" s="8" t="s">
        <v>800</v>
      </c>
      <c r="E1621" s="49">
        <f ca="1">'Parameter Inputs'!L901</f>
        <v>1247.6965896061465</v>
      </c>
      <c r="F1621" s="49">
        <f ca="1">E1621*365</f>
        <v>455409.25520624348</v>
      </c>
      <c r="L1621" s="113"/>
      <c r="O1621" s="311" t="s">
        <v>1498</v>
      </c>
      <c r="P1621" s="49">
        <f ca="1">('Parameter Inputs'!H1071+('Parameter Inputs'!E1136))</f>
        <v>1345.082396056612</v>
      </c>
    </row>
    <row r="1622" spans="4:42" ht="43.5">
      <c r="D1622" s="8"/>
      <c r="E1622" s="49"/>
      <c r="F1622" s="49"/>
      <c r="L1622" s="113"/>
      <c r="O1622" s="311" t="s">
        <v>1497</v>
      </c>
      <c r="P1622" s="299">
        <f ca="1">P1612</f>
        <v>0.30445937478256779</v>
      </c>
    </row>
    <row r="1623" spans="4:42">
      <c r="D1623" s="8" t="s">
        <v>1003</v>
      </c>
      <c r="E1623" s="49"/>
      <c r="F1623" s="49"/>
      <c r="L1623" s="113"/>
      <c r="P1623" s="113"/>
    </row>
    <row r="1624" spans="4:42">
      <c r="D1624" s="8" t="s">
        <v>1004</v>
      </c>
      <c r="E1624" s="49">
        <f ca="1">'Parameter Inputs'!L904</f>
        <v>12081.052097350001</v>
      </c>
      <c r="F1624" s="49">
        <f t="shared" ref="F1624:F1630" ca="1" si="65">E1624*365</f>
        <v>4409584.0155327506</v>
      </c>
      <c r="L1624" s="113"/>
      <c r="P1624" s="113"/>
    </row>
    <row r="1625" spans="4:42">
      <c r="D1625" s="8" t="s">
        <v>1005</v>
      </c>
      <c r="E1625" s="49">
        <f ca="1">'Parameter Inputs'!L905</f>
        <v>10301.151289518453</v>
      </c>
      <c r="F1625" s="49">
        <f t="shared" ca="1" si="65"/>
        <v>3759920.2206742354</v>
      </c>
      <c r="L1625" s="113"/>
      <c r="P1625" s="113"/>
    </row>
    <row r="1626" spans="4:42">
      <c r="D1626" s="8" t="s">
        <v>1006</v>
      </c>
      <c r="E1626" s="49">
        <f ca="1">'Parameter Inputs'!L906</f>
        <v>25283.801978745327</v>
      </c>
      <c r="F1626" s="49">
        <f t="shared" ca="1" si="65"/>
        <v>9228587.7222420443</v>
      </c>
      <c r="L1626" s="113"/>
      <c r="P1626" s="113"/>
    </row>
    <row r="1627" spans="4:42">
      <c r="D1627" s="8" t="s">
        <v>1007</v>
      </c>
      <c r="E1627" s="49">
        <f ca="1">'Parameter Inputs'!L907</f>
        <v>25.283801978745327</v>
      </c>
      <c r="F1627" s="49">
        <f t="shared" ca="1" si="65"/>
        <v>9228.587722242044</v>
      </c>
      <c r="L1627" s="113"/>
      <c r="P1627" s="113"/>
    </row>
    <row r="1628" spans="4:42">
      <c r="D1628" s="8" t="s">
        <v>1173</v>
      </c>
      <c r="E1628" s="49">
        <f ca="1">'Parameter Inputs'!L908</f>
        <v>318.85463567017018</v>
      </c>
      <c r="F1628" s="49">
        <f t="shared" ca="1" si="65"/>
        <v>116381.94201961212</v>
      </c>
      <c r="L1628" s="113"/>
      <c r="P1628" s="113"/>
    </row>
    <row r="1629" spans="4:42">
      <c r="D1629" s="8" t="s">
        <v>1178</v>
      </c>
      <c r="E1629" s="49">
        <f ca="1">'Parameter Inputs'!L909</f>
        <v>116381.94201961212</v>
      </c>
      <c r="F1629" s="49">
        <f t="shared" ca="1" si="65"/>
        <v>42479408.837158427</v>
      </c>
      <c r="L1629" s="113"/>
      <c r="P1629" s="113"/>
    </row>
    <row r="1630" spans="4:42">
      <c r="D1630" s="8" t="s">
        <v>61</v>
      </c>
      <c r="E1630" s="49">
        <f ca="1">'Parameter Inputs'!L1023</f>
        <v>6260.5246962048386</v>
      </c>
      <c r="F1630" s="49">
        <f t="shared" ca="1" si="65"/>
        <v>2285091.5141147659</v>
      </c>
      <c r="L1630" s="113"/>
      <c r="P1630" s="113"/>
    </row>
    <row r="1632" spans="4:42">
      <c r="E1632" s="8" t="s">
        <v>1707</v>
      </c>
      <c r="F1632" s="8" t="s">
        <v>995</v>
      </c>
      <c r="G1632" s="8" t="s">
        <v>1298</v>
      </c>
      <c r="H1632" s="111" t="s">
        <v>1299</v>
      </c>
      <c r="I1632" s="111" t="s">
        <v>1300</v>
      </c>
      <c r="J1632" s="8" t="s">
        <v>1194</v>
      </c>
      <c r="K1632" s="21" t="s">
        <v>1434</v>
      </c>
      <c r="L1632" s="21" t="s">
        <v>1433</v>
      </c>
      <c r="M1632" s="8" t="s">
        <v>1301</v>
      </c>
      <c r="N1632" s="111" t="s">
        <v>1302</v>
      </c>
      <c r="O1632" s="21" t="s">
        <v>1432</v>
      </c>
      <c r="P1632" s="21" t="s">
        <v>1431</v>
      </c>
      <c r="Q1632" s="3" t="s">
        <v>1297</v>
      </c>
      <c r="R1632" s="21" t="s">
        <v>1430</v>
      </c>
      <c r="S1632" s="21" t="s">
        <v>1429</v>
      </c>
      <c r="T1632" s="21" t="s">
        <v>1428</v>
      </c>
      <c r="U1632" s="21" t="s">
        <v>1427</v>
      </c>
      <c r="V1632" s="8" t="s">
        <v>998</v>
      </c>
      <c r="Y1632" s="8" t="s">
        <v>1709</v>
      </c>
      <c r="Z1632" s="8" t="s">
        <v>1013</v>
      </c>
      <c r="AA1632" s="8" t="s">
        <v>1402</v>
      </c>
      <c r="AB1632" s="111" t="s">
        <v>1403</v>
      </c>
      <c r="AC1632" s="111" t="s">
        <v>1404</v>
      </c>
      <c r="AD1632" s="8" t="s">
        <v>1405</v>
      </c>
      <c r="AE1632" s="21" t="s">
        <v>1708</v>
      </c>
      <c r="AF1632" s="21" t="s">
        <v>1433</v>
      </c>
      <c r="AG1632" s="8" t="s">
        <v>1408</v>
      </c>
      <c r="AH1632" s="111" t="s">
        <v>1409</v>
      </c>
      <c r="AI1632" s="21" t="s">
        <v>1432</v>
      </c>
      <c r="AJ1632" s="21" t="s">
        <v>1431</v>
      </c>
      <c r="AK1632" s="8" t="s">
        <v>1407</v>
      </c>
      <c r="AL1632" s="21" t="s">
        <v>1430</v>
      </c>
      <c r="AM1632" s="21" t="s">
        <v>1429</v>
      </c>
      <c r="AN1632" s="21" t="s">
        <v>1428</v>
      </c>
      <c r="AO1632" s="21" t="s">
        <v>1427</v>
      </c>
      <c r="AP1632" s="8" t="s">
        <v>1406</v>
      </c>
    </row>
    <row r="1633" spans="4:42">
      <c r="D1633" s="8" t="s">
        <v>172</v>
      </c>
      <c r="E1633" s="17">
        <f ca="1">$E1584*'Parameter Inputs'!E735</f>
        <v>0</v>
      </c>
      <c r="F1633" s="50">
        <f ca="1">$E$1584*'Parameter Inputs'!F735</f>
        <v>0</v>
      </c>
      <c r="G1633" s="50">
        <f ca="1">$E$1584*'Parameter Inputs'!G735</f>
        <v>0</v>
      </c>
      <c r="H1633" s="50">
        <f ca="1">$E$1584*'Parameter Inputs'!H735</f>
        <v>0</v>
      </c>
      <c r="I1633" s="50">
        <f ca="1">$E$1584*'Parameter Inputs'!I735</f>
        <v>0</v>
      </c>
      <c r="J1633" s="50">
        <f ca="1">$E$1584*'Parameter Inputs'!J735</f>
        <v>0</v>
      </c>
      <c r="K1633" s="50">
        <f ca="1">$E$1584*'Parameter Inputs'!K735</f>
        <v>0</v>
      </c>
      <c r="L1633" s="50">
        <f ca="1">$E$1584*'Parameter Inputs'!L735</f>
        <v>0</v>
      </c>
      <c r="M1633" s="50">
        <f ca="1">$E$1584*'Parameter Inputs'!M735</f>
        <v>0</v>
      </c>
      <c r="N1633" s="50">
        <f ca="1">$E$1584*'Parameter Inputs'!N735</f>
        <v>0</v>
      </c>
      <c r="O1633" s="50">
        <f ca="1">$E$1584*'Parameter Inputs'!O735</f>
        <v>0</v>
      </c>
      <c r="P1633" s="50">
        <f ca="1">$E$1584*'Parameter Inputs'!P735</f>
        <v>0</v>
      </c>
      <c r="Q1633" s="50">
        <f ca="1">$E$1584*'Parameter Inputs'!Q735</f>
        <v>0</v>
      </c>
      <c r="R1633" s="50">
        <f ca="1">$E$1584*'Parameter Inputs'!R735</f>
        <v>0</v>
      </c>
      <c r="S1633" s="50">
        <f ca="1">$E$1584*'Parameter Inputs'!S735</f>
        <v>0</v>
      </c>
      <c r="T1633" s="50">
        <f ca="1">$E$1584*'Parameter Inputs'!T735</f>
        <v>0</v>
      </c>
      <c r="U1633" s="50">
        <f ca="1">$E$1584*'Parameter Inputs'!U735</f>
        <v>0</v>
      </c>
      <c r="V1633" s="50">
        <f ca="1">$E$1584*'Parameter Inputs'!V735</f>
        <v>0</v>
      </c>
      <c r="Y1633" s="50">
        <f ca="1">E1633/((('Parameter Inputs'!$L987+'Parameter Inputs'!$L988)*365)/1000)</f>
        <v>0</v>
      </c>
      <c r="Z1633" s="50">
        <f ca="1">F1633/((('Parameter Inputs'!$L987+'Parameter Inputs'!$L988)*365)/1000)</f>
        <v>0</v>
      </c>
      <c r="AA1633" s="50">
        <f ca="1">G1633/((('Parameter Inputs'!$L987+'Parameter Inputs'!$L988)*365)/1000)</f>
        <v>0</v>
      </c>
      <c r="AB1633" s="50">
        <f ca="1">H1633/((('Parameter Inputs'!$L987+'Parameter Inputs'!$L988)*365)/1000)</f>
        <v>0</v>
      </c>
      <c r="AC1633" s="50">
        <f ca="1">I1633/((('Parameter Inputs'!$L987+'Parameter Inputs'!$L988)*365)/1000)</f>
        <v>0</v>
      </c>
      <c r="AD1633" s="50">
        <f ca="1">J1633/((('Parameter Inputs'!$L987+'Parameter Inputs'!$L988)*365)/1000)</f>
        <v>0</v>
      </c>
      <c r="AE1633" s="50">
        <f ca="1">K1633/((('Parameter Inputs'!$L987+'Parameter Inputs'!$L988)*365)/1000)</f>
        <v>0</v>
      </c>
      <c r="AF1633" s="50">
        <f ca="1">L1633/((('Parameter Inputs'!$L987+'Parameter Inputs'!$L988)*365)/1000)</f>
        <v>0</v>
      </c>
      <c r="AG1633" s="50">
        <f ca="1">M1633/((('Parameter Inputs'!$L987+'Parameter Inputs'!$L988)*365)/1000)</f>
        <v>0</v>
      </c>
      <c r="AH1633" s="50">
        <f ca="1">N1633/((('Parameter Inputs'!$L987+'Parameter Inputs'!$L988)*365)/1000)</f>
        <v>0</v>
      </c>
      <c r="AI1633" s="50">
        <f ca="1">O1633/((('Parameter Inputs'!$L987+'Parameter Inputs'!$L988)*365)/1000)</f>
        <v>0</v>
      </c>
      <c r="AJ1633" s="50">
        <f ca="1">P1633/((('Parameter Inputs'!$L987+'Parameter Inputs'!$L988)*365)/1000)</f>
        <v>0</v>
      </c>
      <c r="AK1633" s="50">
        <f ca="1">Q1633/((('Parameter Inputs'!$L987+'Parameter Inputs'!$L988)*365)/1000)</f>
        <v>0</v>
      </c>
      <c r="AL1633" s="50">
        <f ca="1">R1633/((('Parameter Inputs'!$L987+'Parameter Inputs'!$L988)*365)/1000)</f>
        <v>0</v>
      </c>
      <c r="AM1633" s="50">
        <f ca="1">S1633/((('Parameter Inputs'!$L987+'Parameter Inputs'!$L988)*365)/1000)</f>
        <v>0</v>
      </c>
      <c r="AN1633" s="50">
        <f ca="1">T1633/((('Parameter Inputs'!$L987+'Parameter Inputs'!$L988)*365)/1000)</f>
        <v>0</v>
      </c>
      <c r="AO1633" s="50">
        <f ca="1">U1633/((('Parameter Inputs'!$L987+'Parameter Inputs'!$L988)*365)/1000)</f>
        <v>0</v>
      </c>
      <c r="AP1633" s="50">
        <f ca="1">V1633/((('Parameter Inputs'!$L987+'Parameter Inputs'!$L988)*365)/1000)</f>
        <v>0</v>
      </c>
    </row>
    <row r="1634" spans="4:42">
      <c r="D1634" s="8" t="s">
        <v>646</v>
      </c>
      <c r="E1634" s="17">
        <f ca="1">$E1586*'Parameter Inputs'!E737</f>
        <v>0</v>
      </c>
      <c r="F1634" s="50">
        <f ca="1">$E$1586*'Parameter Inputs'!F737</f>
        <v>0</v>
      </c>
      <c r="G1634" s="50">
        <f ca="1">$E$1586*'Parameter Inputs'!G737</f>
        <v>0</v>
      </c>
      <c r="H1634" s="50">
        <f ca="1">$E$1586*'Parameter Inputs'!H737</f>
        <v>0</v>
      </c>
      <c r="I1634" s="50">
        <f ca="1">$E$1586*'Parameter Inputs'!I737</f>
        <v>0</v>
      </c>
      <c r="J1634" s="50">
        <f ca="1">$E$1586*'Parameter Inputs'!J737</f>
        <v>0</v>
      </c>
      <c r="K1634" s="50">
        <f ca="1">$E$1586*'Parameter Inputs'!K737</f>
        <v>0</v>
      </c>
      <c r="L1634" s="50">
        <f ca="1">$E$1586*'Parameter Inputs'!L737</f>
        <v>0</v>
      </c>
      <c r="M1634" s="50">
        <f ca="1">$E$1586*'Parameter Inputs'!M737</f>
        <v>0</v>
      </c>
      <c r="N1634" s="50">
        <f ca="1">$E$1586*'Parameter Inputs'!N737</f>
        <v>0</v>
      </c>
      <c r="O1634" s="50">
        <f ca="1">$E$1586*'Parameter Inputs'!O737</f>
        <v>0</v>
      </c>
      <c r="P1634" s="50">
        <f ca="1">$E$1586*'Parameter Inputs'!P737</f>
        <v>0</v>
      </c>
      <c r="Q1634" s="50">
        <f ca="1">$E$1586*'Parameter Inputs'!Q737</f>
        <v>0</v>
      </c>
      <c r="R1634" s="50">
        <f ca="1">$E$1586*'Parameter Inputs'!R737</f>
        <v>0</v>
      </c>
      <c r="S1634" s="50">
        <f ca="1">$E$1586*'Parameter Inputs'!S737</f>
        <v>0</v>
      </c>
      <c r="T1634" s="50">
        <f ca="1">$E$1586*'Parameter Inputs'!T737</f>
        <v>0</v>
      </c>
      <c r="U1634" s="50">
        <f ca="1">$E$1586*'Parameter Inputs'!U737</f>
        <v>0</v>
      </c>
      <c r="V1634" s="50">
        <f ca="1">$E$1586*'Parameter Inputs'!V737</f>
        <v>0</v>
      </c>
      <c r="Y1634" s="50">
        <f ca="1">E1634/((('Parameter Inputs'!$L987+'Parameter Inputs'!$L988)*365)/1000)</f>
        <v>0</v>
      </c>
      <c r="Z1634" s="50">
        <f ca="1">F1634/((('Parameter Inputs'!$L987+'Parameter Inputs'!$L988)*365)/1000)</f>
        <v>0</v>
      </c>
      <c r="AA1634" s="50">
        <f ca="1">G1634/((('Parameter Inputs'!$L987+'Parameter Inputs'!$L988)*365)/1000)</f>
        <v>0</v>
      </c>
      <c r="AB1634" s="50">
        <f ca="1">H1634/((('Parameter Inputs'!$L987+'Parameter Inputs'!$L988)*365)/1000)</f>
        <v>0</v>
      </c>
      <c r="AC1634" s="50">
        <f ca="1">I1634/((('Parameter Inputs'!$L987+'Parameter Inputs'!$L988)*365)/1000)</f>
        <v>0</v>
      </c>
      <c r="AD1634" s="50">
        <f ca="1">J1634/((('Parameter Inputs'!$L987+'Parameter Inputs'!$L988)*365)/1000)</f>
        <v>0</v>
      </c>
      <c r="AE1634" s="50">
        <f ca="1">K1634/((('Parameter Inputs'!$L987+'Parameter Inputs'!$L988)*365)/1000)</f>
        <v>0</v>
      </c>
      <c r="AF1634" s="50">
        <f ca="1">L1634/((('Parameter Inputs'!$L987+'Parameter Inputs'!$L988)*365)/1000)</f>
        <v>0</v>
      </c>
      <c r="AG1634" s="50">
        <f ca="1">M1634/((('Parameter Inputs'!$L987+'Parameter Inputs'!$L988)*365)/1000)</f>
        <v>0</v>
      </c>
      <c r="AH1634" s="50">
        <f ca="1">N1634/((('Parameter Inputs'!$L987+'Parameter Inputs'!$L988)*365)/1000)</f>
        <v>0</v>
      </c>
      <c r="AI1634" s="50">
        <f ca="1">O1634/((('Parameter Inputs'!$L987+'Parameter Inputs'!$L988)*365)/1000)</f>
        <v>0</v>
      </c>
      <c r="AJ1634" s="50">
        <f ca="1">P1634/((('Parameter Inputs'!$L987+'Parameter Inputs'!$L988)*365)/1000)</f>
        <v>0</v>
      </c>
      <c r="AK1634" s="50">
        <f ca="1">Q1634/((('Parameter Inputs'!$L987+'Parameter Inputs'!$L988)*365)/1000)</f>
        <v>0</v>
      </c>
      <c r="AL1634" s="50">
        <f ca="1">R1634/((('Parameter Inputs'!$L987+'Parameter Inputs'!$L988)*365)/1000)</f>
        <v>0</v>
      </c>
      <c r="AM1634" s="50">
        <f ca="1">S1634/((('Parameter Inputs'!$L987+'Parameter Inputs'!$L988)*365)/1000)</f>
        <v>0</v>
      </c>
      <c r="AN1634" s="50">
        <f ca="1">T1634/((('Parameter Inputs'!$L987+'Parameter Inputs'!$L988)*365)/1000)</f>
        <v>0</v>
      </c>
      <c r="AO1634" s="50">
        <f ca="1">U1634/((('Parameter Inputs'!$L987+'Parameter Inputs'!$L988)*365)/1000)</f>
        <v>0</v>
      </c>
      <c r="AP1634" s="50">
        <f ca="1">V1634/((('Parameter Inputs'!$L987+'Parameter Inputs'!$L988)*365)/1000)</f>
        <v>0</v>
      </c>
    </row>
    <row r="1635" spans="4:42">
      <c r="D1635" s="8" t="s">
        <v>647</v>
      </c>
      <c r="E1635" s="17"/>
      <c r="F1635" s="50"/>
      <c r="G1635" s="50"/>
      <c r="H1635" s="50"/>
      <c r="I1635" s="50"/>
      <c r="J1635" s="50"/>
      <c r="K1635" s="8"/>
      <c r="L1635" s="8"/>
      <c r="M1635" s="50"/>
      <c r="N1635" s="50"/>
      <c r="O1635" s="8"/>
      <c r="P1635" s="8"/>
      <c r="Q1635" s="50"/>
      <c r="R1635" s="8"/>
      <c r="S1635" s="8"/>
      <c r="T1635" s="8"/>
      <c r="U1635" s="8"/>
      <c r="V1635" s="50"/>
      <c r="Y1635" s="50">
        <f ca="1">E1635/((('Parameter Inputs'!$L987+'Parameter Inputs'!$L988)*365)/1000)</f>
        <v>0</v>
      </c>
      <c r="Z1635" s="50">
        <f ca="1">F1635/((('Parameter Inputs'!$L987+'Parameter Inputs'!$L988)*365)/1000)</f>
        <v>0</v>
      </c>
      <c r="AA1635" s="50">
        <f ca="1">G1635/((('Parameter Inputs'!$L987+'Parameter Inputs'!$L988)*365)/1000)</f>
        <v>0</v>
      </c>
      <c r="AB1635" s="50">
        <f ca="1">H1635/((('Parameter Inputs'!$L987+'Parameter Inputs'!$L988)*365)/1000)</f>
        <v>0</v>
      </c>
      <c r="AC1635" s="50">
        <f ca="1">I1635/((('Parameter Inputs'!$L987+'Parameter Inputs'!$L988)*365)/1000)</f>
        <v>0</v>
      </c>
      <c r="AD1635" s="50">
        <f ca="1">J1635/((('Parameter Inputs'!$L987+'Parameter Inputs'!$L988)*365)/1000)</f>
        <v>0</v>
      </c>
      <c r="AE1635" s="50">
        <f ca="1">K1635/((('Parameter Inputs'!$L987+'Parameter Inputs'!$L988)*365)/1000)</f>
        <v>0</v>
      </c>
      <c r="AF1635" s="50">
        <f ca="1">L1635/((('Parameter Inputs'!$L987+'Parameter Inputs'!$L988)*365)/1000)</f>
        <v>0</v>
      </c>
      <c r="AG1635" s="50">
        <f ca="1">M1635/((('Parameter Inputs'!$L987+'Parameter Inputs'!$L988)*365)/1000)</f>
        <v>0</v>
      </c>
      <c r="AH1635" s="50">
        <f ca="1">N1635/((('Parameter Inputs'!$L987+'Parameter Inputs'!$L988)*365)/1000)</f>
        <v>0</v>
      </c>
      <c r="AI1635" s="50">
        <f ca="1">O1635/((('Parameter Inputs'!$L987+'Parameter Inputs'!$L988)*365)/1000)</f>
        <v>0</v>
      </c>
      <c r="AJ1635" s="50">
        <f ca="1">P1635/((('Parameter Inputs'!$L987+'Parameter Inputs'!$L988)*365)/1000)</f>
        <v>0</v>
      </c>
      <c r="AK1635" s="50">
        <f ca="1">Q1635/((('Parameter Inputs'!$L987+'Parameter Inputs'!$L988)*365)/1000)</f>
        <v>0</v>
      </c>
      <c r="AL1635" s="50">
        <f ca="1">R1635/((('Parameter Inputs'!$L987+'Parameter Inputs'!$L988)*365)/1000)</f>
        <v>0</v>
      </c>
      <c r="AM1635" s="50">
        <f ca="1">S1635/((('Parameter Inputs'!$L987+'Parameter Inputs'!$L988)*365)/1000)</f>
        <v>0</v>
      </c>
      <c r="AN1635" s="50">
        <f ca="1">T1635/((('Parameter Inputs'!$L987+'Parameter Inputs'!$L988)*365)/1000)</f>
        <v>0</v>
      </c>
      <c r="AO1635" s="50">
        <f ca="1">U1635/((('Parameter Inputs'!$L987+'Parameter Inputs'!$L988)*365)/1000)</f>
        <v>0</v>
      </c>
      <c r="AP1635" s="50">
        <f ca="1">V1635/((('Parameter Inputs'!$L987+'Parameter Inputs'!$L988)*365)/1000)</f>
        <v>0</v>
      </c>
    </row>
    <row r="1636" spans="4:42">
      <c r="D1636" s="8" t="s">
        <v>1386</v>
      </c>
      <c r="E1636" s="17" cm="1">
        <f t="array" aca="1" ref="E1636" ca="1">_xlfn.IFS('Parameter Inputs'!$E13='Parameter Inputs'!$AJ19,('Parameter Inputs'!$E1185*'Parameter Inputs'!$E1215*'Parameter Inputs'!E718)+('Parameter Inputs'!$E1185*'Parameter Inputs'!$E1217*'Parameter Inputs'!E710),'Parameter Inputs'!$E13='Parameter Inputs'!$AJ20,('Parameter Inputs'!$E1185*'Parameter Inputs'!$E1215*'Parameter Inputs'!E718)+('Parameter Inputs'!$E1185*'Parameter Inputs'!$E1217*'Parameter Inputs'!E751))</f>
        <v>3788.922850744078</v>
      </c>
      <c r="F1636" s="8" cm="1">
        <f t="array" aca="1" ref="F1636" ca="1">_xlfn.IFS('Parameter Inputs'!$E13='Parameter Inputs'!$AJ19,('Parameter Inputs'!$E1185*'Parameter Inputs'!$E1215*'Parameter Inputs'!F718)+('Parameter Inputs'!$E1185*'Parameter Inputs'!$E1217*'Parameter Inputs'!F710),'Parameter Inputs'!$E13='Parameter Inputs'!$AJ20,('Parameter Inputs'!$E1185*'Parameter Inputs'!$E1215*'Parameter Inputs'!F718)+('Parameter Inputs'!$E1185*'Parameter Inputs'!$E1217*'Parameter Inputs'!F751))</f>
        <v>2455245.3053821544</v>
      </c>
      <c r="G1636" s="8" cm="1">
        <f t="array" aca="1" ref="G1636" ca="1">_xlfn.IFS('Parameter Inputs'!$E13='Parameter Inputs'!$AJ19,('Parameter Inputs'!$E1185*'Parameter Inputs'!$E1215*'Parameter Inputs'!G718)+('Parameter Inputs'!$E1185*'Parameter Inputs'!$E1217*'Parameter Inputs'!G710),'Parameter Inputs'!$E13='Parameter Inputs'!$AJ20,('Parameter Inputs'!$E1185*'Parameter Inputs'!$E1215*'Parameter Inputs'!G718)+('Parameter Inputs'!$E1185*'Parameter Inputs'!$E1217*'Parameter Inputs'!G751))</f>
        <v>27649.852240226719</v>
      </c>
      <c r="H1636" s="8" cm="1">
        <f t="array" aca="1" ref="H1636" ca="1">_xlfn.IFS('Parameter Inputs'!$E13='Parameter Inputs'!$AJ19,('Parameter Inputs'!$E1185*'Parameter Inputs'!$E1215*'Parameter Inputs'!H718)+('Parameter Inputs'!$E1185*'Parameter Inputs'!$E1217*'Parameter Inputs'!H710),'Parameter Inputs'!$E13='Parameter Inputs'!$AJ20,('Parameter Inputs'!$E1185*'Parameter Inputs'!$E1215*'Parameter Inputs'!H718)+('Parameter Inputs'!$E1185*'Parameter Inputs'!$E1217*'Parameter Inputs'!H751))</f>
        <v>36008.045612272377</v>
      </c>
      <c r="I1636" s="8" cm="1">
        <f t="array" aca="1" ref="I1636" ca="1">_xlfn.IFS('Parameter Inputs'!$E13='Parameter Inputs'!$AJ19,('Parameter Inputs'!$E1185*'Parameter Inputs'!$E1215*'Parameter Inputs'!I718)+('Parameter Inputs'!$E1185*'Parameter Inputs'!$E1217*'Parameter Inputs'!I710),'Parameter Inputs'!$E13='Parameter Inputs'!$AJ20,('Parameter Inputs'!$E1185*'Parameter Inputs'!$E1215*'Parameter Inputs'!I718)+('Parameter Inputs'!$E1185*'Parameter Inputs'!$E1217*'Parameter Inputs'!I751))</f>
        <v>1441847.2953236895</v>
      </c>
      <c r="J1636" s="8" cm="1">
        <f t="array" aca="1" ref="J1636" ca="1">_xlfn.IFS('Parameter Inputs'!$E13='Parameter Inputs'!$AJ19,('Parameter Inputs'!$E1185*'Parameter Inputs'!$E1215*'Parameter Inputs'!J718)+('Parameter Inputs'!$E1185*'Parameter Inputs'!$E1217*'Parameter Inputs'!J710),'Parameter Inputs'!$E13='Parameter Inputs'!$AJ20,('Parameter Inputs'!$E1185*'Parameter Inputs'!$E1215*'Parameter Inputs'!J718)+('Parameter Inputs'!$E1185*'Parameter Inputs'!$E1217*'Parameter Inputs'!J751))</f>
        <v>846983.01011728693</v>
      </c>
      <c r="K1636" s="8" cm="1">
        <f t="array" aca="1" ref="K1636" ca="1">_xlfn.IFS('Parameter Inputs'!$E13='Parameter Inputs'!$AJ19,('Parameter Inputs'!$E1185*'Parameter Inputs'!$E1215*'Parameter Inputs'!K718)+('Parameter Inputs'!$E1185*'Parameter Inputs'!$E1217*'Parameter Inputs'!K710),'Parameter Inputs'!$E13='Parameter Inputs'!$AJ20,('Parameter Inputs'!$E1185*'Parameter Inputs'!$E1215*'Parameter Inputs'!K718)+('Parameter Inputs'!$E1185*'Parameter Inputs'!$E1217*'Parameter Inputs'!K751))</f>
        <v>119.17394183287607</v>
      </c>
      <c r="L1636" s="8" cm="1">
        <f t="array" aca="1" ref="L1636" ca="1">_xlfn.IFS('Parameter Inputs'!$E13='Parameter Inputs'!$AJ19,('Parameter Inputs'!$E1185*'Parameter Inputs'!$E1215*'Parameter Inputs'!L718)+('Parameter Inputs'!$E1185*'Parameter Inputs'!$E1217*'Parameter Inputs'!L710),'Parameter Inputs'!$E13='Parameter Inputs'!$AJ20,('Parameter Inputs'!$E1185*'Parameter Inputs'!$E1215*'Parameter Inputs'!L718)+('Parameter Inputs'!$E1185*'Parameter Inputs'!$E1217*'Parameter Inputs'!L751))</f>
        <v>16.417533140030294</v>
      </c>
      <c r="M1636" s="8" cm="1">
        <f t="array" aca="1" ref="M1636" ca="1">_xlfn.IFS('Parameter Inputs'!$E13='Parameter Inputs'!$AJ19,('Parameter Inputs'!$E1185*'Parameter Inputs'!$E1215*'Parameter Inputs'!M718)+('Parameter Inputs'!$E1185*'Parameter Inputs'!$E1217*'Parameter Inputs'!M710),'Parameter Inputs'!$E13='Parameter Inputs'!$AJ20,('Parameter Inputs'!$E1185*'Parameter Inputs'!$E1215*'Parameter Inputs'!M718)+('Parameter Inputs'!$E1185*'Parameter Inputs'!$E1217*'Parameter Inputs'!M751))</f>
        <v>59245.820166558617</v>
      </c>
      <c r="N1636" s="8" cm="1">
        <f t="array" aca="1" ref="N1636" ca="1">_xlfn.IFS('Parameter Inputs'!$E13='Parameter Inputs'!$AJ19,('Parameter Inputs'!$E1185*'Parameter Inputs'!$E1215*'Parameter Inputs'!N718)+('Parameter Inputs'!$E1185*'Parameter Inputs'!$E1217*'Parameter Inputs'!N710),'Parameter Inputs'!$E13='Parameter Inputs'!$AJ20,('Parameter Inputs'!$E1185*'Parameter Inputs'!$E1215*'Parameter Inputs'!N718)+('Parameter Inputs'!$E1185*'Parameter Inputs'!$E1217*'Parameter Inputs'!N751))</f>
        <v>438059.75151182746</v>
      </c>
      <c r="O1636" s="8" cm="1">
        <f t="array" aca="1" ref="O1636" ca="1">_xlfn.IFS('Parameter Inputs'!$E13='Parameter Inputs'!$AJ19,('Parameter Inputs'!$E1185*'Parameter Inputs'!$E1215*'Parameter Inputs'!O718)+('Parameter Inputs'!$E1185*'Parameter Inputs'!$E1217*'Parameter Inputs'!O710),'Parameter Inputs'!$E13='Parameter Inputs'!$AJ20,('Parameter Inputs'!$E1185*'Parameter Inputs'!$E1215*'Parameter Inputs'!O718)+('Parameter Inputs'!$E1185*'Parameter Inputs'!$E1217*'Parameter Inputs'!O751))</f>
        <v>112350.92683528777</v>
      </c>
      <c r="P1636" s="8" cm="1">
        <f t="array" aca="1" ref="P1636" ca="1">_xlfn.IFS('Parameter Inputs'!$E13='Parameter Inputs'!$AJ19,('Parameter Inputs'!$E1185*'Parameter Inputs'!$E1215*'Parameter Inputs'!P718)+('Parameter Inputs'!$E1185*'Parameter Inputs'!$E1217*'Parameter Inputs'!P710),'Parameter Inputs'!$E13='Parameter Inputs'!$AJ20,('Parameter Inputs'!$E1185*'Parameter Inputs'!$E1215*'Parameter Inputs'!P718)+('Parameter Inputs'!$E1185*'Parameter Inputs'!$E1217*'Parameter Inputs'!P751))</f>
        <v>52904.715272966649</v>
      </c>
      <c r="Q1636" s="8" cm="1">
        <f t="array" aca="1" ref="Q1636" ca="1">_xlfn.IFS('Parameter Inputs'!$E13='Parameter Inputs'!$AJ19,('Parameter Inputs'!$E1185*'Parameter Inputs'!$E1215*'Parameter Inputs'!Q718)+('Parameter Inputs'!$E1185*'Parameter Inputs'!$E1217*'Parameter Inputs'!Q710),'Parameter Inputs'!$E13='Parameter Inputs'!$AJ20,('Parameter Inputs'!$E1185*'Parameter Inputs'!$E1215*'Parameter Inputs'!Q718)+('Parameter Inputs'!$E1185*'Parameter Inputs'!$E1217*'Parameter Inputs'!Q751))</f>
        <v>13440.091432749385</v>
      </c>
      <c r="R1636" s="8" cm="1">
        <f t="array" aca="1" ref="R1636" ca="1">_xlfn.IFS('Parameter Inputs'!$E13='Parameter Inputs'!$AJ19,('Parameter Inputs'!$E1185*'Parameter Inputs'!$E1215*'Parameter Inputs'!R718)+('Parameter Inputs'!$E1185*'Parameter Inputs'!$E1217*'Parameter Inputs'!R710),'Parameter Inputs'!$E13='Parameter Inputs'!$AJ20,('Parameter Inputs'!$E1185*'Parameter Inputs'!$E1215*'Parameter Inputs'!R718)+('Parameter Inputs'!$E1185*'Parameter Inputs'!$E1217*'Parameter Inputs'!R751))</f>
        <v>1.1681639600037605</v>
      </c>
      <c r="S1636" s="8" cm="1">
        <f t="array" aca="1" ref="S1636" ca="1">_xlfn.IFS('Parameter Inputs'!$E13='Parameter Inputs'!$AJ19,('Parameter Inputs'!$E1185*'Parameter Inputs'!$E1215*'Parameter Inputs'!S718)+('Parameter Inputs'!$E1185*'Parameter Inputs'!$E1217*'Parameter Inputs'!S710),'Parameter Inputs'!$E13='Parameter Inputs'!$AJ20,('Parameter Inputs'!$E1185*'Parameter Inputs'!$E1215*'Parameter Inputs'!S718)+('Parameter Inputs'!$E1185*'Parameter Inputs'!$E1217*'Parameter Inputs'!S751))</f>
        <v>1321.2657599496442</v>
      </c>
      <c r="T1636" s="8" cm="1">
        <f t="array" aca="1" ref="T1636" ca="1">_xlfn.IFS('Parameter Inputs'!$E13='Parameter Inputs'!$AJ19,('Parameter Inputs'!$E1185*'Parameter Inputs'!$E1215*'Parameter Inputs'!T718)+('Parameter Inputs'!$E1185*'Parameter Inputs'!$E1217*'Parameter Inputs'!T710),'Parameter Inputs'!$E13='Parameter Inputs'!$AJ20,('Parameter Inputs'!$E1185*'Parameter Inputs'!$E1215*'Parameter Inputs'!T718)+('Parameter Inputs'!$E1185*'Parameter Inputs'!$E1217*'Parameter Inputs'!T751))</f>
        <v>3004.2761260214238</v>
      </c>
      <c r="U1636" s="8" cm="1">
        <f t="array" aca="1" ref="U1636" ca="1">_xlfn.IFS('Parameter Inputs'!$E13='Parameter Inputs'!$AJ19,('Parameter Inputs'!$E1185*'Parameter Inputs'!$E1215*'Parameter Inputs'!U718)+('Parameter Inputs'!$E1185*'Parameter Inputs'!$E1217*'Parameter Inputs'!U710),'Parameter Inputs'!$E13='Parameter Inputs'!$AJ20,('Parameter Inputs'!$E1185*'Parameter Inputs'!$E1215*'Parameter Inputs'!U718)+('Parameter Inputs'!$E1185*'Parameter Inputs'!$E1217*'Parameter Inputs'!U751))</f>
        <v>3096.2204134889248</v>
      </c>
      <c r="V1636" s="8" cm="1">
        <f t="array" aca="1" ref="V1636" ca="1">_xlfn.IFS('Parameter Inputs'!$E13='Parameter Inputs'!$AJ19,('Parameter Inputs'!$E1185*'Parameter Inputs'!$E1215*'Parameter Inputs'!V718)+('Parameter Inputs'!$E1185*'Parameter Inputs'!$E1217*'Parameter Inputs'!V710),'Parameter Inputs'!$E13='Parameter Inputs'!$AJ20,('Parameter Inputs'!$E1185*'Parameter Inputs'!$E1215*'Parameter Inputs'!V718)+('Parameter Inputs'!$E1185*'Parameter Inputs'!$E1217*'Parameter Inputs'!V751))</f>
        <v>5043.6226107172515</v>
      </c>
      <c r="Y1636" s="50">
        <f ca="1">E1636/((('Parameter Inputs'!$L987+'Parameter Inputs'!$L988)*365)/1000)</f>
        <v>0.14388060125763052</v>
      </c>
      <c r="Z1636" s="50">
        <f ca="1">F1636/((('Parameter Inputs'!$L987+'Parameter Inputs'!$L988)*365)/1000)</f>
        <v>93.235514337269905</v>
      </c>
      <c r="AA1636" s="50">
        <f ca="1">G1636/((('Parameter Inputs'!$L987+'Parameter Inputs'!$L988)*365)/1000)</f>
        <v>1.0499758168016533</v>
      </c>
      <c r="AB1636" s="50">
        <f ca="1">H1636/((('Parameter Inputs'!$L987+'Parameter Inputs'!$L988)*365)/1000)</f>
        <v>1.3673699510108801</v>
      </c>
      <c r="AC1636" s="50">
        <f ca="1">I1636/((('Parameter Inputs'!$L987+'Parameter Inputs'!$L988)*365)/1000)</f>
        <v>54.752726287926528</v>
      </c>
      <c r="AD1636" s="50">
        <f ca="1">J1636/((('Parameter Inputs'!$L987+'Parameter Inputs'!$L988)*365)/1000)</f>
        <v>32.163342868472753</v>
      </c>
      <c r="AE1636" s="50">
        <f ca="1">K1636/((('Parameter Inputs'!$L987+'Parameter Inputs'!$L988)*365)/1000)</f>
        <v>4.5255126801509718E-3</v>
      </c>
      <c r="AF1636" s="50">
        <f ca="1">L1636/((('Parameter Inputs'!$L987+'Parameter Inputs'!$L988)*365)/1000)</f>
        <v>6.2343959811447347E-4</v>
      </c>
      <c r="AG1636" s="50">
        <f ca="1">M1636/((('Parameter Inputs'!$L987+'Parameter Inputs'!$L988)*365)/1000)</f>
        <v>2.2498014774547013</v>
      </c>
      <c r="AH1636" s="50">
        <f ca="1">N1636/((('Parameter Inputs'!$L987+'Parameter Inputs'!$L988)*365)/1000)</f>
        <v>16.634886197778428</v>
      </c>
      <c r="AI1636" s="50">
        <f ca="1">O1636/((('Parameter Inputs'!$L987+'Parameter Inputs'!$L988)*365)/1000)</f>
        <v>4.2664154277352768</v>
      </c>
      <c r="AJ1636" s="50">
        <f ca="1">P1636/((('Parameter Inputs'!$L987+'Parameter Inputs'!$L988)*365)/1000)</f>
        <v>2.0090042850419438</v>
      </c>
      <c r="AK1636" s="50">
        <f ca="1">Q1636/((('Parameter Inputs'!$L987+'Parameter Inputs'!$L988)*365)/1000)</f>
        <v>0.51037419142006335</v>
      </c>
      <c r="AL1636" s="50">
        <f ca="1">R1636/((('Parameter Inputs'!$L987+'Parameter Inputs'!$L988)*365)/1000)</f>
        <v>4.4359872067553051E-5</v>
      </c>
      <c r="AM1636" s="50">
        <f ca="1">S1636/((('Parameter Inputs'!$L987+'Parameter Inputs'!$L988)*365)/1000)</f>
        <v>5.0173761633954019E-2</v>
      </c>
      <c r="AN1636" s="50">
        <f ca="1">T1636/((('Parameter Inputs'!$L987+'Parameter Inputs'!$L988)*365)/1000)</f>
        <v>0.11408441722982554</v>
      </c>
      <c r="AO1636" s="50">
        <f ca="1">U1636/((('Parameter Inputs'!$L987+'Parameter Inputs'!$L988)*365)/1000)</f>
        <v>0.11757591069225656</v>
      </c>
      <c r="AP1636" s="50">
        <f ca="1">V1636/((('Parameter Inputs'!$L987+'Parameter Inputs'!$L988)*365)/1000)</f>
        <v>0.19152658481923632</v>
      </c>
    </row>
    <row r="1637" spans="4:42">
      <c r="D1637" s="8" t="s">
        <v>1387</v>
      </c>
      <c r="E1637" s="290" cm="1">
        <f t="array" aca="1" ref="E1637" ca="1">_xlfn.IFS('Parameter Inputs'!$F108="CHP",('Parameter Inputs'!$E1196*'Parameter Inputs'!$E1241*'Parameter Inputs'!E718),'Parameter Inputs'!$F108='Parameter Inputs'!$F1257,('Parameter Inputs'!$E1196*'Parameter Inputs'!$E1241*'Parameter Inputs'!E720))</f>
        <v>48.699665305770651</v>
      </c>
      <c r="F1637" s="232" cm="1">
        <f t="array" aca="1" ref="F1637" ca="1">_xlfn.IFS('Parameter Inputs'!$F108="CHP",('Parameter Inputs'!$E1196*'Parameter Inputs'!$E1241*'Parameter Inputs'!F718),'Parameter Inputs'!$F108='Parameter Inputs'!$F1257,('Parameter Inputs'!$E1196*'Parameter Inputs'!$E1241*'Parameter Inputs'!F720))</f>
        <v>127232.57984739869</v>
      </c>
      <c r="G1637" s="232" cm="1">
        <f t="array" aca="1" ref="G1637" ca="1">_xlfn.IFS('Parameter Inputs'!$F108="CHP",('Parameter Inputs'!$E1196*'Parameter Inputs'!$E1241*'Parameter Inputs'!G718),'Parameter Inputs'!$F108='Parameter Inputs'!$F1257,('Parameter Inputs'!$E1196*'Parameter Inputs'!$E1241*'Parameter Inputs'!G720))</f>
        <v>322.69734322990791</v>
      </c>
      <c r="H1637" s="232" cm="1">
        <f t="array" aca="1" ref="H1637" ca="1">_xlfn.IFS('Parameter Inputs'!$F108="CHP",('Parameter Inputs'!$E1196*'Parameter Inputs'!$E1241*'Parameter Inputs'!H718),'Parameter Inputs'!$F108='Parameter Inputs'!$F1257,('Parameter Inputs'!$E1196*'Parameter Inputs'!$E1241*'Parameter Inputs'!H720))</f>
        <v>449.73380281286001</v>
      </c>
      <c r="I1637" s="232" cm="1">
        <f t="array" aca="1" ref="I1637" ca="1">_xlfn.IFS('Parameter Inputs'!$F108="CHP",('Parameter Inputs'!$E1196*'Parameter Inputs'!$E1241*'Parameter Inputs'!I718),'Parameter Inputs'!$F108='Parameter Inputs'!$F1257,('Parameter Inputs'!$E1196*'Parameter Inputs'!$E1241*'Parameter Inputs'!I720))</f>
        <v>22792.355057302957</v>
      </c>
      <c r="J1637" s="232" cm="1">
        <f t="array" aca="1" ref="J1637" ca="1">_xlfn.IFS('Parameter Inputs'!$F108="CHP",('Parameter Inputs'!$E1196*'Parameter Inputs'!$E1241*'Parameter Inputs'!J718),'Parameter Inputs'!$F108='Parameter Inputs'!$F1257,('Parameter Inputs'!$E1196*'Parameter Inputs'!$E1241*'Parameter Inputs'!J720))</f>
        <v>43460.957341049463</v>
      </c>
      <c r="K1637" s="232" cm="1">
        <f t="array" aca="1" ref="K1637" ca="1">_xlfn.IFS('Parameter Inputs'!$F108="CHP",('Parameter Inputs'!$E1196*'Parameter Inputs'!$E1241*'Parameter Inputs'!K718),'Parameter Inputs'!$F108='Parameter Inputs'!$F1257,('Parameter Inputs'!$E1196*'Parameter Inputs'!$E1241*'Parameter Inputs'!K720))</f>
        <v>2.2285269328508699</v>
      </c>
      <c r="L1637" s="232" cm="1">
        <f t="array" aca="1" ref="L1637" ca="1">_xlfn.IFS('Parameter Inputs'!$F108="CHP",('Parameter Inputs'!$E1196*'Parameter Inputs'!$E1241*'Parameter Inputs'!L718),'Parameter Inputs'!$F108='Parameter Inputs'!$F1257,('Parameter Inputs'!$E1196*'Parameter Inputs'!$E1241*'Parameter Inputs'!L720))</f>
        <v>0.26598148297103774</v>
      </c>
      <c r="M1637" s="232" cm="1">
        <f t="array" aca="1" ref="M1637" ca="1">_xlfn.IFS('Parameter Inputs'!$F108="CHP",('Parameter Inputs'!$E1196*'Parameter Inputs'!$E1241*'Parameter Inputs'!M718),'Parameter Inputs'!$F108='Parameter Inputs'!$F1257,('Parameter Inputs'!$E1196*'Parameter Inputs'!$E1241*'Parameter Inputs'!M720))</f>
        <v>1830.6324864241546</v>
      </c>
      <c r="N1637" s="232" cm="1">
        <f t="array" aca="1" ref="N1637" ca="1">_xlfn.IFS('Parameter Inputs'!$F108="CHP",('Parameter Inputs'!$E1196*'Parameter Inputs'!$E1241*'Parameter Inputs'!N718),'Parameter Inputs'!$F108='Parameter Inputs'!$F1257,('Parameter Inputs'!$E1196*'Parameter Inputs'!$E1241*'Parameter Inputs'!N720))</f>
        <v>5436.5950783969911</v>
      </c>
      <c r="O1637" s="232" cm="1">
        <f t="array" aca="1" ref="O1637" ca="1">_xlfn.IFS('Parameter Inputs'!$F108="CHP",('Parameter Inputs'!$E1196*'Parameter Inputs'!$E1241*'Parameter Inputs'!O718),'Parameter Inputs'!$F108='Parameter Inputs'!$F1257,('Parameter Inputs'!$E1196*'Parameter Inputs'!$E1241*'Parameter Inputs'!O720))</f>
        <v>696.17393330841173</v>
      </c>
      <c r="P1637" s="232" cm="1">
        <f t="array" aca="1" ref="P1637" ca="1">_xlfn.IFS('Parameter Inputs'!$F108="CHP",('Parameter Inputs'!$E1196*'Parameter Inputs'!$E1241*'Parameter Inputs'!P718),'Parameter Inputs'!$F108='Parameter Inputs'!$F1257,('Parameter Inputs'!$E1196*'Parameter Inputs'!$E1241*'Parameter Inputs'!P720))</f>
        <v>130.6691015982866</v>
      </c>
      <c r="Q1637" s="232" cm="1">
        <f t="array" aca="1" ref="Q1637" ca="1">_xlfn.IFS('Parameter Inputs'!$F108="CHP",('Parameter Inputs'!$E1196*'Parameter Inputs'!$E1241*'Parameter Inputs'!Q718),'Parameter Inputs'!$F108='Parameter Inputs'!$F1257,('Parameter Inputs'!$E1196*'Parameter Inputs'!$E1241*'Parameter Inputs'!Q720))</f>
        <v>719.125304796347</v>
      </c>
      <c r="R1637" s="232" cm="1">
        <f t="array" aca="1" ref="R1637" ca="1">_xlfn.IFS('Parameter Inputs'!$F108="CHP",('Parameter Inputs'!$E1196*'Parameter Inputs'!$E1241*'Parameter Inputs'!R718),'Parameter Inputs'!$F108='Parameter Inputs'!$F1257,('Parameter Inputs'!$E1196*'Parameter Inputs'!$E1241*'Parameter Inputs'!R720))</f>
        <v>1.8553683756336304E-2</v>
      </c>
      <c r="S1637" s="232" cm="1">
        <f t="array" aca="1" ref="S1637" ca="1">_xlfn.IFS('Parameter Inputs'!$F108="CHP",('Parameter Inputs'!$E1196*'Parameter Inputs'!$E1241*'Parameter Inputs'!S718),'Parameter Inputs'!$F108='Parameter Inputs'!$F1257,('Parameter Inputs'!$E1196*'Parameter Inputs'!$E1241*'Parameter Inputs'!S720))</f>
        <v>19.104940715861773</v>
      </c>
      <c r="T1637" s="232" cm="1">
        <f t="array" aca="1" ref="T1637" ca="1">_xlfn.IFS('Parameter Inputs'!$F108="CHP",('Parameter Inputs'!$E1196*'Parameter Inputs'!$E1241*'Parameter Inputs'!T718),'Parameter Inputs'!$F108='Parameter Inputs'!$F1257,('Parameter Inputs'!$E1196*'Parameter Inputs'!$E1241*'Parameter Inputs'!T720))</f>
        <v>92.756050837076785</v>
      </c>
      <c r="U1637" s="232" cm="1">
        <f t="array" aca="1" ref="U1637" ca="1">_xlfn.IFS('Parameter Inputs'!$F108="CHP",('Parameter Inputs'!$E1196*'Parameter Inputs'!$E1241*'Parameter Inputs'!U718),'Parameter Inputs'!$F108='Parameter Inputs'!$F1257,('Parameter Inputs'!$E1196*'Parameter Inputs'!$E1241*'Parameter Inputs'!U720))</f>
        <v>106.91381371104333</v>
      </c>
      <c r="V1637" s="232" cm="1">
        <f t="array" aca="1" ref="V1637" ca="1">_xlfn.IFS('Parameter Inputs'!$F108="CHP",('Parameter Inputs'!$E1196*'Parameter Inputs'!$E1241*'Parameter Inputs'!V718),'Parameter Inputs'!$F108='Parameter Inputs'!$F1257,('Parameter Inputs'!$E1196*'Parameter Inputs'!$E1241*'Parameter Inputs'!V720))</f>
        <v>72.227029642440897</v>
      </c>
      <c r="Y1637" s="50">
        <f ca="1">E1637/((('Parameter Inputs'!$L987+'Parameter Inputs'!$L988)*365)/1000)</f>
        <v>1.8493216677303447E-3</v>
      </c>
      <c r="Z1637" s="50">
        <f ca="1">F1637/((('Parameter Inputs'!$L987+'Parameter Inputs'!$L988)*365)/1000)</f>
        <v>4.831531495661932</v>
      </c>
      <c r="AA1637" s="50">
        <f ca="1">G1637/((('Parameter Inputs'!$L987+'Parameter Inputs'!$L988)*365)/1000)</f>
        <v>1.2254112737883037E-2</v>
      </c>
      <c r="AB1637" s="50">
        <f ca="1">H1637/((('Parameter Inputs'!$L987+'Parameter Inputs'!$L988)*365)/1000)</f>
        <v>1.7078196760297568E-2</v>
      </c>
      <c r="AC1637" s="50">
        <f ca="1">I1637/((('Parameter Inputs'!$L987+'Parameter Inputs'!$L988)*365)/1000)</f>
        <v>0.8655171611842486</v>
      </c>
      <c r="AD1637" s="50">
        <f ca="1">J1637/((('Parameter Inputs'!$L987+'Parameter Inputs'!$L988)*365)/1000)</f>
        <v>1.6503869093651276</v>
      </c>
      <c r="AE1637" s="50">
        <f ca="1">K1637/((('Parameter Inputs'!$L987+'Parameter Inputs'!$L988)*365)/1000)</f>
        <v>8.4626108170673874E-5</v>
      </c>
      <c r="AF1637" s="50">
        <f ca="1">L1637/((('Parameter Inputs'!$L987+'Parameter Inputs'!$L988)*365)/1000)</f>
        <v>1.0100383987959441E-5</v>
      </c>
      <c r="AG1637" s="50">
        <f ca="1">M1637/((('Parameter Inputs'!$L987+'Parameter Inputs'!$L988)*365)/1000)</f>
        <v>6.9516459744418613E-2</v>
      </c>
      <c r="AH1637" s="50">
        <f ca="1">N1637/((('Parameter Inputs'!$L987+'Parameter Inputs'!$L988)*365)/1000)</f>
        <v>0.20644932596619633</v>
      </c>
      <c r="AI1637" s="50">
        <f ca="1">O1637/((('Parameter Inputs'!$L987+'Parameter Inputs'!$L988)*365)/1000)</f>
        <v>2.6436517197660284E-2</v>
      </c>
      <c r="AJ1637" s="50">
        <f ca="1">P1637/((('Parameter Inputs'!$L987+'Parameter Inputs'!$L988)*365)/1000)</f>
        <v>4.9620300133753703E-3</v>
      </c>
      <c r="AK1637" s="50">
        <f ca="1">Q1637/((('Parameter Inputs'!$L987+'Parameter Inputs'!$L988)*365)/1000)</f>
        <v>2.7308072850666748E-2</v>
      </c>
      <c r="AL1637" s="50">
        <f ca="1">R1637/((('Parameter Inputs'!$L987+'Parameter Inputs'!$L988)*365)/1000)</f>
        <v>7.0455780694541036E-7</v>
      </c>
      <c r="AM1637" s="50">
        <f ca="1">S1637/((('Parameter Inputs'!$L987+'Parameter Inputs'!$L988)*365)/1000)</f>
        <v>7.2549124526242483E-4</v>
      </c>
      <c r="AN1637" s="50">
        <f ca="1">T1637/((('Parameter Inputs'!$L987+'Parameter Inputs'!$L988)*365)/1000)</f>
        <v>3.5223193742519908E-3</v>
      </c>
      <c r="AO1637" s="50">
        <f ca="1">U1637/((('Parameter Inputs'!$L987+'Parameter Inputs'!$L988)*365)/1000)</f>
        <v>4.0599464294899272E-3</v>
      </c>
      <c r="AP1637" s="50">
        <f ca="1">V1637/((('Parameter Inputs'!$L987+'Parameter Inputs'!$L988)*365)/1000)</f>
        <v>2.7427500800039457E-3</v>
      </c>
    </row>
    <row r="1638" spans="4:42">
      <c r="D1638" s="8" t="s">
        <v>982</v>
      </c>
      <c r="E1638" s="291">
        <f ca="1">IF('Parameter Inputs'!$L898&lt;1,0,E859)</f>
        <v>202.1302948145821</v>
      </c>
      <c r="F1638" s="49">
        <f ca="1">IF('Parameter Inputs'!$L898&lt;1,0,F859)</f>
        <v>73850.222505156446</v>
      </c>
      <c r="G1638" s="49">
        <f ca="1">IF('Parameter Inputs'!$L898&lt;1,0,G859)</f>
        <v>4036.2149760203383</v>
      </c>
      <c r="H1638" s="49">
        <f ca="1">IF('Parameter Inputs'!$L898&lt;1,0,H859)</f>
        <v>5707.8460284116791</v>
      </c>
      <c r="I1638" s="49">
        <f ca="1">IF('Parameter Inputs'!$L898&lt;1,0,I859)</f>
        <v>834199.05306263291</v>
      </c>
      <c r="J1638" s="49">
        <f ca="1">IF('Parameter Inputs'!$L898&lt;1,0,J859)</f>
        <v>14536.97173569872</v>
      </c>
      <c r="K1638" s="49">
        <f ca="1">IF('Parameter Inputs'!$L898&lt;1,0,K859)</f>
        <v>21.095565486615026</v>
      </c>
      <c r="L1638" s="49">
        <f ca="1">IF('Parameter Inputs'!$L898&lt;1,0,L859)</f>
        <v>2.893289494444832</v>
      </c>
      <c r="M1638" s="49">
        <f ca="1">IF('Parameter Inputs'!$L898&lt;1,0,M859)</f>
        <v>51492.95327995134</v>
      </c>
      <c r="N1638" s="49">
        <f ca="1">IF('Parameter Inputs'!$L898&lt;1,0,N859)</f>
        <v>65959.571889805928</v>
      </c>
      <c r="O1638" s="49">
        <f ca="1">IF('Parameter Inputs'!$L898&lt;1,0,O859)</f>
        <v>3732.6136770480712</v>
      </c>
      <c r="P1638" s="49">
        <f ca="1">IF('Parameter Inputs'!$L898&lt;1,0,P859)</f>
        <v>1880.7921653230762</v>
      </c>
      <c r="Q1638" s="49">
        <f ca="1">IF('Parameter Inputs'!$L898&lt;1,0,Q859)</f>
        <v>7813.8460159581418</v>
      </c>
      <c r="R1638" s="49">
        <f ca="1">IF('Parameter Inputs'!$L898&lt;1,0,R859)</f>
        <v>1.6249255209092955E-2</v>
      </c>
      <c r="S1638" s="49">
        <f ca="1">IF('Parameter Inputs'!$L898&lt;1,0,S859)</f>
        <v>136.15842761492939</v>
      </c>
      <c r="T1638" s="49">
        <f ca="1">IF('Parameter Inputs'!$L898&lt;1,0,T859)</f>
        <v>179.23820675217911</v>
      </c>
      <c r="U1638" s="49">
        <f ca="1">IF('Parameter Inputs'!$L898&lt;1,0,U859)</f>
        <v>187.30060530455688</v>
      </c>
      <c r="V1638" s="49">
        <f ca="1">IF('Parameter Inputs'!$L898&lt;1,0,V859)</f>
        <v>443.95772852054426</v>
      </c>
      <c r="Y1638" s="50">
        <f ca="1">E1638/((('Parameter Inputs'!$L987+'Parameter Inputs'!$L988)*365)/1000)</f>
        <v>7.6756982118527089E-3</v>
      </c>
      <c r="Z1638" s="50">
        <f ca="1">F1638/((('Parameter Inputs'!$L987+'Parameter Inputs'!$L988)*365)/1000)</f>
        <v>2.8043892250181397</v>
      </c>
      <c r="AA1638" s="50">
        <f ca="1">G1638/((('Parameter Inputs'!$L987+'Parameter Inputs'!$L988)*365)/1000)</f>
        <v>0.15327127535489757</v>
      </c>
      <c r="AB1638" s="50">
        <f ca="1">H1638/((('Parameter Inputs'!$L987+'Parameter Inputs'!$L988)*365)/1000)</f>
        <v>0.21674981275814892</v>
      </c>
      <c r="AC1638" s="50">
        <f ca="1">I1638/((('Parameter Inputs'!$L987+'Parameter Inputs'!$L988)*365)/1000)</f>
        <v>31.677884731705959</v>
      </c>
      <c r="AD1638" s="50">
        <f ca="1">J1638/((('Parameter Inputs'!$L987+'Parameter Inputs'!$L988)*365)/1000)</f>
        <v>0.55202713704945494</v>
      </c>
      <c r="AE1638" s="50">
        <f ca="1">K1638/((('Parameter Inputs'!$L987+'Parameter Inputs'!$L988)*365)/1000)</f>
        <v>8.0108325390890981E-4</v>
      </c>
      <c r="AF1638" s="50">
        <f ca="1">L1638/((('Parameter Inputs'!$L987+'Parameter Inputs'!$L988)*365)/1000)</f>
        <v>1.0986980956641979E-4</v>
      </c>
      <c r="AG1638" s="50">
        <f ca="1">M1638/((('Parameter Inputs'!$L987+'Parameter Inputs'!$L988)*365)/1000)</f>
        <v>1.9553940183805829</v>
      </c>
      <c r="AH1638" s="50">
        <f ca="1">N1638/((('Parameter Inputs'!$L987+'Parameter Inputs'!$L988)*365)/1000)</f>
        <v>2.5047495649950888</v>
      </c>
      <c r="AI1638" s="50">
        <f ca="1">O1638/((('Parameter Inputs'!$L987+'Parameter Inputs'!$L988)*365)/1000)</f>
        <v>0.14174231602806697</v>
      </c>
      <c r="AJ1638" s="50">
        <f ca="1">P1638/((('Parameter Inputs'!$L987+'Parameter Inputs'!$L988)*365)/1000)</f>
        <v>7.142122398564596E-2</v>
      </c>
      <c r="AK1638" s="50">
        <f ca="1">Q1638/((('Parameter Inputs'!$L987+'Parameter Inputs'!$L988)*365)/1000)</f>
        <v>0.29672308125508889</v>
      </c>
      <c r="AL1638" s="50">
        <f ca="1">R1638/((('Parameter Inputs'!$L987+'Parameter Inputs'!$L988)*365)/1000)</f>
        <v>6.1704940996986676E-7</v>
      </c>
      <c r="AM1638" s="50">
        <f ca="1">S1638/((('Parameter Inputs'!$L987+'Parameter Inputs'!$L988)*365)/1000)</f>
        <v>5.1704817446157191E-3</v>
      </c>
      <c r="AN1638" s="50">
        <f ca="1">T1638/((('Parameter Inputs'!$L987+'Parameter Inputs'!$L988)*365)/1000)</f>
        <v>6.8063937883503043E-3</v>
      </c>
      <c r="AO1638" s="50">
        <f ca="1">U1638/((('Parameter Inputs'!$L987+'Parameter Inputs'!$L988)*365)/1000)</f>
        <v>7.1125554065703629E-3</v>
      </c>
      <c r="AP1638" s="50">
        <f ca="1">V1638/((('Parameter Inputs'!$L987+'Parameter Inputs'!$L988)*365)/1000)</f>
        <v>1.6858856046636977E-2</v>
      </c>
    </row>
    <row r="1639" spans="4:42">
      <c r="D1639" s="8" t="s">
        <v>690</v>
      </c>
      <c r="E1639" s="17">
        <f ca="1">(((('Parameter Inputs'!$K1157+'Parameter Inputs'!$K1158)/20)+'Parameter Inputs'!$K1160*'Parameter Inputs'!$E11))*'Parameter Inputs'!E739</f>
        <v>1380.1592270462281</v>
      </c>
      <c r="F1639" s="8">
        <f ca="1">(((('Parameter Inputs'!$K1157+'Parameter Inputs'!$K1158)/20)+'Parameter Inputs'!$K1160*'Parameter Inputs'!$E11))*'Parameter Inputs'!F739</f>
        <v>539338.97021508252</v>
      </c>
      <c r="G1639" s="8">
        <f ca="1">(((('Parameter Inputs'!$K1157+'Parameter Inputs'!$K1158)/20)+'Parameter Inputs'!$K1160*'Parameter Inputs'!$E11))*'Parameter Inputs'!G739</f>
        <v>27633.605987268162</v>
      </c>
      <c r="H1639" s="8">
        <f ca="1">(((('Parameter Inputs'!$K1157+'Parameter Inputs'!$K1158)/20)+'Parameter Inputs'!$K1160*'Parameter Inputs'!$E11))*'Parameter Inputs'!H739</f>
        <v>36028.023837705179</v>
      </c>
      <c r="I1639" s="8">
        <f ca="1">(((('Parameter Inputs'!$K1157+'Parameter Inputs'!$K1158)/20)+'Parameter Inputs'!$K1160*'Parameter Inputs'!$E11))*'Parameter Inputs'!I739</f>
        <v>2747199.205356779</v>
      </c>
      <c r="J1639" s="8">
        <f ca="1">(((('Parameter Inputs'!$K1157+'Parameter Inputs'!$K1158)/20)+'Parameter Inputs'!$K1160*'Parameter Inputs'!$E11))*'Parameter Inputs'!J739</f>
        <v>262860.30981266528</v>
      </c>
      <c r="K1639" s="8">
        <f ca="1">(((('Parameter Inputs'!$K1157+'Parameter Inputs'!$K1158)/20)+'Parameter Inputs'!$K1160*'Parameter Inputs'!$E11))*'Parameter Inputs'!K739</f>
        <v>142.05389437163657</v>
      </c>
      <c r="L1639" s="8">
        <f ca="1">(((('Parameter Inputs'!$K1157+'Parameter Inputs'!$K1158)/20)+'Parameter Inputs'!$K1160*'Parameter Inputs'!$E11))*'Parameter Inputs'!L739</f>
        <v>14.193030724586567</v>
      </c>
      <c r="M1639" s="8">
        <f ca="1">(((('Parameter Inputs'!$K1157+'Parameter Inputs'!$K1158)/20)+'Parameter Inputs'!$K1160*'Parameter Inputs'!$E11))*'Parameter Inputs'!M739</f>
        <v>31072.655429392275</v>
      </c>
      <c r="N1639" s="8">
        <f ca="1">(((('Parameter Inputs'!$K1157+'Parameter Inputs'!$K1158)/20)+'Parameter Inputs'!$K1160*'Parameter Inputs'!$E11))*'Parameter Inputs'!N739</f>
        <v>507990.62042820134</v>
      </c>
      <c r="O1639" s="8">
        <f ca="1">(((('Parameter Inputs'!$K1157+'Parameter Inputs'!$K1158)/20)+'Parameter Inputs'!$K1160*'Parameter Inputs'!$E11))*'Parameter Inputs'!O739</f>
        <v>39526.490167219134</v>
      </c>
      <c r="P1639" s="8">
        <f ca="1">(((('Parameter Inputs'!$K1157+'Parameter Inputs'!$K1158)/20)+'Parameter Inputs'!$K1160*'Parameter Inputs'!$E11))*'Parameter Inputs'!P739</f>
        <v>8135.8355565164165</v>
      </c>
      <c r="Q1639" s="8">
        <f ca="1">(((('Parameter Inputs'!$K1157+'Parameter Inputs'!$K1158)/20)+'Parameter Inputs'!$K1160*'Parameter Inputs'!$E11))*'Parameter Inputs'!Q739</f>
        <v>6387.7907295072373</v>
      </c>
      <c r="R1639" s="8">
        <f ca="1">(((('Parameter Inputs'!$K1157+'Parameter Inputs'!$K1158)/20)+'Parameter Inputs'!$K1160*'Parameter Inputs'!$E11))*'Parameter Inputs'!R739</f>
        <v>0.10032422602000204</v>
      </c>
      <c r="S1639" s="8">
        <f ca="1">(((('Parameter Inputs'!$K1157+'Parameter Inputs'!$K1158)/20)+'Parameter Inputs'!$K1160*'Parameter Inputs'!$E11))*'Parameter Inputs'!S739</f>
        <v>605.81458382683877</v>
      </c>
      <c r="T1639" s="8">
        <f ca="1">(((('Parameter Inputs'!$K1157+'Parameter Inputs'!$K1158)/20)+'Parameter Inputs'!$K1160*'Parameter Inputs'!$E11))*'Parameter Inputs'!T739</f>
        <v>1143.4898811950056</v>
      </c>
      <c r="U1639" s="8">
        <f ca="1">(((('Parameter Inputs'!$K1157+'Parameter Inputs'!$K1158)/20)+'Parameter Inputs'!$K1160*'Parameter Inputs'!$E11))*'Parameter Inputs'!U739</f>
        <v>1275.4666714653249</v>
      </c>
      <c r="V1639" s="8">
        <f ca="1">(((('Parameter Inputs'!$K1157+'Parameter Inputs'!$K1158)/20)+'Parameter Inputs'!$K1160*'Parameter Inputs'!$E11))*'Parameter Inputs'!V739</f>
        <v>4519.4861224210154</v>
      </c>
      <c r="Y1639" s="50">
        <f ca="1">E1639/((('Parameter Inputs'!$L987+'Parameter Inputs'!$L988)*365)/1000)</f>
        <v>5.2410182851751815E-2</v>
      </c>
      <c r="Z1639" s="50">
        <f ca="1">F1639/((('Parameter Inputs'!$L987+'Parameter Inputs'!$L988)*365)/1000)</f>
        <v>20.48086444963586</v>
      </c>
      <c r="AA1639" s="50">
        <f ca="1">G1639/((('Parameter Inputs'!$L987+'Parameter Inputs'!$L988)*365)/1000)</f>
        <v>1.049358881399181</v>
      </c>
      <c r="AB1639" s="50">
        <f ca="1">H1639/((('Parameter Inputs'!$L987+'Parameter Inputs'!$L988)*365)/1000)</f>
        <v>1.3681286043803378</v>
      </c>
      <c r="AC1639" s="50">
        <f ca="1">I1639/((('Parameter Inputs'!$L987+'Parameter Inputs'!$L988)*365)/1000)</f>
        <v>104.32217519646628</v>
      </c>
      <c r="AD1639" s="50">
        <f ca="1">J1639/((('Parameter Inputs'!$L987+'Parameter Inputs'!$L988)*365)/1000)</f>
        <v>9.9818605214371239</v>
      </c>
      <c r="AE1639" s="50">
        <f ca="1">K1639/((('Parameter Inputs'!$L987+'Parameter Inputs'!$L988)*365)/1000)</f>
        <v>5.3943562691346914E-3</v>
      </c>
      <c r="AF1639" s="50">
        <f ca="1">L1639/((('Parameter Inputs'!$L987+'Parameter Inputs'!$L988)*365)/1000)</f>
        <v>5.3896631701553534E-4</v>
      </c>
      <c r="AG1639" s="50">
        <f ca="1">M1639/((('Parameter Inputs'!$L987+'Parameter Inputs'!$L988)*365)/1000)</f>
        <v>1.1799533856895925</v>
      </c>
      <c r="AH1639" s="50">
        <f ca="1">N1639/((('Parameter Inputs'!$L987+'Parameter Inputs'!$L988)*365)/1000)</f>
        <v>19.290441843146205</v>
      </c>
      <c r="AI1639" s="50">
        <f ca="1">O1639/((('Parameter Inputs'!$L987+'Parameter Inputs'!$L988)*365)/1000)</f>
        <v>1.5009794062569692</v>
      </c>
      <c r="AJ1639" s="50">
        <f ca="1">P1639/((('Parameter Inputs'!$L987+'Parameter Inputs'!$L988)*365)/1000)</f>
        <v>0.30895031588592725</v>
      </c>
      <c r="AK1639" s="50">
        <f ca="1">Q1639/((('Parameter Inputs'!$L987+'Parameter Inputs'!$L988)*365)/1000)</f>
        <v>0.24257004089933595</v>
      </c>
      <c r="AL1639" s="50">
        <f ca="1">R1639/((('Parameter Inputs'!$L987+'Parameter Inputs'!$L988)*365)/1000)</f>
        <v>3.8097133483806857E-6</v>
      </c>
      <c r="AM1639" s="50">
        <f ca="1">S1639/((('Parameter Inputs'!$L987+'Parameter Inputs'!$L988)*365)/1000)</f>
        <v>2.3005210189098756E-2</v>
      </c>
      <c r="AN1639" s="50">
        <f ca="1">T1639/((('Parameter Inputs'!$L987+'Parameter Inputs'!$L988)*365)/1000)</f>
        <v>4.3422898306320457E-2</v>
      </c>
      <c r="AO1639" s="50">
        <f ca="1">U1639/((('Parameter Inputs'!$L987+'Parameter Inputs'!$L988)*365)/1000)</f>
        <v>4.843458650483224E-2</v>
      </c>
      <c r="AP1639" s="50">
        <f ca="1">V1639/((('Parameter Inputs'!$L987+'Parameter Inputs'!$L988)*365)/1000)</f>
        <v>0.17162301959823539</v>
      </c>
    </row>
    <row r="1640" spans="4:42">
      <c r="D1640" s="8" t="s">
        <v>997</v>
      </c>
      <c r="E1640" s="17">
        <f ca="1">'Parameter Inputs'!$E1117*1000*'Parameter Inputs'!$E11*'Parameter Inputs'!E747</f>
        <v>70.301434548479122</v>
      </c>
      <c r="F1640" s="8">
        <f ca="1">'Parameter Inputs'!$E1117*1000*'Parameter Inputs'!$E11*'Parameter Inputs'!F747</f>
        <v>19460.521213934688</v>
      </c>
      <c r="G1640" s="8">
        <f ca="1">'Parameter Inputs'!$E1117*1000*'Parameter Inputs'!$E11*'Parameter Inputs'!G747</f>
        <v>1011.4223639599429</v>
      </c>
      <c r="H1640" s="8">
        <f ca="1">'Parameter Inputs'!$E1117*1000*'Parameter Inputs'!$E11*'Parameter Inputs'!H747</f>
        <v>1391.3013417727352</v>
      </c>
      <c r="I1640" s="8">
        <f ca="1">'Parameter Inputs'!$E1117*1000*'Parameter Inputs'!$E11*'Parameter Inputs'!I747</f>
        <v>71489.523223182754</v>
      </c>
      <c r="J1640" s="8">
        <f ca="1">'Parameter Inputs'!$E1117*1000*'Parameter Inputs'!$E11*'Parameter Inputs'!J747</f>
        <v>5123.4467708040011</v>
      </c>
      <c r="K1640" s="8">
        <f ca="1">'Parameter Inputs'!$E1117*1000*'Parameter Inputs'!$E11*'Parameter Inputs'!K747</f>
        <v>12.602403098444906</v>
      </c>
      <c r="L1640" s="8">
        <f ca="1">'Parameter Inputs'!$E1117*1000*'Parameter Inputs'!$E11*'Parameter Inputs'!L747</f>
        <v>1.313209263258361</v>
      </c>
      <c r="M1640" s="8">
        <f ca="1">'Parameter Inputs'!$E1117*1000*'Parameter Inputs'!$E11*'Parameter Inputs'!M747</f>
        <v>16087.463210908898</v>
      </c>
      <c r="N1640" s="8">
        <f ca="1">'Parameter Inputs'!$E1117*1000*'Parameter Inputs'!$E11*'Parameter Inputs'!N747</f>
        <v>23332.328941862106</v>
      </c>
      <c r="O1640" s="8">
        <f ca="1">'Parameter Inputs'!$E1117*1000*'Parameter Inputs'!$E11*'Parameter Inputs'!O747</f>
        <v>6695.3747189027727</v>
      </c>
      <c r="P1640" s="8">
        <f ca="1">'Parameter Inputs'!$E1117*1000*'Parameter Inputs'!$E11*'Parameter Inputs'!P747</f>
        <v>512.07240675911385</v>
      </c>
      <c r="Q1640" s="8">
        <f ca="1">'Parameter Inputs'!$E1117*1000*'Parameter Inputs'!$E11*'Parameter Inputs'!Q747</f>
        <v>2150.3786215951041</v>
      </c>
      <c r="R1640" s="8">
        <f ca="1">'Parameter Inputs'!$E1117*1000*'Parameter Inputs'!$E11*'Parameter Inputs'!R747</f>
        <v>7.4762955040465163E-3</v>
      </c>
      <c r="S1640" s="8">
        <f ca="1">'Parameter Inputs'!$E1117*1000*'Parameter Inputs'!$E11*'Parameter Inputs'!S747</f>
        <v>31.942877852539745</v>
      </c>
      <c r="T1640" s="8">
        <f ca="1">'Parameter Inputs'!$E1117*1000*'Parameter Inputs'!$E11*'Parameter Inputs'!T747</f>
        <v>46.367635715048301</v>
      </c>
      <c r="U1640" s="8">
        <f ca="1">'Parameter Inputs'!$E1117*1000*'Parameter Inputs'!$E11*'Parameter Inputs'!U747</f>
        <v>48.51114569899277</v>
      </c>
      <c r="V1640" s="8">
        <f ca="1">'Parameter Inputs'!$E1117*1000*'Parameter Inputs'!$E11*'Parameter Inputs'!V747</f>
        <v>213.64557074384211</v>
      </c>
      <c r="Y1640" s="50">
        <f ca="1">E1640/((('Parameter Inputs'!$L987+'Parameter Inputs'!$L988)*365)/1000)</f>
        <v>2.6696275090749666E-3</v>
      </c>
      <c r="Z1640" s="50">
        <f ca="1">F1640/((('Parameter Inputs'!$L987+'Parameter Inputs'!$L988)*365)/1000)</f>
        <v>0.7389940633121963</v>
      </c>
      <c r="AA1640" s="50">
        <f ca="1">G1640/((('Parameter Inputs'!$L987+'Parameter Inputs'!$L988)*365)/1000)</f>
        <v>3.8407764840973795E-2</v>
      </c>
      <c r="AB1640" s="50">
        <f ca="1">H1640/((('Parameter Inputs'!$L987+'Parameter Inputs'!$L988)*365)/1000)</f>
        <v>5.2833293648483007E-2</v>
      </c>
      <c r="AC1640" s="50">
        <f ca="1">I1640/((('Parameter Inputs'!$L987+'Parameter Inputs'!$L988)*365)/1000)</f>
        <v>2.7147440024947707</v>
      </c>
      <c r="AD1640" s="50">
        <f ca="1">J1640/((('Parameter Inputs'!$L987+'Parameter Inputs'!$L988)*365)/1000)</f>
        <v>0.19455782842080802</v>
      </c>
      <c r="AE1640" s="50">
        <f ca="1">K1640/((('Parameter Inputs'!$L987+'Parameter Inputs'!$L988)*365)/1000)</f>
        <v>4.7856380468110879E-4</v>
      </c>
      <c r="AF1640" s="50">
        <f ca="1">L1640/((('Parameter Inputs'!$L987+'Parameter Inputs'!$L988)*365)/1000)</f>
        <v>4.9867824133077139E-5</v>
      </c>
      <c r="AG1640" s="50">
        <f ca="1">M1640/((('Parameter Inputs'!$L987+'Parameter Inputs'!$L988)*365)/1000)</f>
        <v>0.61090551871253385</v>
      </c>
      <c r="AH1640" s="50">
        <f ca="1">N1640/((('Parameter Inputs'!$L987+'Parameter Inputs'!$L988)*365)/1000)</f>
        <v>0.88602213587871392</v>
      </c>
      <c r="AI1640" s="50">
        <f ca="1">O1640/((('Parameter Inputs'!$L987+'Parameter Inputs'!$L988)*365)/1000)</f>
        <v>0.25425023895952059</v>
      </c>
      <c r="AJ1640" s="50">
        <f ca="1">P1640/((('Parameter Inputs'!$L987+'Parameter Inputs'!$L988)*365)/1000)</f>
        <v>1.9445443645672099E-2</v>
      </c>
      <c r="AK1640" s="50">
        <f ca="1">Q1640/((('Parameter Inputs'!$L987+'Parameter Inputs'!$L988)*365)/1000)</f>
        <v>8.1658503272479671E-2</v>
      </c>
      <c r="AL1640" s="50">
        <f ca="1">R1640/((('Parameter Inputs'!$L987+'Parameter Inputs'!$L988)*365)/1000)</f>
        <v>2.8390493411357928E-7</v>
      </c>
      <c r="AM1640" s="50">
        <f ca="1">S1640/((('Parameter Inputs'!$L987+'Parameter Inputs'!$L988)*365)/1000)</f>
        <v>1.2129992223040122E-3</v>
      </c>
      <c r="AN1640" s="50">
        <f ca="1">T1640/((('Parameter Inputs'!$L987+'Parameter Inputs'!$L988)*365)/1000)</f>
        <v>1.7607651484024768E-3</v>
      </c>
      <c r="AO1640" s="50">
        <f ca="1">U1640/((('Parameter Inputs'!$L987+'Parameter Inputs'!$L988)*365)/1000)</f>
        <v>1.8421628219473731E-3</v>
      </c>
      <c r="AP1640" s="50">
        <f ca="1">V1640/((('Parameter Inputs'!$L987+'Parameter Inputs'!$L988)*365)/1000)</f>
        <v>8.1129794365216359E-3</v>
      </c>
    </row>
    <row r="1641" spans="4:42">
      <c r="D1641" s="8" t="s">
        <v>1318</v>
      </c>
      <c r="E1641" s="17">
        <f ca="1">'Parameter Inputs'!$E$1201*'Parameter Inputs'!E716</f>
        <v>2985.2435540395304</v>
      </c>
      <c r="F1641" s="8">
        <f ca="1">'Parameter Inputs'!$E$1201*'Parameter Inputs'!F716</f>
        <v>588799.53044195171</v>
      </c>
      <c r="G1641" s="8">
        <f ca="1">'Parameter Inputs'!$E$1201*'Parameter Inputs'!G716</f>
        <v>9090.0940431485378</v>
      </c>
      <c r="H1641" s="8">
        <f ca="1">'Parameter Inputs'!$E$1201*'Parameter Inputs'!H716</f>
        <v>12065.511703677375</v>
      </c>
      <c r="I1641" s="8">
        <f ca="1">'Parameter Inputs'!$E$1201*'Parameter Inputs'!I716</f>
        <v>740986.62528199516</v>
      </c>
      <c r="J1641" s="8">
        <f ca="1">'Parameter Inputs'!$E$1201*'Parameter Inputs'!J716</f>
        <v>54030.988851243637</v>
      </c>
      <c r="K1641" s="8">
        <f ca="1">'Parameter Inputs'!$E$1201*'Parameter Inputs'!K716</f>
        <v>94.922701496327377</v>
      </c>
      <c r="L1641" s="8">
        <f ca="1">'Parameter Inputs'!$E$1201*'Parameter Inputs'!L716</f>
        <v>7.2240883127224205</v>
      </c>
      <c r="M1641" s="8">
        <f ca="1">'Parameter Inputs'!$E$1201*'Parameter Inputs'!M716</f>
        <v>16233.061607119886</v>
      </c>
      <c r="N1641" s="8">
        <f ca="1">'Parameter Inputs'!$E$1201*'Parameter Inputs'!N716</f>
        <v>236324.16438974909</v>
      </c>
      <c r="O1641" s="8">
        <f ca="1">'Parameter Inputs'!$E$1201*'Parameter Inputs'!O716</f>
        <v>7623.5223093896821</v>
      </c>
      <c r="P1641" s="8">
        <f ca="1">'Parameter Inputs'!$E$1201*'Parameter Inputs'!P716</f>
        <v>19037.782931544349</v>
      </c>
      <c r="Q1641" s="8">
        <f ca="1">'Parameter Inputs'!$E$1201*'Parameter Inputs'!Q716</f>
        <v>3169.4219300771801</v>
      </c>
      <c r="R1641" s="8">
        <f ca="1">'Parameter Inputs'!$E$1201*'Parameter Inputs'!R716</f>
        <v>1.6511385753539063</v>
      </c>
      <c r="S1641" s="8">
        <f ca="1">'Parameter Inputs'!$E$1201*'Parameter Inputs'!S716</f>
        <v>759.47301563118367</v>
      </c>
      <c r="T1641" s="8">
        <f ca="1">'Parameter Inputs'!$E$1201*'Parameter Inputs'!T716</f>
        <v>700.12918900962313</v>
      </c>
      <c r="U1641" s="8">
        <f ca="1">'Parameter Inputs'!$E$1201*'Parameter Inputs'!U716</f>
        <v>722.86584957506511</v>
      </c>
      <c r="V1641" s="8">
        <f ca="1">'Parameter Inputs'!$E$1201*'Parameter Inputs'!V716</f>
        <v>573.30660997625353</v>
      </c>
      <c r="Y1641" s="50">
        <f ca="1">E1641/((('Parameter Inputs'!$L987+'Parameter Inputs'!$L988)*365)/1000)</f>
        <v>0.11336167411572487</v>
      </c>
      <c r="Z1641" s="50">
        <f ca="1">F1641/((('Parameter Inputs'!$L987+'Parameter Inputs'!$L988)*365)/1000)</f>
        <v>22.359080350121573</v>
      </c>
      <c r="AA1641" s="50">
        <f ca="1">G1641/((('Parameter Inputs'!$L987+'Parameter Inputs'!$L988)*365)/1000)</f>
        <v>0.34518733897148918</v>
      </c>
      <c r="AB1641" s="50">
        <f ca="1">H1641/((('Parameter Inputs'!$L987+'Parameter Inputs'!$L988)*365)/1000)</f>
        <v>0.45817588449053803</v>
      </c>
      <c r="AC1641" s="50">
        <f ca="1">I1641/((('Parameter Inputs'!$L987+'Parameter Inputs'!$L988)*365)/1000)</f>
        <v>28.138234893988137</v>
      </c>
      <c r="AD1641" s="50">
        <f ca="1">J1641/((('Parameter Inputs'!$L987+'Parameter Inputs'!$L988)*365)/1000)</f>
        <v>2.0517734112571295</v>
      </c>
      <c r="AE1641" s="50">
        <f ca="1">K1641/((('Parameter Inputs'!$L987+'Parameter Inputs'!$L988)*365)/1000)</f>
        <v>3.6045957920753297E-3</v>
      </c>
      <c r="AF1641" s="50">
        <f ca="1">L1641/((('Parameter Inputs'!$L987+'Parameter Inputs'!$L988)*365)/1000)</f>
        <v>2.7432761523993614E-4</v>
      </c>
      <c r="AG1641" s="50">
        <f ca="1">M1641/((('Parameter Inputs'!$L987+'Parameter Inputs'!$L988)*365)/1000)</f>
        <v>0.61643447393654149</v>
      </c>
      <c r="AH1641" s="50">
        <f ca="1">N1641/((('Parameter Inputs'!$L987+'Parameter Inputs'!$L988)*365)/1000)</f>
        <v>8.9741766205207174</v>
      </c>
      <c r="AI1641" s="50">
        <f ca="1">O1641/((('Parameter Inputs'!$L987+'Parameter Inputs'!$L988)*365)/1000)</f>
        <v>0.28949572656527961</v>
      </c>
      <c r="AJ1641" s="50">
        <f ca="1">P1641/((('Parameter Inputs'!$L987+'Parameter Inputs'!$L988)*365)/1000)</f>
        <v>0.72294099476449669</v>
      </c>
      <c r="AK1641" s="50">
        <f ca="1">Q1641/((('Parameter Inputs'!$L987+'Parameter Inputs'!$L988)*365)/1000)</f>
        <v>0.1203556659510949</v>
      </c>
      <c r="AL1641" s="50">
        <f ca="1">R1641/((('Parameter Inputs'!$L987+'Parameter Inputs'!$L988)*365)/1000)</f>
        <v>6.2700355837262182E-5</v>
      </c>
      <c r="AM1641" s="50">
        <f ca="1">S1641/((('Parameter Inputs'!$L987+'Parameter Inputs'!$L988)*365)/1000)</f>
        <v>2.884023730029265E-2</v>
      </c>
      <c r="AN1641" s="50">
        <f ca="1">T1641/((('Parameter Inputs'!$L987+'Parameter Inputs'!$L988)*365)/1000)</f>
        <v>2.6586714124553691E-2</v>
      </c>
      <c r="AO1641" s="50">
        <f ca="1">U1641/((('Parameter Inputs'!$L987+'Parameter Inputs'!$L988)*365)/1000)</f>
        <v>2.7450116342443667E-2</v>
      </c>
      <c r="AP1641" s="50">
        <f ca="1">V1641/((('Parameter Inputs'!$L987+'Parameter Inputs'!$L988)*365)/1000)</f>
        <v>2.1770752004664884E-2</v>
      </c>
    </row>
    <row r="1642" spans="4:42">
      <c r="D1642" s="8" t="s">
        <v>1388</v>
      </c>
      <c r="E1642" s="17" cm="1">
        <f t="array" aca="1" ref="E1642" ca="1">_xlfn.IFS('Parameter Inputs'!$E13='Parameter Inputs'!$AJ19,-('Parameter Inputs'!$E1248*'Parameter Inputs'!E710),'Parameter Inputs'!$E13='Parameter Inputs'!$AJ20,-('Parameter Inputs'!$E1248*'Parameter Inputs'!E751))</f>
        <v>0</v>
      </c>
      <c r="F1642" s="8" cm="1">
        <f t="array" aca="1" ref="F1642" ca="1">_xlfn.IFS('Parameter Inputs'!$E13='Parameter Inputs'!$AJ19,-('Parameter Inputs'!$E1248*'Parameter Inputs'!F710),'Parameter Inputs'!$E13='Parameter Inputs'!$AJ20,-('Parameter Inputs'!$E1248*'Parameter Inputs'!F751))</f>
        <v>0</v>
      </c>
      <c r="G1642" s="8" cm="1">
        <f t="array" aca="1" ref="G1642" ca="1">_xlfn.IFS('Parameter Inputs'!$E13='Parameter Inputs'!$AJ19,-('Parameter Inputs'!$E1248*'Parameter Inputs'!G710),'Parameter Inputs'!$E13='Parameter Inputs'!$AJ20,-('Parameter Inputs'!$E1248*'Parameter Inputs'!G751))</f>
        <v>0</v>
      </c>
      <c r="H1642" s="8" cm="1">
        <f t="array" aca="1" ref="H1642" ca="1">_xlfn.IFS('Parameter Inputs'!$E13='Parameter Inputs'!$AJ19,-('Parameter Inputs'!$E1248*'Parameter Inputs'!H710),'Parameter Inputs'!$E13='Parameter Inputs'!$AJ20,-('Parameter Inputs'!$E1248*'Parameter Inputs'!H751))</f>
        <v>0</v>
      </c>
      <c r="I1642" s="8" cm="1">
        <f t="array" aca="1" ref="I1642" ca="1">_xlfn.IFS('Parameter Inputs'!$E13='Parameter Inputs'!$AJ19,-('Parameter Inputs'!$E1248*'Parameter Inputs'!I710),'Parameter Inputs'!$E13='Parameter Inputs'!$AJ20,-('Parameter Inputs'!$E1248*'Parameter Inputs'!I751))</f>
        <v>0</v>
      </c>
      <c r="J1642" s="8" cm="1">
        <f t="array" aca="1" ref="J1642" ca="1">_xlfn.IFS('Parameter Inputs'!$E13='Parameter Inputs'!$AJ19,-('Parameter Inputs'!$E1248*'Parameter Inputs'!J710),'Parameter Inputs'!$E13='Parameter Inputs'!$AJ20,-('Parameter Inputs'!$E1248*'Parameter Inputs'!J751))</f>
        <v>0</v>
      </c>
      <c r="K1642" s="8" cm="1">
        <f t="array" aca="1" ref="K1642" ca="1">_xlfn.IFS('Parameter Inputs'!$E13='Parameter Inputs'!$AJ19,-('Parameter Inputs'!$E1248*'Parameter Inputs'!K710),'Parameter Inputs'!$E13='Parameter Inputs'!$AJ20,-('Parameter Inputs'!$E1248*'Parameter Inputs'!K751))</f>
        <v>0</v>
      </c>
      <c r="L1642" s="8" cm="1">
        <f t="array" aca="1" ref="L1642" ca="1">_xlfn.IFS('Parameter Inputs'!$E13='Parameter Inputs'!$AJ19,-('Parameter Inputs'!$E1248*'Parameter Inputs'!L710),'Parameter Inputs'!$E13='Parameter Inputs'!$AJ20,-('Parameter Inputs'!$E1248*'Parameter Inputs'!L751))</f>
        <v>0</v>
      </c>
      <c r="M1642" s="8" cm="1">
        <f t="array" aca="1" ref="M1642" ca="1">_xlfn.IFS('Parameter Inputs'!$E13='Parameter Inputs'!$AJ19,-('Parameter Inputs'!$E1248*'Parameter Inputs'!M710),'Parameter Inputs'!$E13='Parameter Inputs'!$AJ20,-('Parameter Inputs'!$E1248*'Parameter Inputs'!M751))</f>
        <v>0</v>
      </c>
      <c r="N1642" s="8" cm="1">
        <f t="array" aca="1" ref="N1642" ca="1">_xlfn.IFS('Parameter Inputs'!$E13='Parameter Inputs'!$AJ19,-('Parameter Inputs'!$E1248*'Parameter Inputs'!N710),'Parameter Inputs'!$E13='Parameter Inputs'!$AJ20,-('Parameter Inputs'!$E1248*'Parameter Inputs'!N751))</f>
        <v>0</v>
      </c>
      <c r="O1642" s="8" cm="1">
        <f t="array" aca="1" ref="O1642" ca="1">_xlfn.IFS('Parameter Inputs'!$E13='Parameter Inputs'!$AJ19,-('Parameter Inputs'!$E1248*'Parameter Inputs'!O710),'Parameter Inputs'!$E13='Parameter Inputs'!$AJ20,-('Parameter Inputs'!$E1248*'Parameter Inputs'!O751))</f>
        <v>0</v>
      </c>
      <c r="P1642" s="8" cm="1">
        <f t="array" aca="1" ref="P1642" ca="1">_xlfn.IFS('Parameter Inputs'!$E13='Parameter Inputs'!$AJ19,-('Parameter Inputs'!$E1248*'Parameter Inputs'!P710),'Parameter Inputs'!$E13='Parameter Inputs'!$AJ20,-('Parameter Inputs'!$E1248*'Parameter Inputs'!P751))</f>
        <v>0</v>
      </c>
      <c r="Q1642" s="8" cm="1">
        <f t="array" aca="1" ref="Q1642" ca="1">_xlfn.IFS('Parameter Inputs'!$E13='Parameter Inputs'!$AJ19,-('Parameter Inputs'!$E1248*'Parameter Inputs'!Q710),'Parameter Inputs'!$E13='Parameter Inputs'!$AJ20,-('Parameter Inputs'!$E1248*'Parameter Inputs'!Q751))</f>
        <v>0</v>
      </c>
      <c r="R1642" s="8" cm="1">
        <f t="array" aca="1" ref="R1642" ca="1">_xlfn.IFS('Parameter Inputs'!$E13='Parameter Inputs'!$AJ19,-('Parameter Inputs'!$E1248*'Parameter Inputs'!R710),'Parameter Inputs'!$E13='Parameter Inputs'!$AJ20,-('Parameter Inputs'!$E1248*'Parameter Inputs'!R751))</f>
        <v>0</v>
      </c>
      <c r="S1642" s="8" cm="1">
        <f t="array" aca="1" ref="S1642" ca="1">_xlfn.IFS('Parameter Inputs'!$E13='Parameter Inputs'!$AJ19,-('Parameter Inputs'!$E1248*'Parameter Inputs'!S710),'Parameter Inputs'!$E13='Parameter Inputs'!$AJ20,-('Parameter Inputs'!$E1248*'Parameter Inputs'!S751))</f>
        <v>0</v>
      </c>
      <c r="T1642" s="8" cm="1">
        <f t="array" aca="1" ref="T1642" ca="1">_xlfn.IFS('Parameter Inputs'!$E13='Parameter Inputs'!$AJ19,-('Parameter Inputs'!$E1248*'Parameter Inputs'!T710),'Parameter Inputs'!$E13='Parameter Inputs'!$AJ20,-('Parameter Inputs'!$E1248*'Parameter Inputs'!T751))</f>
        <v>0</v>
      </c>
      <c r="U1642" s="8" cm="1">
        <f t="array" aca="1" ref="U1642" ca="1">_xlfn.IFS('Parameter Inputs'!$E13='Parameter Inputs'!$AJ19,-('Parameter Inputs'!$E1248*'Parameter Inputs'!U710),'Parameter Inputs'!$E13='Parameter Inputs'!$AJ20,-('Parameter Inputs'!$E1248*'Parameter Inputs'!U751))</f>
        <v>0</v>
      </c>
      <c r="V1642" s="8" cm="1">
        <f t="array" aca="1" ref="V1642" ca="1">_xlfn.IFS('Parameter Inputs'!$E13='Parameter Inputs'!$AJ19,-('Parameter Inputs'!$E1248*'Parameter Inputs'!V710),'Parameter Inputs'!$E13='Parameter Inputs'!$AJ20,-('Parameter Inputs'!$E1248*'Parameter Inputs'!V751))</f>
        <v>0</v>
      </c>
      <c r="Y1642" s="50">
        <f ca="1">E1642/((('Parameter Inputs'!$L987+'Parameter Inputs'!$L988)*365)/1000)</f>
        <v>0</v>
      </c>
      <c r="Z1642" s="50">
        <f ca="1">F1642/((('Parameter Inputs'!$L987+'Parameter Inputs'!$L988)*365)/1000)</f>
        <v>0</v>
      </c>
      <c r="AA1642" s="50">
        <f ca="1">G1642/((('Parameter Inputs'!$L987+'Parameter Inputs'!$L988)*365)/1000)</f>
        <v>0</v>
      </c>
      <c r="AB1642" s="50">
        <f ca="1">H1642/((('Parameter Inputs'!$L987+'Parameter Inputs'!$L988)*365)/1000)</f>
        <v>0</v>
      </c>
      <c r="AC1642" s="50">
        <f ca="1">I1642/((('Parameter Inputs'!$L987+'Parameter Inputs'!$L988)*365)/1000)</f>
        <v>0</v>
      </c>
      <c r="AD1642" s="50">
        <f ca="1">J1642/((('Parameter Inputs'!$L987+'Parameter Inputs'!$L988)*365)/1000)</f>
        <v>0</v>
      </c>
      <c r="AE1642" s="50">
        <f ca="1">K1642/((('Parameter Inputs'!$L987+'Parameter Inputs'!$L988)*365)/1000)</f>
        <v>0</v>
      </c>
      <c r="AF1642" s="50">
        <f ca="1">L1642/((('Parameter Inputs'!$L987+'Parameter Inputs'!$L988)*365)/1000)</f>
        <v>0</v>
      </c>
      <c r="AG1642" s="50">
        <f ca="1">M1642/((('Parameter Inputs'!$L987+'Parameter Inputs'!$L988)*365)/1000)</f>
        <v>0</v>
      </c>
      <c r="AH1642" s="50">
        <f ca="1">N1642/((('Parameter Inputs'!$L987+'Parameter Inputs'!$L988)*365)/1000)</f>
        <v>0</v>
      </c>
      <c r="AI1642" s="50">
        <f ca="1">O1642/((('Parameter Inputs'!$L987+'Parameter Inputs'!$L988)*365)/1000)</f>
        <v>0</v>
      </c>
      <c r="AJ1642" s="50">
        <f ca="1">P1642/((('Parameter Inputs'!$L987+'Parameter Inputs'!$L988)*365)/1000)</f>
        <v>0</v>
      </c>
      <c r="AK1642" s="50">
        <f ca="1">Q1642/((('Parameter Inputs'!$L987+'Parameter Inputs'!$L988)*365)/1000)</f>
        <v>0</v>
      </c>
      <c r="AL1642" s="50">
        <f ca="1">R1642/((('Parameter Inputs'!$L987+'Parameter Inputs'!$L988)*365)/1000)</f>
        <v>0</v>
      </c>
      <c r="AM1642" s="50">
        <f ca="1">S1642/((('Parameter Inputs'!$L987+'Parameter Inputs'!$L988)*365)/1000)</f>
        <v>0</v>
      </c>
      <c r="AN1642" s="50">
        <f ca="1">T1642/((('Parameter Inputs'!$L987+'Parameter Inputs'!$L988)*365)/1000)</f>
        <v>0</v>
      </c>
      <c r="AO1642" s="50">
        <f ca="1">U1642/((('Parameter Inputs'!$L987+'Parameter Inputs'!$L988)*365)/1000)</f>
        <v>0</v>
      </c>
      <c r="AP1642" s="50">
        <f ca="1">V1642/((('Parameter Inputs'!$L987+'Parameter Inputs'!$L988)*365)/1000)</f>
        <v>0</v>
      </c>
    </row>
    <row r="1643" spans="4:42">
      <c r="D1643" s="8" t="s">
        <v>1319</v>
      </c>
      <c r="E1643" s="17">
        <f ca="1">-('Parameter Inputs'!$E1249*'Parameter Inputs'!E720)</f>
        <v>0</v>
      </c>
      <c r="F1643" s="8">
        <f ca="1">-('Parameter Inputs'!$E1249*'Parameter Inputs'!F720)</f>
        <v>0</v>
      </c>
      <c r="G1643" s="8">
        <f ca="1">-('Parameter Inputs'!$E1249*'Parameter Inputs'!G720)</f>
        <v>0</v>
      </c>
      <c r="H1643" s="8">
        <f ca="1">-('Parameter Inputs'!$E1249*'Parameter Inputs'!H720)</f>
        <v>0</v>
      </c>
      <c r="I1643" s="8">
        <f ca="1">-('Parameter Inputs'!$E1249*'Parameter Inputs'!I720)</f>
        <v>0</v>
      </c>
      <c r="J1643" s="8">
        <f ca="1">-('Parameter Inputs'!$E1249*'Parameter Inputs'!J720)</f>
        <v>0</v>
      </c>
      <c r="K1643" s="8">
        <f ca="1">-('Parameter Inputs'!$E1249*'Parameter Inputs'!K720)</f>
        <v>0</v>
      </c>
      <c r="L1643" s="8">
        <f ca="1">-('Parameter Inputs'!$E1249*'Parameter Inputs'!L720)</f>
        <v>0</v>
      </c>
      <c r="M1643" s="8">
        <f ca="1">-('Parameter Inputs'!$E1249*'Parameter Inputs'!M720)</f>
        <v>0</v>
      </c>
      <c r="N1643" s="8">
        <f ca="1">-('Parameter Inputs'!$E1249*'Parameter Inputs'!N720)</f>
        <v>0</v>
      </c>
      <c r="O1643" s="8">
        <f ca="1">-('Parameter Inputs'!$E1249*'Parameter Inputs'!O720)</f>
        <v>0</v>
      </c>
      <c r="P1643" s="8">
        <f ca="1">-('Parameter Inputs'!$E1249*'Parameter Inputs'!P720)</f>
        <v>0</v>
      </c>
      <c r="Q1643" s="8">
        <f ca="1">-('Parameter Inputs'!$E1249*'Parameter Inputs'!Q720)</f>
        <v>0</v>
      </c>
      <c r="R1643" s="8">
        <f ca="1">-('Parameter Inputs'!$E1249*'Parameter Inputs'!R720)</f>
        <v>0</v>
      </c>
      <c r="S1643" s="8">
        <f ca="1">-('Parameter Inputs'!$E1249*'Parameter Inputs'!S720)</f>
        <v>0</v>
      </c>
      <c r="T1643" s="8">
        <f ca="1">-('Parameter Inputs'!$E1249*'Parameter Inputs'!T720)</f>
        <v>0</v>
      </c>
      <c r="U1643" s="8">
        <f ca="1">-('Parameter Inputs'!$E1249*'Parameter Inputs'!U720)</f>
        <v>0</v>
      </c>
      <c r="V1643" s="8">
        <f ca="1">-('Parameter Inputs'!$E1249*'Parameter Inputs'!V720)</f>
        <v>0</v>
      </c>
      <c r="Y1643" s="50">
        <f ca="1">E1643/((('Parameter Inputs'!$L987+'Parameter Inputs'!$L988)*365)/1000)</f>
        <v>0</v>
      </c>
      <c r="Z1643" s="50">
        <f ca="1">F1643/((('Parameter Inputs'!$L987+'Parameter Inputs'!$L988)*365)/1000)</f>
        <v>0</v>
      </c>
      <c r="AA1643" s="50">
        <f ca="1">G1643/((('Parameter Inputs'!$L987+'Parameter Inputs'!$L988)*365)/1000)</f>
        <v>0</v>
      </c>
      <c r="AB1643" s="50">
        <f ca="1">H1643/((('Parameter Inputs'!$L987+'Parameter Inputs'!$L988)*365)/1000)</f>
        <v>0</v>
      </c>
      <c r="AC1643" s="50">
        <f ca="1">I1643/((('Parameter Inputs'!$L987+'Parameter Inputs'!$L988)*365)/1000)</f>
        <v>0</v>
      </c>
      <c r="AD1643" s="50">
        <f ca="1">J1643/((('Parameter Inputs'!$L987+'Parameter Inputs'!$L988)*365)/1000)</f>
        <v>0</v>
      </c>
      <c r="AE1643" s="50">
        <f ca="1">K1643/((('Parameter Inputs'!$L987+'Parameter Inputs'!$L988)*365)/1000)</f>
        <v>0</v>
      </c>
      <c r="AF1643" s="50">
        <f ca="1">L1643/((('Parameter Inputs'!$L987+'Parameter Inputs'!$L988)*365)/1000)</f>
        <v>0</v>
      </c>
      <c r="AG1643" s="50">
        <f ca="1">M1643/((('Parameter Inputs'!$L987+'Parameter Inputs'!$L988)*365)/1000)</f>
        <v>0</v>
      </c>
      <c r="AH1643" s="50">
        <f ca="1">N1643/((('Parameter Inputs'!$L987+'Parameter Inputs'!$L988)*365)/1000)</f>
        <v>0</v>
      </c>
      <c r="AI1643" s="50">
        <f ca="1">O1643/((('Parameter Inputs'!$L987+'Parameter Inputs'!$L988)*365)/1000)</f>
        <v>0</v>
      </c>
      <c r="AJ1643" s="50">
        <f ca="1">P1643/((('Parameter Inputs'!$L987+'Parameter Inputs'!$L988)*365)/1000)</f>
        <v>0</v>
      </c>
      <c r="AK1643" s="50">
        <f ca="1">Q1643/((('Parameter Inputs'!$L987+'Parameter Inputs'!$L988)*365)/1000)</f>
        <v>0</v>
      </c>
      <c r="AL1643" s="50">
        <f ca="1">R1643/((('Parameter Inputs'!$L987+'Parameter Inputs'!$L988)*365)/1000)</f>
        <v>0</v>
      </c>
      <c r="AM1643" s="50">
        <f ca="1">S1643/((('Parameter Inputs'!$L987+'Parameter Inputs'!$L988)*365)/1000)</f>
        <v>0</v>
      </c>
      <c r="AN1643" s="50">
        <f ca="1">T1643/((('Parameter Inputs'!$L987+'Parameter Inputs'!$L988)*365)/1000)</f>
        <v>0</v>
      </c>
      <c r="AO1643" s="50">
        <f ca="1">U1643/((('Parameter Inputs'!$L987+'Parameter Inputs'!$L988)*365)/1000)</f>
        <v>0</v>
      </c>
      <c r="AP1643" s="50">
        <f ca="1">V1643/((('Parameter Inputs'!$L987+'Parameter Inputs'!$L988)*365)/1000)</f>
        <v>0</v>
      </c>
    </row>
    <row r="1644" spans="4:42">
      <c r="D1644" s="8" t="s">
        <v>1199</v>
      </c>
      <c r="E1644" s="17">
        <f ca="1">-'Parameter Inputs'!$L909*'Parameter Inputs'!E749</f>
        <v>-4002.7241318805195</v>
      </c>
      <c r="F1644" s="8">
        <f ca="1">-'Parameter Inputs'!$L909*'Parameter Inputs'!F749</f>
        <v>-1316861.673951911</v>
      </c>
      <c r="G1644" s="8">
        <f ca="1">-'Parameter Inputs'!$L909*'Parameter Inputs'!G749</f>
        <v>-93200.986808145783</v>
      </c>
      <c r="H1644" s="8">
        <f ca="1">-'Parameter Inputs'!$L909*'Parameter Inputs'!H749</f>
        <v>-121933.36065394763</v>
      </c>
      <c r="I1644" s="8">
        <f ca="1">-'Parameter Inputs'!$L909*'Parameter Inputs'!I749</f>
        <v>-9412040.4150100723</v>
      </c>
      <c r="J1644" s="8">
        <f ca="1">-'Parameter Inputs'!$L909*'Parameter Inputs'!J749</f>
        <v>-376728.34631748445</v>
      </c>
      <c r="K1644" s="8">
        <f ca="1">-'Parameter Inputs'!$L909*'Parameter Inputs'!K749</f>
        <v>-415.39042745639955</v>
      </c>
      <c r="L1644" s="8">
        <f ca="1">-'Parameter Inputs'!$L909*'Parameter Inputs'!L749</f>
        <v>-75.942708626057495</v>
      </c>
      <c r="M1644" s="8">
        <f ca="1">-'Parameter Inputs'!$L909*'Parameter Inputs'!M749</f>
        <v>-86266.950702617294</v>
      </c>
      <c r="N1644" s="8">
        <f ca="1">-'Parameter Inputs'!$L909*'Parameter Inputs'!N749</f>
        <v>-1528676.8084276051</v>
      </c>
      <c r="O1644" s="8">
        <f ca="1">-'Parameter Inputs'!$L909*'Parameter Inputs'!O749</f>
        <v>-137156.11867011289</v>
      </c>
      <c r="P1644" s="8">
        <f ca="1">-'Parameter Inputs'!$L909*'Parameter Inputs'!P749</f>
        <v>-108604.13683444145</v>
      </c>
      <c r="Q1644" s="8">
        <f ca="1">-'Parameter Inputs'!$L909*'Parameter Inputs'!Q749</f>
        <v>-72270.858355338729</v>
      </c>
      <c r="R1644" s="8">
        <f ca="1">-'Parameter Inputs'!$L909*'Parameter Inputs'!R749</f>
        <v>-0.28574094404655165</v>
      </c>
      <c r="S1644" s="8">
        <f ca="1">-'Parameter Inputs'!$L909*'Parameter Inputs'!S749</f>
        <v>-1300.3354381851263</v>
      </c>
      <c r="T1644" s="8">
        <f ca="1">-'Parameter Inputs'!$L909*'Parameter Inputs'!T749</f>
        <v>-2176.6914615928058</v>
      </c>
      <c r="U1644" s="8">
        <f ca="1">-'Parameter Inputs'!$L909*'Parameter Inputs'!U749</f>
        <v>-2329.1518056384975</v>
      </c>
      <c r="V1644" s="8">
        <f ca="1">-'Parameter Inputs'!$L909*'Parameter Inputs'!V749</f>
        <v>-15179.696697618008</v>
      </c>
      <c r="Y1644" s="8">
        <f ca="1">E1644/((('Parameter Inputs'!$L987+'Parameter Inputs'!$L988)*365)/1000)</f>
        <v>-0.15199949364244691</v>
      </c>
      <c r="Z1644" s="8">
        <f ca="1">F1644/((('Parameter Inputs'!$L987+'Parameter Inputs'!$L988)*365)/1000)</f>
        <v>-50.006520820058924</v>
      </c>
      <c r="AA1644" s="8">
        <f ca="1">G1644/((('Parameter Inputs'!$L987+'Parameter Inputs'!$L988)*365)/1000)</f>
        <v>-3.5392153780927611</v>
      </c>
      <c r="AB1644" s="8">
        <f ca="1">H1644/((('Parameter Inputs'!$L987+'Parameter Inputs'!$L988)*365)/1000)</f>
        <v>-4.6302988831794742</v>
      </c>
      <c r="AC1644" s="8">
        <f ca="1">I1644/((('Parameter Inputs'!$L987+'Parameter Inputs'!$L988)*365)/1000)</f>
        <v>-357.41293431372571</v>
      </c>
      <c r="AD1644" s="8">
        <f ca="1">J1644/((('Parameter Inputs'!$L987+'Parameter Inputs'!$L988)*365)/1000)</f>
        <v>-14.305886689750841</v>
      </c>
      <c r="AE1644" s="8">
        <f ca="1">K1644/((('Parameter Inputs'!$L987+'Parameter Inputs'!$L988)*365)/1000)</f>
        <v>-1.5774041017318101E-2</v>
      </c>
      <c r="AF1644" s="8">
        <f ca="1">L1644/((('Parameter Inputs'!$L987+'Parameter Inputs'!$L988)*365)/1000)</f>
        <v>-2.8838493177828594E-3</v>
      </c>
      <c r="AG1644" s="8">
        <f ca="1">M1644/((('Parameter Inputs'!$L987+'Parameter Inputs'!$L988)*365)/1000)</f>
        <v>-3.2759022088078202</v>
      </c>
      <c r="AH1644" s="8">
        <f ca="1">N1644/((('Parameter Inputs'!$L987+'Parameter Inputs'!$L988)*365)/1000)</f>
        <v>-58.049991248031283</v>
      </c>
      <c r="AI1644" s="8">
        <f ca="1">O1644/((('Parameter Inputs'!$L987+'Parameter Inputs'!$L988)*365)/1000)</f>
        <v>-5.20836807657441</v>
      </c>
      <c r="AJ1644" s="8">
        <f ca="1">P1644/((('Parameter Inputs'!$L987+'Parameter Inputs'!$L988)*365)/1000)</f>
        <v>-4.1241347798192134</v>
      </c>
      <c r="AK1644" s="8">
        <f ca="1">Q1644/((('Parameter Inputs'!$L987+'Parameter Inputs'!$L988)*365)/1000)</f>
        <v>-2.7444144320671846</v>
      </c>
      <c r="AL1644" s="8">
        <f ca="1">R1644/((('Parameter Inputs'!$L987+'Parameter Inputs'!$L988)*365)/1000)</f>
        <v>-1.0850729997119635E-5</v>
      </c>
      <c r="AM1644" s="8">
        <f ca="1">S1644/((('Parameter Inputs'!$L987+'Parameter Inputs'!$L988)*365)/1000)</f>
        <v>-4.9378953347107242E-2</v>
      </c>
      <c r="AN1644" s="8">
        <f ca="1">T1644/((('Parameter Inputs'!$L987+'Parameter Inputs'!$L988)*365)/1000)</f>
        <v>-8.2657707370531353E-2</v>
      </c>
      <c r="AO1644" s="8">
        <f ca="1">U1644/((('Parameter Inputs'!$L987+'Parameter Inputs'!$L988)*365)/1000)</f>
        <v>-8.844723828297299E-2</v>
      </c>
      <c r="AP1644" s="8">
        <f ca="1">V1644/((('Parameter Inputs'!$L987+'Parameter Inputs'!$L988)*365)/1000)</f>
        <v>-0.57643398237386534</v>
      </c>
    </row>
    <row r="1645" spans="4:42">
      <c r="D1645" s="8" t="s">
        <v>642</v>
      </c>
      <c r="E1645" s="17">
        <f ca="1">-($E1597*1000*'Parameter Inputs'!E727)</f>
        <v>-5354.8400496702207</v>
      </c>
      <c r="F1645" s="8">
        <f ca="1">-($E1597*1000*'Parameter Inputs'!F727)</f>
        <v>-1989082.0379973538</v>
      </c>
      <c r="G1645" s="8">
        <f ca="1">-($E1597*1000*'Parameter Inputs'!G727)</f>
        <v>-74581.735917410566</v>
      </c>
      <c r="H1645" s="8">
        <f ca="1">-($E1597*1000*'Parameter Inputs'!H727)</f>
        <v>-98994.395510376751</v>
      </c>
      <c r="I1645" s="8">
        <f ca="1">-($E1597*1000*'Parameter Inputs'!I727)</f>
        <v>-8317792.3927891413</v>
      </c>
      <c r="J1645" s="8">
        <f ca="1">-($E1597*1000*'Parameter Inputs'!J727)</f>
        <v>-1006853.4348850426</v>
      </c>
      <c r="K1645" s="8">
        <f ca="1">-($E1597*1000*'Parameter Inputs'!K727)</f>
        <v>-403.26216021344032</v>
      </c>
      <c r="L1645" s="8">
        <f ca="1">-($E1597*1000*'Parameter Inputs'!L727)</f>
        <v>-63.467128427718521</v>
      </c>
      <c r="M1645" s="8">
        <f ca="1">-($E1597*1000*'Parameter Inputs'!M727)</f>
        <v>-101495.45544760716</v>
      </c>
      <c r="N1645" s="8">
        <f ca="1">-($E1597*1000*'Parameter Inputs'!N727)</f>
        <v>-1486298.2665541207</v>
      </c>
      <c r="O1645" s="8">
        <f ca="1">-($E1597*1000*'Parameter Inputs'!O727)</f>
        <v>-92159.879537945075</v>
      </c>
      <c r="P1645" s="8">
        <f ca="1">-($E1597*1000*'Parameter Inputs'!P727)</f>
        <v>-26068.888487132142</v>
      </c>
      <c r="Q1645" s="8">
        <f ca="1">-($E1597*1000*'Parameter Inputs'!Q727)</f>
        <v>-18823.530021155424</v>
      </c>
      <c r="R1645" s="8">
        <f ca="1">-($E1597*1000*'Parameter Inputs'!R727)</f>
        <v>-12.732902569899988</v>
      </c>
      <c r="S1645" s="8">
        <f ca="1">-($E1597*1000*'Parameter Inputs'!S727)</f>
        <v>-2215.0132621471648</v>
      </c>
      <c r="T1645" s="8">
        <f ca="1">-($E1597*1000*'Parameter Inputs'!T727)</f>
        <v>-3953.6678334218341</v>
      </c>
      <c r="U1645" s="8">
        <f ca="1">-($E1597*1000*'Parameter Inputs'!U727)</f>
        <v>-4217.2756931299227</v>
      </c>
      <c r="V1645" s="8">
        <f ca="1">-($E1597*1000*'Parameter Inputs'!V727)</f>
        <v>-22715.28215484582</v>
      </c>
      <c r="Y1645" s="50">
        <f ca="1">E1645/((('Parameter Inputs'!$L987+'Parameter Inputs'!$L988)*365)/1000)</f>
        <v>-0.20334475953599504</v>
      </c>
      <c r="Z1645" s="50">
        <f ca="1">F1645/((('Parameter Inputs'!$L987+'Parameter Inputs'!$L988)*365)/1000)</f>
        <v>-75.533424894521033</v>
      </c>
      <c r="AA1645" s="50">
        <f ca="1">G1645/((('Parameter Inputs'!$L987+'Parameter Inputs'!$L988)*365)/1000)</f>
        <v>-2.8321677240082881</v>
      </c>
      <c r="AB1645" s="50">
        <f ca="1">H1645/((('Parameter Inputs'!$L987+'Parameter Inputs'!$L988)*365)/1000)</f>
        <v>-3.7592143488410001</v>
      </c>
      <c r="AC1645" s="50">
        <f ca="1">I1645/((('Parameter Inputs'!$L987+'Parameter Inputs'!$L988)*365)/1000)</f>
        <v>-315.85994694392429</v>
      </c>
      <c r="AD1645" s="50">
        <f ca="1">J1645/((('Parameter Inputs'!$L987+'Parameter Inputs'!$L988)*365)/1000)</f>
        <v>-38.234264274111887</v>
      </c>
      <c r="AE1645" s="50">
        <f ca="1">K1645/((('Parameter Inputs'!$L987+'Parameter Inputs'!$L988)*365)/1000)</f>
        <v>-1.5313482053234812E-2</v>
      </c>
      <c r="AF1645" s="50">
        <f ca="1">L1645/((('Parameter Inputs'!$L987+'Parameter Inputs'!$L988)*365)/1000)</f>
        <v>-2.4101014874140527E-3</v>
      </c>
      <c r="AG1645" s="50">
        <f ca="1">M1645/((('Parameter Inputs'!$L987+'Parameter Inputs'!$L988)*365)/1000)</f>
        <v>-3.8541896285512784</v>
      </c>
      <c r="AH1645" s="50">
        <f ca="1">N1645/((('Parameter Inputs'!$L987+'Parameter Inputs'!$L988)*365)/1000)</f>
        <v>-56.440707996465164</v>
      </c>
      <c r="AI1645" s="50">
        <f ca="1">O1645/((('Parameter Inputs'!$L987+'Parameter Inputs'!$L988)*365)/1000)</f>
        <v>-3.4996803582702407</v>
      </c>
      <c r="AJ1645" s="50">
        <f ca="1">P1645/((('Parameter Inputs'!$L987+'Parameter Inputs'!$L988)*365)/1000)</f>
        <v>-0.98994028049689686</v>
      </c>
      <c r="AK1645" s="50">
        <f ca="1">Q1645/((('Parameter Inputs'!$L987+'Parameter Inputs'!$L988)*365)/1000)</f>
        <v>-0.71480495220509177</v>
      </c>
      <c r="AL1645" s="50">
        <f ca="1">R1645/((('Parameter Inputs'!$L987+'Parameter Inputs'!$L988)*365)/1000)</f>
        <v>-4.8351939315741484E-4</v>
      </c>
      <c r="AM1645" s="50">
        <f ca="1">S1645/((('Parameter Inputs'!$L987+'Parameter Inputs'!$L988)*365)/1000)</f>
        <v>-8.4112939879146142E-2</v>
      </c>
      <c r="AN1645" s="50">
        <f ca="1">T1645/((('Parameter Inputs'!$L987+'Parameter Inputs'!$L988)*365)/1000)</f>
        <v>-0.15013662918313933</v>
      </c>
      <c r="AO1645" s="50">
        <f ca="1">U1645/((('Parameter Inputs'!$L987+'Parameter Inputs'!$L988)*365)/1000)</f>
        <v>-0.16014687717316861</v>
      </c>
      <c r="AP1645" s="50">
        <f ca="1">V1645/((('Parameter Inputs'!$L987+'Parameter Inputs'!$L988)*365)/1000)</f>
        <v>-0.86259039387252423</v>
      </c>
    </row>
    <row r="1646" spans="4:42">
      <c r="D1646" s="8" t="s">
        <v>986</v>
      </c>
      <c r="E1646" s="292">
        <f t="shared" ref="E1646:V1646" ca="1" si="66">SUM(E1633:E1645)</f>
        <v>-882.10715505207099</v>
      </c>
      <c r="F1646" s="50">
        <f t="shared" ca="1" si="66"/>
        <v>497983.41765641421</v>
      </c>
      <c r="G1646" s="50">
        <f t="shared" ca="1" si="66"/>
        <v>-98038.835771702739</v>
      </c>
      <c r="H1646" s="50">
        <f t="shared" ca="1" si="66"/>
        <v>-129277.29383767219</v>
      </c>
      <c r="I1646" s="50">
        <f t="shared" ca="1" si="66"/>
        <v>-11871318.750493631</v>
      </c>
      <c r="J1646" s="50">
        <f t="shared" ca="1" si="66"/>
        <v>-156586.09657377901</v>
      </c>
      <c r="K1646" s="50">
        <f t="shared" ca="1" si="66"/>
        <v>-426.57555445108909</v>
      </c>
      <c r="L1646" s="50">
        <f t="shared" ca="1" si="66"/>
        <v>-97.102704635762507</v>
      </c>
      <c r="M1646" s="50">
        <f t="shared" ca="1" si="66"/>
        <v>-11799.819969869292</v>
      </c>
      <c r="N1646" s="50">
        <f t="shared" ca="1" si="66"/>
        <v>-1737872.0427418828</v>
      </c>
      <c r="O1646" s="50">
        <f t="shared" ca="1" si="66"/>
        <v>-58690.896566902127</v>
      </c>
      <c r="P1646" s="50">
        <f t="shared" ca="1" si="66"/>
        <v>-52071.157886865702</v>
      </c>
      <c r="Q1646" s="50">
        <f t="shared" ca="1" si="66"/>
        <v>-57413.734341810763</v>
      </c>
      <c r="R1646" s="50">
        <f t="shared" ca="1" si="66"/>
        <v>-10.056737518099395</v>
      </c>
      <c r="S1646" s="50">
        <f t="shared" ca="1" si="66"/>
        <v>-641.58909474129314</v>
      </c>
      <c r="T1646" s="50">
        <f t="shared" ca="1" si="66"/>
        <v>-964.10220548428379</v>
      </c>
      <c r="U1646" s="50">
        <f t="shared" ca="1" si="66"/>
        <v>-1109.1489995245129</v>
      </c>
      <c r="V1646" s="50">
        <f t="shared" ca="1" si="66"/>
        <v>-27028.733180442483</v>
      </c>
      <c r="Y1646" s="50">
        <f t="shared" ref="Y1646" ca="1" si="67">SUM(Y1633:Y1645)</f>
        <v>-3.3497147564676727E-2</v>
      </c>
      <c r="Z1646" s="50">
        <f t="shared" ref="Z1646" ca="1" si="68">SUM(Z1633:Z1645)</f>
        <v>18.910428206439647</v>
      </c>
      <c r="AA1646" s="50">
        <f t="shared" ref="AA1646:AP1646" ca="1" si="69">SUM(AA1633:AA1645)</f>
        <v>-3.7229279119949714</v>
      </c>
      <c r="AB1646" s="50">
        <f t="shared" ca="1" si="69"/>
        <v>-4.909177488971789</v>
      </c>
      <c r="AC1646" s="50">
        <f t="shared" ca="1" si="69"/>
        <v>-450.80159898388411</v>
      </c>
      <c r="AD1646" s="50">
        <f t="shared" ca="1" si="69"/>
        <v>-5.9462022878603378</v>
      </c>
      <c r="AE1646" s="50">
        <f t="shared" ca="1" si="69"/>
        <v>-1.6198785162431228E-2</v>
      </c>
      <c r="AF1646" s="50">
        <f t="shared" ca="1" si="69"/>
        <v>-3.6873792571395108E-3</v>
      </c>
      <c r="AG1646" s="50">
        <f t="shared" ca="1" si="69"/>
        <v>-0.4480865034407282</v>
      </c>
      <c r="AH1646" s="50">
        <f t="shared" ca="1" si="69"/>
        <v>-65.993973556211103</v>
      </c>
      <c r="AI1646" s="50">
        <f t="shared" ca="1" si="69"/>
        <v>-2.2287288021018776</v>
      </c>
      <c r="AJ1646" s="50">
        <f t="shared" ca="1" si="69"/>
        <v>-1.9773507669790498</v>
      </c>
      <c r="AK1646" s="50">
        <f t="shared" ca="1" si="69"/>
        <v>-2.1802298286235469</v>
      </c>
      <c r="AL1646" s="50">
        <f t="shared" ca="1" si="69"/>
        <v>-3.8189466975030971E-4</v>
      </c>
      <c r="AM1646" s="50">
        <f t="shared" ca="1" si="69"/>
        <v>-2.4363711890725788E-2</v>
      </c>
      <c r="AN1646" s="50">
        <f t="shared" ca="1" si="69"/>
        <v>-3.6610828581966209E-2</v>
      </c>
      <c r="AO1646" s="50">
        <f t="shared" ca="1" si="69"/>
        <v>-4.2118837258601466E-2</v>
      </c>
      <c r="AP1646" s="50">
        <f t="shared" ca="1" si="69"/>
        <v>-1.0263894342610904</v>
      </c>
    </row>
    <row r="1647" spans="4:42">
      <c r="D1647" s="8" t="s">
        <v>1437</v>
      </c>
      <c r="E1647" s="43">
        <f t="shared" ref="E1647:V1647" ca="1" si="70">SUM(E1633:E1641)</f>
        <v>8475.4570264986687</v>
      </c>
      <c r="F1647" s="233">
        <f t="shared" ca="1" si="70"/>
        <v>3803927.1296056788</v>
      </c>
      <c r="G1647" s="233">
        <f t="shared" ca="1" si="70"/>
        <v>69743.886953853609</v>
      </c>
      <c r="H1647" s="233">
        <f t="shared" ca="1" si="70"/>
        <v>91650.462326652196</v>
      </c>
      <c r="I1647" s="233">
        <f t="shared" ca="1" si="70"/>
        <v>5858514.0573055828</v>
      </c>
      <c r="J1647" s="233">
        <f t="shared" ca="1" si="70"/>
        <v>1226995.6846287481</v>
      </c>
      <c r="K1647" s="233">
        <f t="shared" ca="1" si="70"/>
        <v>392.07703321875078</v>
      </c>
      <c r="L1647" s="233">
        <f t="shared" ca="1" si="70"/>
        <v>42.307132418013516</v>
      </c>
      <c r="M1647" s="233">
        <f t="shared" ca="1" si="70"/>
        <v>175962.58618035517</v>
      </c>
      <c r="N1647" s="233">
        <f t="shared" ca="1" si="70"/>
        <v>1277103.0322398429</v>
      </c>
      <c r="O1647" s="233">
        <f t="shared" ca="1" si="70"/>
        <v>170625.10164115584</v>
      </c>
      <c r="P1647" s="233">
        <f t="shared" ca="1" si="70"/>
        <v>82601.867434707892</v>
      </c>
      <c r="Q1647" s="233">
        <f t="shared" ca="1" si="70"/>
        <v>33680.654034683394</v>
      </c>
      <c r="R1647" s="233">
        <f t="shared" ca="1" si="70"/>
        <v>2.961905995847145</v>
      </c>
      <c r="S1647" s="233">
        <f t="shared" ca="1" si="70"/>
        <v>2873.759605590998</v>
      </c>
      <c r="T1647" s="233">
        <f t="shared" ca="1" si="70"/>
        <v>5166.2570895303561</v>
      </c>
      <c r="U1647" s="233">
        <f t="shared" ca="1" si="70"/>
        <v>5437.2784992439074</v>
      </c>
      <c r="V1647" s="233">
        <f t="shared" ca="1" si="70"/>
        <v>10866.245672021347</v>
      </c>
    </row>
    <row r="1648" spans="4:42">
      <c r="D1648" s="8" t="s">
        <v>1365</v>
      </c>
      <c r="E1648" s="17">
        <f ca="1">E1647/$E$1595</f>
        <v>1.2259466647855701E-2</v>
      </c>
      <c r="F1648" s="8">
        <f t="shared" ref="F1648:V1648" ca="1" si="71">F1647/$E$1595</f>
        <v>5.5022540531409554</v>
      </c>
      <c r="G1648" s="8">
        <f t="shared" ca="1" si="71"/>
        <v>0.10088221240805569</v>
      </c>
      <c r="H1648" s="8">
        <f t="shared" ca="1" si="71"/>
        <v>0.13256934494992267</v>
      </c>
      <c r="I1648" s="8">
        <f t="shared" ca="1" si="71"/>
        <v>8.4741456970376934</v>
      </c>
      <c r="J1648" s="8">
        <f t="shared" ca="1" si="71"/>
        <v>1.7748084410951468</v>
      </c>
      <c r="K1648" s="8">
        <f t="shared" ca="1" si="71"/>
        <v>5.6712638588189322E-4</v>
      </c>
      <c r="L1648" s="8">
        <f t="shared" ca="1" si="71"/>
        <v>6.1195859671454018E-5</v>
      </c>
      <c r="M1648" s="8">
        <f t="shared" ca="1" si="71"/>
        <v>0.25452402741279329</v>
      </c>
      <c r="N1648" s="8">
        <f t="shared" ca="1" si="71"/>
        <v>1.8472870525647278</v>
      </c>
      <c r="O1648" s="8">
        <f t="shared" ca="1" si="71"/>
        <v>0.24680353358134835</v>
      </c>
      <c r="P1648" s="8">
        <f t="shared" ca="1" si="71"/>
        <v>0.1194808534454621</v>
      </c>
      <c r="Q1648" s="8">
        <f t="shared" ca="1" si="71"/>
        <v>4.8717945654754298E-2</v>
      </c>
      <c r="R1648" s="8">
        <f t="shared" ca="1" si="71"/>
        <v>4.2842984934787228E-6</v>
      </c>
      <c r="S1648" s="8">
        <f t="shared" ca="1" si="71"/>
        <v>4.156797672213804E-3</v>
      </c>
      <c r="T1648" s="8">
        <f t="shared" ca="1" si="71"/>
        <v>7.4728190214788078E-3</v>
      </c>
      <c r="U1648" s="8">
        <f t="shared" ca="1" si="71"/>
        <v>7.8648424749456856E-3</v>
      </c>
      <c r="V1648" s="8">
        <f t="shared" ca="1" si="71"/>
        <v>1.5717662892638699E-2</v>
      </c>
    </row>
    <row r="1651" spans="4:22">
      <c r="E1651" s="105"/>
      <c r="F1651" s="105"/>
      <c r="G1651" s="105"/>
      <c r="H1651" s="105"/>
      <c r="I1651" s="105"/>
      <c r="J1651" s="105"/>
      <c r="M1651" s="105"/>
      <c r="N1651" s="105"/>
      <c r="Q1651" s="105"/>
      <c r="V1651" s="105"/>
    </row>
    <row r="1654" spans="4:22" s="226" customFormat="1">
      <c r="D1654" s="227" t="s">
        <v>1704</v>
      </c>
    </row>
    <row r="1656" spans="4:22">
      <c r="D1656" s="5" t="s">
        <v>52</v>
      </c>
    </row>
    <row r="1657" spans="4:22">
      <c r="D1657" s="5" t="s">
        <v>335</v>
      </c>
      <c r="E1657" s="5">
        <v>1.42</v>
      </c>
      <c r="F1657" s="5">
        <f>0.35/E1657</f>
        <v>0.24647887323943662</v>
      </c>
    </row>
    <row r="1658" spans="4:22">
      <c r="D1658" s="5" t="s">
        <v>54</v>
      </c>
      <c r="E1658" s="5">
        <v>1.92</v>
      </c>
    </row>
    <row r="1659" spans="4:22">
      <c r="D1659" s="5" t="s">
        <v>53</v>
      </c>
      <c r="E1659" s="5">
        <v>1.67</v>
      </c>
    </row>
    <row r="1660" spans="4:22">
      <c r="D1660" s="5" t="s">
        <v>340</v>
      </c>
      <c r="E1660" s="105">
        <f ca="1">'Parameter Inputs'!N1111</f>
        <v>4912.8383561531109</v>
      </c>
    </row>
    <row r="1661" spans="4:22">
      <c r="D1661" s="5" t="s">
        <v>340</v>
      </c>
      <c r="E1661" s="5">
        <f ca="1">'Parameter Inputs'!N1111</f>
        <v>4912.8383561531109</v>
      </c>
      <c r="F1661" s="5">
        <v>1</v>
      </c>
    </row>
    <row r="1662" spans="4:22">
      <c r="D1662" s="5" t="s">
        <v>341</v>
      </c>
      <c r="E1662" s="5">
        <f ca="1">((E1661*F703)/E1658)+((E1661*F705)/E1659)</f>
        <v>2673.6847964967501</v>
      </c>
      <c r="F1662" s="5">
        <f>((F1661*F703)/E1658)+((F1661*F705)/E1659)</f>
        <v>0.54422405189620759</v>
      </c>
      <c r="G1662" s="5">
        <f>F1662*0.41</f>
        <v>0.22313186127744511</v>
      </c>
    </row>
    <row r="1664" spans="4:22">
      <c r="E1664" s="5" t="s">
        <v>12</v>
      </c>
      <c r="G1664" s="5" t="s">
        <v>320</v>
      </c>
      <c r="H1664" s="5" t="s">
        <v>329</v>
      </c>
      <c r="I1664" s="5" t="s">
        <v>338</v>
      </c>
      <c r="J1664" s="5" t="s">
        <v>334</v>
      </c>
      <c r="K1664" s="5" t="s">
        <v>1506</v>
      </c>
      <c r="L1664" s="5" t="s">
        <v>322</v>
      </c>
      <c r="M1664" s="5" t="s">
        <v>1418</v>
      </c>
      <c r="N1664" s="5" t="s">
        <v>326</v>
      </c>
      <c r="O1664" s="5" t="s">
        <v>327</v>
      </c>
      <c r="P1664" s="5" t="s">
        <v>1419</v>
      </c>
      <c r="Q1664" s="5" t="s">
        <v>1420</v>
      </c>
      <c r="R1664" s="5" t="s">
        <v>330</v>
      </c>
      <c r="S1664" s="5" t="s">
        <v>331</v>
      </c>
      <c r="T1664" s="5" t="s">
        <v>332</v>
      </c>
      <c r="U1664" s="5" t="s">
        <v>333</v>
      </c>
      <c r="V1664" s="5" t="s">
        <v>328</v>
      </c>
    </row>
    <row r="1665" spans="4:21">
      <c r="D1665" s="5" t="s">
        <v>317</v>
      </c>
      <c r="E1665" s="5">
        <v>1.07</v>
      </c>
      <c r="F1665" s="60" t="s">
        <v>321</v>
      </c>
      <c r="G1665" s="5">
        <f>1/E1665</f>
        <v>0.93457943925233644</v>
      </c>
      <c r="H1665" s="5">
        <v>0.52</v>
      </c>
      <c r="I1665" s="5">
        <f ca="1">'Parameter Inputs'!E1108*'Parameter Inputs'!E1111</f>
        <v>2497.6844982773418</v>
      </c>
      <c r="J1665" s="5">
        <f ca="1">(H1665*I1665)+(F563*1.07)</f>
        <v>1298.7959391042177</v>
      </c>
      <c r="K1665" s="5">
        <f ca="1">G1665*J1665</f>
        <v>1213.8279804712315</v>
      </c>
      <c r="L1665" s="5" t="s">
        <v>323</v>
      </c>
      <c r="M1665" s="5">
        <v>0.59040000000000004</v>
      </c>
      <c r="N1665" s="5">
        <f ca="1">K1665/M1665</f>
        <v>2055.9417013401617</v>
      </c>
      <c r="O1665" s="5">
        <v>2</v>
      </c>
      <c r="P1665" s="5">
        <f ca="1">O1665*N1665</f>
        <v>4111.8834026803233</v>
      </c>
      <c r="Q1665" s="5">
        <f ca="1">SUM(P1665:P1668)</f>
        <v>7350.1856052540743</v>
      </c>
      <c r="R1665" s="5">
        <f ca="1">'Parameter Inputs'!E1116*('Parameter Inputs'!E1117+'Parameter Inputs'!E1108)</f>
        <v>1220.378377096614</v>
      </c>
      <c r="S1665" s="5">
        <f ca="1">Q1665/R1665</f>
        <v>6.022874334057609</v>
      </c>
      <c r="T1665" s="5">
        <f ca="1">'Parameter Inputs'!H1113</f>
        <v>1139.7884189321958</v>
      </c>
      <c r="U1665" s="5">
        <f ca="1">T1665*S1665</f>
        <v>6864.8024146428234</v>
      </c>
    </row>
    <row r="1666" spans="4:21">
      <c r="D1666" s="5" t="s">
        <v>318</v>
      </c>
      <c r="E1666" s="5">
        <v>1.52</v>
      </c>
      <c r="F1666" s="131" t="s">
        <v>321</v>
      </c>
      <c r="G1666" s="5">
        <f>1/E1666</f>
        <v>0.65789473684210531</v>
      </c>
      <c r="H1666" s="5">
        <v>0.48</v>
      </c>
      <c r="I1666" s="5">
        <f ca="1">'Parameter Inputs'!E1108*'Parameter Inputs'!E1111</f>
        <v>2497.6844982773418</v>
      </c>
      <c r="J1666" s="5">
        <f ca="1">H1666*I1666</f>
        <v>1198.8885591731241</v>
      </c>
      <c r="K1666" s="5">
        <f ca="1">G1666*J1666</f>
        <v>788.74247314021329</v>
      </c>
      <c r="L1666" s="5" t="s">
        <v>324</v>
      </c>
      <c r="M1666" s="86">
        <v>0.73070000000000002</v>
      </c>
      <c r="N1666" s="5">
        <f ca="1">K1666/M1666</f>
        <v>1079.4340675245837</v>
      </c>
      <c r="O1666" s="5">
        <v>3</v>
      </c>
      <c r="P1666" s="5">
        <f ca="1">O1666*N1666</f>
        <v>3238.3022025737509</v>
      </c>
    </row>
    <row r="1667" spans="4:21">
      <c r="D1667" s="5" t="s">
        <v>319</v>
      </c>
      <c r="E1667" s="5">
        <v>1.82</v>
      </c>
      <c r="F1667" s="131" t="s">
        <v>321</v>
      </c>
      <c r="G1667" s="5">
        <f>1/E1667</f>
        <v>0.54945054945054939</v>
      </c>
      <c r="H1667" s="5">
        <v>0</v>
      </c>
      <c r="I1667" s="5">
        <f ca="1">'Parameter Inputs'!E1108*'Parameter Inputs'!E1111</f>
        <v>2497.6844982773418</v>
      </c>
      <c r="J1667" s="5">
        <f ca="1">H1667*I1667</f>
        <v>0</v>
      </c>
      <c r="K1667" s="5">
        <f ca="1">G1667*J1667</f>
        <v>0</v>
      </c>
      <c r="L1667" s="5" t="s">
        <v>325</v>
      </c>
      <c r="M1667" s="86">
        <v>0.871</v>
      </c>
      <c r="N1667" s="5">
        <f ca="1">K1667/M1667</f>
        <v>0</v>
      </c>
      <c r="O1667" s="5">
        <v>4</v>
      </c>
      <c r="P1667" s="5">
        <f ca="1">O1667*N1667</f>
        <v>0</v>
      </c>
    </row>
    <row r="1668" spans="4:21">
      <c r="D1668" s="5" t="s">
        <v>343</v>
      </c>
      <c r="E1668" s="5">
        <v>2.2400000000000002</v>
      </c>
      <c r="G1668" s="5">
        <f>1/E1668</f>
        <v>0.4464285714285714</v>
      </c>
      <c r="H1668" s="5">
        <v>0</v>
      </c>
      <c r="I1668" s="5">
        <f ca="1">'Parameter Inputs'!E1108*'Parameter Inputs'!E1111</f>
        <v>2497.6844982773418</v>
      </c>
      <c r="J1668" s="5">
        <f ca="1">H1668*I1668</f>
        <v>0</v>
      </c>
      <c r="K1668" s="5">
        <f ca="1">G1668*J1668</f>
        <v>0</v>
      </c>
      <c r="M1668" s="86">
        <v>0.871</v>
      </c>
      <c r="N1668" s="5">
        <f ca="1">K1668/M1668</f>
        <v>0</v>
      </c>
      <c r="O1668" s="5">
        <v>5</v>
      </c>
      <c r="P1668" s="5">
        <f ca="1">O1668*N1668</f>
        <v>0</v>
      </c>
      <c r="Q1668" s="5">
        <f ca="1">Q1665/R1665</f>
        <v>6.022874334057609</v>
      </c>
    </row>
    <row r="1670" spans="4:21">
      <c r="I1670" s="5">
        <f ca="1">J1670/H1665</f>
        <v>2332.7452523829916</v>
      </c>
      <c r="J1670" s="5">
        <f ca="1">K1670*E1665</f>
        <v>1213.0275312391555</v>
      </c>
      <c r="K1670" s="5">
        <f ca="1">N1670*M1670</f>
        <v>1133.6705899431361</v>
      </c>
      <c r="L1670" s="5" t="s">
        <v>323</v>
      </c>
      <c r="M1670" s="5">
        <v>0.59040000000000004</v>
      </c>
      <c r="N1670" s="5">
        <f ca="1">Q1670/O1670</f>
        <v>1920.1737634538208</v>
      </c>
      <c r="O1670" s="5">
        <v>2</v>
      </c>
      <c r="P1670" s="86">
        <f ca="1">P1665/Q1665</f>
        <v>0.5594257918794675</v>
      </c>
      <c r="Q1670" s="5">
        <f ca="1">P1670*U1665</f>
        <v>3840.3475269076421</v>
      </c>
    </row>
    <row r="1671" spans="4:21">
      <c r="I1671" s="5">
        <f ca="1">J1671/H1666</f>
        <v>2332.7452523829916</v>
      </c>
      <c r="J1671" s="5">
        <f ca="1">K1671*E1666</f>
        <v>1119.7177211438359</v>
      </c>
      <c r="K1671" s="5">
        <f ca="1">N1671*M1671</f>
        <v>736.65639548936576</v>
      </c>
      <c r="L1671" s="5" t="s">
        <v>324</v>
      </c>
      <c r="M1671" s="86">
        <v>0.73070000000000002</v>
      </c>
      <c r="N1671" s="5">
        <f ca="1">Q1671/O1671</f>
        <v>1008.1516292450605</v>
      </c>
      <c r="O1671" s="5">
        <v>3</v>
      </c>
      <c r="P1671" s="86">
        <f ca="1">P1666/Q1665</f>
        <v>0.44057420812053255</v>
      </c>
      <c r="Q1671" s="5">
        <f ca="1">P1671*U1665</f>
        <v>3024.4548877351817</v>
      </c>
    </row>
    <row r="1672" spans="4:21">
      <c r="J1672" s="5">
        <f ca="1">K1672*E1667</f>
        <v>0</v>
      </c>
      <c r="K1672" s="5">
        <f ca="1">N1672*M1672</f>
        <v>0</v>
      </c>
      <c r="L1672" s="5" t="s">
        <v>325</v>
      </c>
      <c r="M1672" s="86">
        <v>0.871</v>
      </c>
      <c r="N1672" s="5">
        <f ca="1">Q1672/O1672</f>
        <v>0</v>
      </c>
      <c r="O1672" s="5">
        <v>4</v>
      </c>
      <c r="P1672" s="86">
        <f ca="1">P1667/Q1665</f>
        <v>0</v>
      </c>
      <c r="Q1672" s="5">
        <f ca="1">P1672*U1665</f>
        <v>0</v>
      </c>
    </row>
    <row r="1673" spans="4:21">
      <c r="P1673" s="5">
        <f ca="1">SUM(P1670:P1672)</f>
        <v>1</v>
      </c>
    </row>
    <row r="1674" spans="4:21">
      <c r="D1674" s="5" t="s">
        <v>374</v>
      </c>
    </row>
    <row r="1675" spans="4:21">
      <c r="D1675" s="5" t="s">
        <v>376</v>
      </c>
      <c r="E1675" s="5" t="s">
        <v>375</v>
      </c>
      <c r="F1675" s="5" t="s">
        <v>378</v>
      </c>
      <c r="G1675" s="5" t="s">
        <v>380</v>
      </c>
      <c r="H1675" s="5" t="s">
        <v>381</v>
      </c>
      <c r="I1675" s="5" t="s">
        <v>389</v>
      </c>
      <c r="J1675" s="5" t="s">
        <v>382</v>
      </c>
      <c r="K1675" s="5" t="s">
        <v>383</v>
      </c>
      <c r="L1675" s="5" t="s">
        <v>384</v>
      </c>
    </row>
    <row r="1676" spans="4:21">
      <c r="D1676" s="5" t="s">
        <v>50</v>
      </c>
      <c r="E1676" s="5" t="s">
        <v>377</v>
      </c>
      <c r="F1676" s="5">
        <f>(12*4)+6+32</f>
        <v>86</v>
      </c>
      <c r="G1676" s="5">
        <f>(12*4)/F1676</f>
        <v>0.55813953488372092</v>
      </c>
      <c r="H1676" s="5">
        <f>G1676/12</f>
        <v>4.6511627906976744E-2</v>
      </c>
      <c r="I1676" s="5">
        <f>1/H1676</f>
        <v>21.5</v>
      </c>
      <c r="J1676" s="5">
        <f>F703</f>
        <v>0.7</v>
      </c>
      <c r="K1676" s="5">
        <f>H1676*J1676</f>
        <v>3.255813953488372E-2</v>
      </c>
      <c r="L1676" s="5">
        <f>K1676+K1677</f>
        <v>4.755813953488372E-2</v>
      </c>
      <c r="M1676" s="5">
        <f>1/L1676</f>
        <v>21.026894865525673</v>
      </c>
    </row>
    <row r="1677" spans="4:21">
      <c r="D1677" s="5" t="s">
        <v>51</v>
      </c>
      <c r="E1677" s="5" t="s">
        <v>379</v>
      </c>
      <c r="F1677" s="5">
        <f>(12*5)+8+32</f>
        <v>100</v>
      </c>
      <c r="G1677" s="5">
        <f>(12*5)/F1677</f>
        <v>0.6</v>
      </c>
      <c r="H1677" s="5">
        <f>G1677/12</f>
        <v>4.9999999999999996E-2</v>
      </c>
      <c r="I1677" s="5">
        <f>1/H1677</f>
        <v>20</v>
      </c>
      <c r="J1677" s="5">
        <f>F705</f>
        <v>0.30000000000000004</v>
      </c>
      <c r="K1677" s="5">
        <f>H1677*J1677</f>
        <v>1.5000000000000001E-2</v>
      </c>
    </row>
    <row r="1678" spans="4:21">
      <c r="D1678" s="5" t="s">
        <v>170</v>
      </c>
      <c r="E1678" s="5" t="s">
        <v>387</v>
      </c>
      <c r="F1678" s="5">
        <f>(12*5)+7+32+14</f>
        <v>113</v>
      </c>
      <c r="G1678" s="5">
        <f>(12*5)/F1678</f>
        <v>0.53097345132743368</v>
      </c>
      <c r="H1678" s="5">
        <f>G1678/12</f>
        <v>4.4247787610619475E-2</v>
      </c>
      <c r="I1678" s="5">
        <f>1/H1678</f>
        <v>22.599999999999998</v>
      </c>
      <c r="M1678" s="5">
        <f>L1676/H1678</f>
        <v>1.0748139534883718</v>
      </c>
    </row>
    <row r="1679" spans="4:21">
      <c r="D1679" s="5" t="s">
        <v>172</v>
      </c>
      <c r="E1679" s="5" t="s">
        <v>323</v>
      </c>
      <c r="F1679" s="5">
        <v>59</v>
      </c>
      <c r="G1679" s="5">
        <f>24/F1679</f>
        <v>0.40677966101694918</v>
      </c>
      <c r="H1679" s="5">
        <f>G1679/12</f>
        <v>3.3898305084745763E-2</v>
      </c>
      <c r="I1679" s="5">
        <f>1/H1679</f>
        <v>29.5</v>
      </c>
    </row>
    <row r="1681" spans="4:16">
      <c r="I1681" s="5">
        <f>2.03*32</f>
        <v>64.959999999999994</v>
      </c>
      <c r="J1681" s="5">
        <f>19.06*32</f>
        <v>609.91999999999996</v>
      </c>
    </row>
    <row r="1682" spans="4:16">
      <c r="D1682" s="5" t="s">
        <v>434</v>
      </c>
      <c r="E1682" s="5" t="s">
        <v>431</v>
      </c>
      <c r="F1682" s="5" t="s">
        <v>432</v>
      </c>
      <c r="G1682" s="5" t="s">
        <v>433</v>
      </c>
      <c r="I1682" s="5">
        <f>13.15*I1679</f>
        <v>387.92500000000001</v>
      </c>
      <c r="J1682" s="5">
        <f>96.74*I1679</f>
        <v>2853.83</v>
      </c>
    </row>
    <row r="1683" spans="4:16">
      <c r="E1683" s="5" t="s">
        <v>430</v>
      </c>
      <c r="F1683" s="5">
        <f>14+4+35</f>
        <v>53</v>
      </c>
      <c r="G1683" s="5">
        <f>14/F1683</f>
        <v>0.26415094339622641</v>
      </c>
      <c r="I1683" s="5">
        <f>I1681/I1682</f>
        <v>0.16745504930076688</v>
      </c>
      <c r="J1683" s="5">
        <f>J1681/J1682</f>
        <v>0.21371980811751223</v>
      </c>
      <c r="M1683" s="5" t="s">
        <v>1508</v>
      </c>
    </row>
    <row r="1684" spans="4:16">
      <c r="E1684" s="5" t="s">
        <v>435</v>
      </c>
      <c r="F1684" s="5">
        <f>39+2+31+(16*4)</f>
        <v>136</v>
      </c>
      <c r="G1684" s="5">
        <f>31/F1684</f>
        <v>0.22794117647058823</v>
      </c>
      <c r="M1684" s="5">
        <f>1/L1676</f>
        <v>21.026894865525673</v>
      </c>
      <c r="O1684" s="5" t="s">
        <v>1510</v>
      </c>
    </row>
    <row r="1685" spans="4:16">
      <c r="O1685" s="5">
        <f>24/590</f>
        <v>4.0677966101694912E-2</v>
      </c>
      <c r="P1685" s="5">
        <f>O1685/12</f>
        <v>3.3898305084745762E-3</v>
      </c>
    </row>
    <row r="1686" spans="4:16">
      <c r="M1686" s="5" t="s">
        <v>1505</v>
      </c>
    </row>
    <row r="1687" spans="4:16">
      <c r="D1687" s="5" t="s">
        <v>485</v>
      </c>
      <c r="E1687" s="5">
        <f>I1679*13.15</f>
        <v>387.92500000000001</v>
      </c>
      <c r="F1687" s="5">
        <f>E1687*E1665</f>
        <v>415.07975000000005</v>
      </c>
      <c r="G1687" s="5">
        <f>8.36*I1676*E1658</f>
        <v>345.10079999999994</v>
      </c>
      <c r="M1687" s="5">
        <f>M1684*0.41</f>
        <v>8.6210268948655262</v>
      </c>
      <c r="O1687" s="5" t="s">
        <v>1507</v>
      </c>
      <c r="P1687" s="5" t="s">
        <v>1509</v>
      </c>
    </row>
    <row r="1688" spans="4:16">
      <c r="D1688" s="5" t="s">
        <v>486</v>
      </c>
      <c r="E1688" s="5">
        <f>2.03*32</f>
        <v>64.959999999999994</v>
      </c>
      <c r="F1688" s="5">
        <f>2.03*32</f>
        <v>64.959999999999994</v>
      </c>
      <c r="G1688" s="5">
        <f>6.32*32</f>
        <v>202.24</v>
      </c>
      <c r="M1688" s="5">
        <f ca="1">M1687*Q1665</f>
        <v>63366.147785148823</v>
      </c>
      <c r="O1688" s="5">
        <f>2/590</f>
        <v>3.3898305084745762E-3</v>
      </c>
      <c r="P1688" s="5">
        <f ca="1">Q1665/((K1665+K1666)*1000)</f>
        <v>3.6703755375990469E-3</v>
      </c>
    </row>
    <row r="1689" spans="4:16">
      <c r="D1689" s="5" t="s">
        <v>487</v>
      </c>
      <c r="E1689" s="5">
        <f>E1688/E1687</f>
        <v>0.16745504930076688</v>
      </c>
      <c r="F1689" s="5">
        <f>F1688/F1687</f>
        <v>0.15650004607548304</v>
      </c>
      <c r="G1689" s="5">
        <f>G1688/G1687</f>
        <v>0.58603167538296075</v>
      </c>
      <c r="J1689" s="5">
        <v>0.41</v>
      </c>
      <c r="M1689" s="5">
        <f ca="1">M1688/(K1665+K1666)</f>
        <v>31.6424062238979</v>
      </c>
    </row>
    <row r="1691" spans="4:16">
      <c r="M1691" s="5">
        <f ca="1">M1692*M1687</f>
        <v>31.642406223897897</v>
      </c>
    </row>
    <row r="1692" spans="4:16">
      <c r="M1692" s="5">
        <f ca="1">Q1665/(K1665+K1666)</f>
        <v>3.670375537599047</v>
      </c>
    </row>
    <row r="1693" spans="4:16">
      <c r="E1693" s="5" t="s">
        <v>1160</v>
      </c>
      <c r="F1693" s="5" t="s">
        <v>173</v>
      </c>
      <c r="G1693" s="5" t="s">
        <v>174</v>
      </c>
      <c r="O1693" s="5" t="s">
        <v>1511</v>
      </c>
    </row>
    <row r="1694" spans="4:16">
      <c r="D1694" s="5" t="s">
        <v>1158</v>
      </c>
      <c r="E1694" s="5">
        <v>50</v>
      </c>
      <c r="F1694" s="5">
        <v>10</v>
      </c>
      <c r="G1694" s="5">
        <v>1</v>
      </c>
      <c r="O1694" s="5">
        <f>590/2</f>
        <v>295</v>
      </c>
    </row>
    <row r="1695" spans="4:16">
      <c r="E1695" s="5">
        <f>E1694/50</f>
        <v>1</v>
      </c>
      <c r="F1695" s="5">
        <f>F1694/50</f>
        <v>0.2</v>
      </c>
      <c r="G1695" s="5">
        <f>G1694/50</f>
        <v>0.02</v>
      </c>
      <c r="M1695" s="5">
        <f ca="1">M1687*P1688</f>
        <v>3.1642406223897898E-2</v>
      </c>
    </row>
    <row r="1696" spans="4:16">
      <c r="D1696" s="5" t="s">
        <v>1159</v>
      </c>
      <c r="E1696" s="5">
        <f>E1695*5</f>
        <v>5</v>
      </c>
      <c r="F1696" s="5">
        <f>F1695*5</f>
        <v>1</v>
      </c>
      <c r="G1696" s="5">
        <f>G1695*5</f>
        <v>0.1</v>
      </c>
      <c r="M1696" s="5">
        <f ca="1">M1695*H1665*E1665</f>
        <v>1.7605834822976792E-2</v>
      </c>
      <c r="O1696" s="5">
        <f>M1687/O1694</f>
        <v>2.9223819982595003E-2</v>
      </c>
      <c r="P1696" s="5">
        <f>1/2.56</f>
        <v>0.390625</v>
      </c>
    </row>
    <row r="1697" spans="4:13">
      <c r="D1697" s="5" t="s">
        <v>1163</v>
      </c>
      <c r="E1697" s="5">
        <f>E1696*12</f>
        <v>60</v>
      </c>
      <c r="F1697" s="5">
        <f>F1696*14</f>
        <v>14</v>
      </c>
      <c r="G1697" s="5">
        <f>G1696*31</f>
        <v>3.1</v>
      </c>
      <c r="M1697" s="5">
        <f ca="1">M1695*H1666*E1666</f>
        <v>2.3086299580955906E-2</v>
      </c>
    </row>
    <row r="1698" spans="4:13">
      <c r="D1698" s="5" t="s">
        <v>1161</v>
      </c>
      <c r="E1698" s="5">
        <f ca="1">'Parameter Inputs'!T1162/0.113</f>
        <v>25823.978545919934</v>
      </c>
      <c r="M1698" s="5">
        <f ca="1">M1696+M1697</f>
        <v>4.0692134403932698E-2</v>
      </c>
    </row>
    <row r="1699" spans="4:13">
      <c r="D1699" s="5" t="s">
        <v>1162</v>
      </c>
      <c r="E1699" s="5">
        <f ca="1">E1697*E1698</f>
        <v>1549438.712755196</v>
      </c>
      <c r="F1699" s="5">
        <f ca="1">F1697*E1698</f>
        <v>361535.69964287907</v>
      </c>
      <c r="G1699" s="5">
        <f ca="1">G1697*E1698</f>
        <v>80054.333492351798</v>
      </c>
    </row>
    <row r="1700" spans="4:13">
      <c r="D1700" s="5" t="s">
        <v>1164</v>
      </c>
      <c r="E1700" s="5">
        <f ca="1">E1699/1000</f>
        <v>1549.4387127551961</v>
      </c>
      <c r="F1700" s="5">
        <f ca="1">F1699/1000</f>
        <v>361.53569964287908</v>
      </c>
      <c r="G1700" s="5">
        <f ca="1">G1699/1000</f>
        <v>80.054333492351802</v>
      </c>
    </row>
    <row r="1701" spans="4:13">
      <c r="F1701" s="113">
        <f ca="1">F1700/'Parameter Inputs'!T1163</f>
        <v>6.7308233154650496E-2</v>
      </c>
      <c r="G1701" s="113">
        <f ca="1">G1700/'Parameter Inputs'!T1163</f>
        <v>1.4903965912815467E-2</v>
      </c>
    </row>
    <row r="1702" spans="4:13">
      <c r="D1702" s="5" t="s">
        <v>1165</v>
      </c>
    </row>
    <row r="1703" spans="4:13">
      <c r="D1703" s="5" t="s">
        <v>1167</v>
      </c>
      <c r="E1703" s="113">
        <v>0.12</v>
      </c>
    </row>
    <row r="1704" spans="4:13">
      <c r="D1704" s="5" t="s">
        <v>1168</v>
      </c>
      <c r="E1704" s="92">
        <v>0.52</v>
      </c>
    </row>
    <row r="1705" spans="4:13">
      <c r="D1705" s="5" t="s">
        <v>1169</v>
      </c>
      <c r="E1705" s="113">
        <f>(31*2)/((31*2)+(16*5))</f>
        <v>0.43661971830985913</v>
      </c>
    </row>
    <row r="1706" spans="4:13">
      <c r="D1706" s="5" t="s">
        <v>1170</v>
      </c>
      <c r="E1706" s="163">
        <f>E1705*E1704</f>
        <v>0.22704225352112675</v>
      </c>
    </row>
    <row r="1707" spans="4:13">
      <c r="D1707" s="5" t="s">
        <v>1166</v>
      </c>
      <c r="E1707" s="5">
        <f>E1703*1000</f>
        <v>120</v>
      </c>
    </row>
    <row r="1708" spans="4:13">
      <c r="D1708" s="5" t="s">
        <v>1171</v>
      </c>
      <c r="E1708" s="91">
        <f>E1706*1000</f>
        <v>227.04225352112675</v>
      </c>
    </row>
    <row r="1711" spans="4:13">
      <c r="F1711" s="5">
        <v>0</v>
      </c>
    </row>
    <row r="1712" spans="4:13">
      <c r="F1712" s="5">
        <v>0</v>
      </c>
    </row>
    <row r="1714" spans="4:6">
      <c r="F1714" s="5">
        <v>2455245.3053821535</v>
      </c>
    </row>
    <row r="1715" spans="4:6">
      <c r="F1715" s="5">
        <v>127232.57984739843</v>
      </c>
    </row>
    <row r="1716" spans="4:6">
      <c r="F1716" s="5">
        <v>73850.222505156446</v>
      </c>
    </row>
    <row r="1717" spans="4:6">
      <c r="F1717" s="5">
        <v>539338.97021508252</v>
      </c>
    </row>
    <row r="1718" spans="4:6">
      <c r="F1718" s="5">
        <v>19460.52121393468</v>
      </c>
    </row>
    <row r="1719" spans="4:6">
      <c r="D1719" s="5" t="s">
        <v>346</v>
      </c>
      <c r="F1719" s="5">
        <v>588799.53044195171</v>
      </c>
    </row>
    <row r="1720" spans="4:6">
      <c r="D1720" s="5" t="s">
        <v>345</v>
      </c>
      <c r="F1720" s="5">
        <v>0</v>
      </c>
    </row>
    <row r="1721" spans="4:6">
      <c r="F1721" s="5">
        <v>0</v>
      </c>
    </row>
    <row r="1722" spans="4:6">
      <c r="D1722" s="5" t="s">
        <v>148</v>
      </c>
      <c r="F1722" s="5">
        <v>-1316861.6739519113</v>
      </c>
    </row>
    <row r="1723" spans="4:6">
      <c r="F1723" s="5">
        <v>-1989082.0379973538</v>
      </c>
    </row>
    <row r="1724" spans="4:6">
      <c r="F1724" s="5">
        <v>497983.41765641188</v>
      </c>
    </row>
    <row r="1942" spans="4:4">
      <c r="D1942" s="170"/>
    </row>
    <row r="1943" spans="4:4">
      <c r="D1943" s="170"/>
    </row>
    <row r="1944" spans="4:4">
      <c r="D1944" s="170"/>
    </row>
    <row r="1945" spans="4:4">
      <c r="D1945" s="170"/>
    </row>
    <row r="1946" spans="4:4">
      <c r="D1946" s="199"/>
    </row>
    <row r="1947" spans="4:4">
      <c r="D1947" s="170"/>
    </row>
    <row r="1948" spans="4:4">
      <c r="D1948" s="170"/>
    </row>
    <row r="1949" spans="4:4">
      <c r="D1949" s="170"/>
    </row>
    <row r="1950" spans="4:4">
      <c r="D1950" s="170"/>
    </row>
    <row r="1951" spans="4:4">
      <c r="D1951" s="170"/>
    </row>
    <row r="1952" spans="4:4">
      <c r="D1952" s="210"/>
    </row>
    <row r="1953" spans="4:4">
      <c r="D1953" s="210"/>
    </row>
    <row r="1954" spans="4:4">
      <c r="D1954" s="170"/>
    </row>
    <row r="1955" spans="4:4">
      <c r="D1955" s="170"/>
    </row>
    <row r="1956" spans="4:4">
      <c r="D1956" s="170"/>
    </row>
    <row r="1957" spans="4:4">
      <c r="D1957" s="170"/>
    </row>
    <row r="1958" spans="4:4">
      <c r="D1958" s="199"/>
    </row>
  </sheetData>
  <scenarios current="3" show="3">
    <scenario name="Increased VFA production" locked="1" count="1" user="Cormac Muldoon" comment="Created by Cormac Muldoon on 18/07/2023">
      <inputCells r="E2001" val="0.25" numFmtId="9"/>
    </scenario>
    <scenario name="Base case" locked="1" count="1" user="Cormac Muldoon" comment="Created by Cormac Muldoon on 18/07/2023">
      <inputCells r="E2001" val="0.214" numFmtId="9"/>
    </scenario>
    <scenario name="Increased PHA yield" locked="1" count="1" user="Cormac Muldoon" comment="Created by Cormac Muldoon on 18/07/2023_x000a_Modified by Cormac Muldoon on 18/07/2023">
      <inputCells r="F540" val="0.45"/>
    </scenario>
    <scenario name="increased PHA yield+increased PAP" locked="1" count="4" user="Cormac Muldoon" comment="Created by Cormac Muldoon on 18/07/2023_x000a_Modified by Cormac Muldoon on 18/07/2023_x000a_Modified by Cormac Muldoon on 21/07/2023">
      <inputCells r="F540" val="0.45"/>
      <inputCells r="F542" val="0.51"/>
      <inputCells r="F476" val="0.14" numFmtId="2"/>
      <inputCells r="E2001" val="0.25" numFmtId="9"/>
    </scenario>
    <scenario name="Reduced Fertiliser Offset" locked="1" count="1" user="Cormac Muldoon" comment="Created by Cormac Muldoon on 18/07/2023">
      <inputCells r="E1994" val="0.5"/>
    </scenario>
    <scenario name="low biogas" locked="1" count="1" user="Cormac Muldoon" comment="Created by Cormac Muldoon on 18/07/2023">
      <inputCells r="E1955" val="0.75"/>
    </scenario>
    <scenario name="HI Biogas" locked="1" count="1" user="Cormac Muldoon" comment="Created by Cormac Muldoon on 18/07/2023">
      <inputCells r="E1955" val="1.12"/>
    </scenario>
    <scenario name="HI Extraction" locked="1" count="1" user="Cormac Muldoon" comment="Created by Cormac Muldoon on 18/07/2023">
      <inputCells r="F615" val="0.9" numFmtId="9"/>
    </scenario>
    <scenario name="Lo Extraction" locked="1" count="1" user="Cormac Muldoon" comment="Created by Cormac Muldoon on 18/07/2023">
      <inputCells r="F615" val="0.6" numFmtId="9"/>
    </scenario>
    <scenario name="LO Labour" locked="1" count="1" user="Cormac Muldoon" comment="Created by Cormac Muldoon on 18/07/2023">
      <inputCells r="I1569" val="297657"/>
    </scenario>
  </scenarios>
  <mergeCells count="55">
    <mergeCell ref="P1168:T1168"/>
    <mergeCell ref="J1145:N1145"/>
    <mergeCell ref="R1160:R1162"/>
    <mergeCell ref="P1160:Q1160"/>
    <mergeCell ref="S1160:T1160"/>
    <mergeCell ref="J1153:N1153"/>
    <mergeCell ref="J1162:N1162"/>
    <mergeCell ref="P1159:T1159"/>
    <mergeCell ref="J1127:N1127"/>
    <mergeCell ref="J1104:N1104"/>
    <mergeCell ref="C1:L1"/>
    <mergeCell ref="D16:K16"/>
    <mergeCell ref="V1134:AC1134"/>
    <mergeCell ref="J1128:K1128"/>
    <mergeCell ref="M1128:N1128"/>
    <mergeCell ref="G1105:H1105"/>
    <mergeCell ref="M1078:Q1078"/>
    <mergeCell ref="G1078:K1078"/>
    <mergeCell ref="D1105:E1105"/>
    <mergeCell ref="L1105:L1117"/>
    <mergeCell ref="J1105:K1105"/>
    <mergeCell ref="M1105:N1105"/>
    <mergeCell ref="H913:L913"/>
    <mergeCell ref="H914:I914"/>
    <mergeCell ref="K922:L922"/>
    <mergeCell ref="H922:I922"/>
    <mergeCell ref="D1104:H1104"/>
    <mergeCell ref="G1060:K1060"/>
    <mergeCell ref="G1061:H1061"/>
    <mergeCell ref="J1061:K1061"/>
    <mergeCell ref="I1061:I1076"/>
    <mergeCell ref="J1079:K1079"/>
    <mergeCell ref="G1079:H1079"/>
    <mergeCell ref="I1079:I1093"/>
    <mergeCell ref="H862:I862"/>
    <mergeCell ref="J862:L862"/>
    <mergeCell ref="M862:O862"/>
    <mergeCell ref="P862:Q862"/>
    <mergeCell ref="R862:S862"/>
    <mergeCell ref="D1518:E1518"/>
    <mergeCell ref="C4:K4"/>
    <mergeCell ref="C15:K15"/>
    <mergeCell ref="C66:K66"/>
    <mergeCell ref="C94:K94"/>
    <mergeCell ref="C190:K190"/>
    <mergeCell ref="C174:K174"/>
    <mergeCell ref="C269:W269"/>
    <mergeCell ref="C707:W707"/>
    <mergeCell ref="C767:W767"/>
    <mergeCell ref="D5:K5"/>
    <mergeCell ref="D95:H95"/>
    <mergeCell ref="D1513:E1513"/>
    <mergeCell ref="D764:AH764"/>
    <mergeCell ref="D862:E862"/>
    <mergeCell ref="F862:G862"/>
  </mergeCells>
  <phoneticPr fontId="3" type="noConversion"/>
  <conditionalFormatting sqref="F18">
    <cfRule type="expression" dxfId="17" priority="11">
      <formula>E18=$BK$35</formula>
    </cfRule>
  </conditionalFormatting>
  <conditionalFormatting sqref="F20">
    <cfRule type="expression" dxfId="16" priority="9">
      <formula>E20=$BK$35</formula>
    </cfRule>
  </conditionalFormatting>
  <conditionalFormatting sqref="F22:F32">
    <cfRule type="expression" dxfId="15" priority="8">
      <formula>E22=$BK$35</formula>
    </cfRule>
  </conditionalFormatting>
  <conditionalFormatting sqref="F36:F64">
    <cfRule type="expression" dxfId="14" priority="7">
      <formula>E36=$BK$35</formula>
    </cfRule>
  </conditionalFormatting>
  <conditionalFormatting sqref="F70:F92">
    <cfRule type="expression" dxfId="13" priority="6">
      <formula>E70=$BK$35</formula>
    </cfRule>
  </conditionalFormatting>
  <conditionalFormatting sqref="F98:F114">
    <cfRule type="expression" dxfId="12" priority="5">
      <formula>E98=$BK$35</formula>
    </cfRule>
  </conditionalFormatting>
  <conditionalFormatting sqref="G195">
    <cfRule type="expression" dxfId="11" priority="4">
      <formula>E195=$BK$35</formula>
    </cfRule>
  </conditionalFormatting>
  <conditionalFormatting sqref="G197:G237">
    <cfRule type="expression" dxfId="10" priority="2">
      <formula>E197=$BK$35</formula>
    </cfRule>
  </conditionalFormatting>
  <conditionalFormatting sqref="F273:F705">
    <cfRule type="expression" dxfId="9" priority="1">
      <formula>E273=$BK$35</formula>
    </cfRule>
  </conditionalFormatting>
  <dataValidations count="29">
    <dataValidation type="list" allowBlank="1" showInputMessage="1" showErrorMessage="1" sqref="E186" xr:uid="{22E49681-3645-45E9-8008-8590BDFD5B9D}">
      <formula1>BG786:BG792</formula1>
    </dataValidation>
    <dataValidation type="list" allowBlank="1" showInputMessage="1" showErrorMessage="1" sqref="E185" xr:uid="{29EE6CAE-5D8E-4702-B144-DEB6EDE32760}">
      <formula1>BG785:BG792</formula1>
    </dataValidation>
    <dataValidation type="list" allowBlank="1" showInputMessage="1" showErrorMessage="1" sqref="E184" xr:uid="{7C9E817F-F445-4420-BCD2-7866465178E2}">
      <formula1>BG786:BG792</formula1>
    </dataValidation>
    <dataValidation type="list" allowBlank="1" showInputMessage="1" showErrorMessage="1" sqref="E182" xr:uid="{618070B4-0F00-4445-8C89-37B6D020BAFA}">
      <formula1>BG786:BG792</formula1>
    </dataValidation>
    <dataValidation type="list" allowBlank="1" showInputMessage="1" showErrorMessage="1" sqref="E180" xr:uid="{8B4B0D88-A017-44FE-A899-4E5887354285}">
      <formula1>BG786:BG792</formula1>
    </dataValidation>
    <dataValidation operator="greaterThan" allowBlank="1" showInputMessage="1" showErrorMessage="1" sqref="E1200" xr:uid="{3F5F26A9-620B-4E60-AC06-F4743C6F760C}"/>
    <dataValidation type="list" allowBlank="1" showInputMessage="1" showErrorMessage="1" sqref="E64 E705 E703 E700 E698 E696 E694 E692 E690 E688 E686 E682 E679 E677 E675 E673 E671 E667 E665 E663 E661 E659 E655 E653 E651 E647 E645 E643 E641 E639 E637 E635 E633 E631 E629 E627 E625 E623 E621 E619 E617 E615 E613 E611 E607 E605 E603 E601 E599 E597 E593 E591 E589 E587 E557 E573 E571 E555 E552 E550 E548 E546 E544 E542 E540 E538 E536 E534 E532 E528 E526 E524 E522 E520 E518 E516 E514 E512 E510 E508 E506 E504 E502 E500 E498 E496 E494 E492 E490 E488 E486 E484 E482 E480 E478 E476 E472 E470 E468 E465 E463 E461 E459 E457 E455 E453 E451 E449 E447 E445 E443 E441 E439 E437 E435 E433 E431 E429 E427 E425 E423 E421 E419 E417 E415 E413 E411 E409 E407 E405 E402 E400 E398 E396 E394 E392 E389 E387 E385 E382 E380 E378 E376 E374 E372 E370 E368 E366 E364 E362 E360 E357 E355 E353 E351 E349 E347 E344 E342 E340 E335 E333 E331 E329 E327 E325 E323 E321 E319 E317 E315 E313 E311 E309 E307 E305 E303 E301 E299 E297 E295 E293 E291 E289 E287 E285 E283 E281 E279 E277 E275 E273 E195:E237 E98:E114 E36:E62 E18:E32" xr:uid="{32706CEB-9A7E-4ACD-9307-950332020F12}">
      <formula1>$BK$35:$BK$36</formula1>
    </dataValidation>
    <dataValidation type="list" allowBlank="1" showInputMessage="1" showErrorMessage="1" sqref="F28:F29" xr:uid="{93B4F0EC-D994-4291-9214-CE386DF62118}">
      <formula1>$BJ$42:$BJ$43</formula1>
    </dataValidation>
    <dataValidation type="list" allowBlank="1" showInputMessage="1" showErrorMessage="1" sqref="E13" xr:uid="{CA9D4E5E-BC31-461B-8087-B5FBCA833B06}">
      <formula1>$AJ$19:$AJ$20</formula1>
    </dataValidation>
    <dataValidation type="list" allowBlank="1" showInputMessage="1" showErrorMessage="1" sqref="G185 F8 F10" xr:uid="{906B16CE-195A-41C8-A5F9-9EDCDD36A3DE}">
      <formula1>#REF!</formula1>
    </dataValidation>
    <dataValidation type="list" allowBlank="1" showInputMessage="1" showErrorMessage="1" sqref="F108:F109" xr:uid="{7E386BD6-3061-4BC0-B378-D792AE50BCF5}">
      <formula1>$AJ$32:$AJ$32</formula1>
    </dataValidation>
    <dataValidation type="list" allowBlank="1" showInputMessage="1" showErrorMessage="1" sqref="F100:F101" xr:uid="{77202053-A0D3-4094-93AC-F2D03FD754AD}">
      <formula1>$AO$30:$AO$34</formula1>
    </dataValidation>
    <dataValidation type="list" allowBlank="1" showInputMessage="1" showErrorMessage="1" sqref="F98:F99" xr:uid="{1FBB5443-8F21-423F-B3AB-4781C2BED5F3}">
      <formula1>$AH$32:$AH$35</formula1>
    </dataValidation>
    <dataValidation type="list" allowBlank="1" showInputMessage="1" showErrorMessage="1" sqref="E178 E188:E189" xr:uid="{847D85FB-4C5E-4835-97A2-4E687EDC4560}">
      <formula1>$BG$786:$BG$792</formula1>
    </dataValidation>
    <dataValidation type="list" allowBlank="1" showInputMessage="1" showErrorMessage="1" sqref="G180" xr:uid="{310BE536-204E-4D94-95DB-F5FA5DC1C93F}">
      <formula1>BG799:BG805</formula1>
    </dataValidation>
    <dataValidation type="list" allowBlank="1" showInputMessage="1" showErrorMessage="1" sqref="I180" xr:uid="{B5C25F68-F019-4139-999E-08A32F95654F}">
      <formula1>BG794:BG797</formula1>
    </dataValidation>
    <dataValidation type="list" allowBlank="1" showInputMessage="1" showErrorMessage="1" sqref="I186 I188:I189 I182 I184 I178" xr:uid="{33CB70DB-E9AC-45D1-9F38-955DDBCBBF36}">
      <formula1>$BG$794:$BG$797</formula1>
    </dataValidation>
    <dataValidation type="list" allowBlank="1" showInputMessage="1" showErrorMessage="1" sqref="G178" xr:uid="{1B5A0EDE-926E-40EF-ACC9-D3AC2219DC7D}">
      <formula1>$BG$799:$BG$805</formula1>
    </dataValidation>
    <dataValidation type="list" allowBlank="1" showInputMessage="1" showErrorMessage="1" sqref="G182" xr:uid="{E53D13E3-203C-4055-851D-5F2610FADDDF}">
      <formula1>BG799:BG805</formula1>
    </dataValidation>
    <dataValidation type="list" allowBlank="1" showInputMessage="1" showErrorMessage="1" sqref="G184" xr:uid="{6F9CB178-15C8-486B-9BEB-FD35932A138E}">
      <formula1>BG799:BG805</formula1>
    </dataValidation>
    <dataValidation type="list" allowBlank="1" showInputMessage="1" showErrorMessage="1" sqref="G186" xr:uid="{6E3EE2BD-BF45-4EE8-87A2-5AE11855BB70}">
      <formula1>BG799:BG805</formula1>
    </dataValidation>
    <dataValidation type="list" allowBlank="1" showInputMessage="1" showErrorMessage="1" sqref="G188:G189" xr:uid="{794D661B-FF20-48B1-A980-33942D3E2E8C}">
      <formula1>BG799:BG805</formula1>
    </dataValidation>
    <dataValidation type="decimal" allowBlank="1" showInputMessage="1" showErrorMessage="1" sqref="G7:G8" xr:uid="{A333F050-D846-4215-B4C4-8E9E66E8D15F}">
      <formula1>AG17</formula1>
      <formula2>AG16</formula2>
    </dataValidation>
    <dataValidation type="decimal" allowBlank="1" showInputMessage="1" showErrorMessage="1" sqref="G10" xr:uid="{E4F90EB8-1D44-4216-8EFD-7CBF2E6C52E1}">
      <formula1>AG19</formula1>
      <formula2>AG18</formula2>
    </dataValidation>
    <dataValidation type="list" allowBlank="1" showInputMessage="1" showErrorMessage="1" sqref="E7:E10" xr:uid="{513577A8-B7F8-44C8-96CA-5D670757C72B}">
      <formula1>$AG$36:$AG$36</formula1>
    </dataValidation>
    <dataValidation type="list" allowBlank="1" showInputMessage="1" showErrorMessage="1" sqref="F7" xr:uid="{A0C5BF82-388E-48A1-8FD6-BCC38EBA6B33}">
      <formula1>AH36:AJ36</formula1>
    </dataValidation>
    <dataValidation type="list" allowBlank="1" showInputMessage="1" showErrorMessage="1" sqref="F9" xr:uid="{6EF7FA3D-DF5C-4D9B-BFBD-F7C7DFAE2543}">
      <formula1>AH36:AJ36</formula1>
    </dataValidation>
    <dataValidation type="decimal" allowBlank="1" showInputMessage="1" showErrorMessage="1" sqref="G9" xr:uid="{07E0B3A0-0689-499E-91EB-95426493FF58}">
      <formula1>AG17</formula1>
      <formula2>AG16</formula2>
    </dataValidation>
    <dataValidation type="list" allowBlank="1" showInputMessage="1" showErrorMessage="1" sqref="I185" xr:uid="{CC135292-FC52-429E-A3CE-6F2D2D6A04F9}">
      <formula1>$BG$49:BG797</formula1>
    </dataValidation>
  </dataValidations>
  <hyperlinks>
    <hyperlink ref="G703" r:id="rId1" location="tblfn2" xr:uid="{257F1FDD-70A0-4392-9F77-4B8ED44E81A8}"/>
    <hyperlink ref="F1665" r:id="rId2" location=":~:text=The%20COD%20conversion%20factors%20were,propionate%2C%20and%20butyrate%2C%20respectively." xr:uid="{72842737-4BF8-477C-82EC-DAFF377A6CAF}"/>
    <hyperlink ref="G472" r:id="rId3" location="b0110" xr:uid="{718FE2A8-4942-47FC-9438-CE1B01739B21}"/>
    <hyperlink ref="H423" r:id="rId4" xr:uid="{58152730-F84C-49B4-B9F8-6F904A21F5B1}"/>
    <hyperlink ref="G405" r:id="rId5" xr:uid="{20011002-2986-4846-87C6-A1A3F3779C97}"/>
    <hyperlink ref="G478" r:id="rId6" xr:uid="{A046A8B7-8928-4529-95A2-4629AA90B5A7}"/>
    <hyperlink ref="G482" r:id="rId7" xr:uid="{66602051-06C0-4F5A-9B5E-ACF6756832D3}"/>
    <hyperlink ref="G508" r:id="rId8" xr:uid="{06DA371E-6D0A-45E9-82B0-C7C46C5F0DA2}"/>
    <hyperlink ref="G512" r:id="rId9" xr:uid="{74DD4E05-696A-4040-B4C1-2F22AEB7280A}"/>
    <hyperlink ref="G536" r:id="rId10" xr:uid="{C60C4183-E7FD-4D3C-A4FE-787930640BEA}"/>
    <hyperlink ref="G498" r:id="rId11" location="t0010" xr:uid="{B9D6B369-E1D3-4A39-96E2-4AB79700AF10}"/>
    <hyperlink ref="G504" r:id="rId12" xr:uid="{69B7B531-DFFE-44C5-8191-1AD7DBE507AA}"/>
    <hyperlink ref="G421" r:id="rId13" xr:uid="{E4CC9B68-DB1B-4355-8428-A7A23BAC0222}"/>
    <hyperlink ref="G407" r:id="rId14" xr:uid="{5B9860E4-D633-4298-A6D9-FC452C1A99A0}"/>
    <hyperlink ref="G538" r:id="rId15" xr:uid="{F6526835-9A82-4A42-8536-70DA10B06834}"/>
    <hyperlink ref="G441" r:id="rId16" location="fig1" xr:uid="{55AB06DB-67DB-40B1-A797-32EB4FA4E91F}"/>
    <hyperlink ref="G447" r:id="rId17" location="b0220" xr:uid="{B41C36E9-DBAF-4CF2-869D-66F8B06282F9}"/>
    <hyperlink ref="G423" r:id="rId18" xr:uid="{119A29D2-257F-4B23-B2B9-8BC154C4A505}"/>
    <hyperlink ref="G429" r:id="rId19" xr:uid="{C722A67C-0CEA-4E73-B33F-D22F8DC66D28}"/>
    <hyperlink ref="G431:G433" r:id="rId20" display="https://www.sciencedirect.com/science/article/pii/S0043135408002571?casa_token=EQHAODb5ypgAAAAA:3VX4kcsKW6KaZZYe4-R7bXrR0MsKdYq_J1dBghnzSsi9CHi31yM2eFeAMIVbfn1Zs1qmowLDdQ" xr:uid="{9F62B74B-3FBF-4012-8948-625F8F92188E}"/>
    <hyperlink ref="G425:G427" r:id="rId21" display="https://www.sciencedirect.com/science/article/pii/S0043135408002571?casa_token=EQHAODb5ypgAAAAA:3VX4kcsKW6KaZZYe4-R7bXrR0MsKdYq_J1dBghnzSsi9CHi31yM2eFeAMIVbfn1Zs1qmowLDdQ" xr:uid="{A80B1BD9-F838-44B7-A6E5-87A2B1E728F7}"/>
    <hyperlink ref="L797" r:id="rId22" xr:uid="{967A15A2-28BE-4229-A4B8-0E0B005873B4}"/>
    <hyperlink ref="J825" r:id="rId23" display="https://pumpexpress.co.uk/shop/cp160-centrifugal-pumps-medium-flow/" xr:uid="{345C7C91-7D70-4913-B95E-DB6919C1C0FB}"/>
    <hyperlink ref="J818" r:id="rId24" xr:uid="{A1B0E564-515E-4BA6-AA15-45F149876A42}"/>
    <hyperlink ref="L798" r:id="rId25" xr:uid="{37853254-F3CD-468E-A59F-2157B936FDED}"/>
    <hyperlink ref="L799" r:id="rId26" xr:uid="{14447C2C-9E9C-400F-8D3F-A5072BF278BF}"/>
    <hyperlink ref="J824" r:id="rId27" display="https://pumpexpress.co.uk/shop/cp160-centrifugal-pumps-medium-flow/" xr:uid="{FF9B45DE-6025-4CC4-9CEF-7E5C2F198F0C}"/>
    <hyperlink ref="J820" r:id="rId28" display="https://pumpexpress.co.uk/product-category/pump-types/high-flow-pumps/" xr:uid="{15E5B8FD-3A8A-4832-9A16-A258394FEE55}"/>
    <hyperlink ref="J826" r:id="rId29" display="https://pumpexpress.co.uk/shop/cp160-centrifugal-pumps-medium-flow/" xr:uid="{9948BF9A-68F0-4FEC-B2FA-BCE2F9AC835F}"/>
    <hyperlink ref="J816" r:id="rId30" display="https://pumpexpress.co.uk/shop/hf-centrifugal-pump-high-flow/" xr:uid="{A049675E-C620-4549-9FF7-D3A3B7465AB7}"/>
    <hyperlink ref="J817" r:id="rId31" display="https://pumpexpress.co.uk/shop/hf-centrifugal-pump-high-flow/" xr:uid="{0FF71868-5FD1-4A0E-AAB6-3AB7B491D9C4}"/>
    <hyperlink ref="J821" r:id="rId32" display="https://pumpexpress.co.uk/shop/hf-centrifugal-pump-high-flow/" xr:uid="{05750A0F-07B3-4E4B-861C-70046462EBD9}"/>
    <hyperlink ref="J822" r:id="rId33" display="https://pumpexpress.co.uk/shop/hf-centrifugal-pump-high-flow/" xr:uid="{C48B5B2E-F317-42B3-A9B8-2E6AEE4F3E6E}"/>
    <hyperlink ref="J823" r:id="rId34" xr:uid="{441E7583-B097-4C88-A551-19CB81D48957}"/>
    <hyperlink ref="L811" r:id="rId35" xr:uid="{4C2A069D-A8D9-44D3-B3D3-504508732EA9}"/>
    <hyperlink ref="R1238" r:id="rId36" xr:uid="{8ABB5FC3-3C07-4C51-A5C2-E5DB42D7CC19}"/>
    <hyperlink ref="P1263" r:id="rId37" xr:uid="{C27450CC-050D-475C-AE07-54699D06F6CD}"/>
    <hyperlink ref="P1529" r:id="rId38" xr:uid="{CB628F9D-6F38-4403-851A-5645821CB542}"/>
    <hyperlink ref="L1560" r:id="rId39" xr:uid="{020DA936-A4B6-4EC3-8C91-A2575F7F47D1}"/>
    <hyperlink ref="E1598" r:id="rId40" xr:uid="{D29F3D33-A676-4A9B-B645-6034E7686222}"/>
    <hyperlink ref="W727" r:id="rId41" xr:uid="{4FEF4E08-CF9F-4B2A-84D5-18FE5D688962}"/>
    <hyperlink ref="W716" r:id="rId42" xr:uid="{CDAE88D6-F031-410A-817E-B7BA397A991A}"/>
    <hyperlink ref="W710" r:id="rId43" xr:uid="{EF446B9D-9816-4D26-B6D3-ADB87BAFF4F1}"/>
    <hyperlink ref="W729" r:id="rId44" xr:uid="{EC1F11A1-7D2E-4C00-9198-A0CA0CAD44BD}"/>
    <hyperlink ref="G651" r:id="rId45" xr:uid="{2DD3CF3D-F9C9-470F-B47B-27C2ABDF8F87}"/>
    <hyperlink ref="G311" r:id="rId46" xr:uid="{CEBB079C-0EFB-47B5-9C63-90CE7984672B}"/>
  </hyperlinks>
  <pageMargins left="0.7" right="0.7" top="0.75" bottom="0.75" header="0.3" footer="0.3"/>
  <pageSetup orientation="portrait" horizontalDpi="360" verticalDpi="360" r:id="rId47"/>
  <ignoredErrors>
    <ignoredError sqref="Q1331:Q1333 Y1331:Y1333 Q1341 Q1343:Q1345 Q1348:Q1350 Q1358 Q1360:Q1362 Q1365:Q1367 V1374 V1376:V1378 V1381:V1383 G1404 Q1414 Y1414 Q1416:Q1418 Y1416:Y1418 Q1421:Q1423 Y1421:Y1423 R1433 R1435:R1437 R1440:R1442 M838 N840 N842 K1133 Q1307 X1307 Q1309:Q1311 X1309:X1311 Q1314:Q1316 X1314:X1316 Q1324 Y1324 Q1326:Q1328 Y1326:Y1328" formula="1"/>
    <ignoredError sqref="F1296" formulaRange="1"/>
  </ignoredErrors>
  <legacyDrawing r:id="rId4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B685D-4A1D-492E-84FC-D32A86ED3A02}">
  <sheetPr codeName="Sheet10"/>
  <dimension ref="B2:P66"/>
  <sheetViews>
    <sheetView zoomScale="60" zoomScaleNormal="60" workbookViewId="0">
      <selection activeCell="G26" sqref="G26"/>
    </sheetView>
  </sheetViews>
  <sheetFormatPr defaultColWidth="9.1796875" defaultRowHeight="14.5"/>
  <cols>
    <col min="1" max="1" width="9.1796875" style="5"/>
    <col min="2" max="2" width="2.6328125" style="5" customWidth="1"/>
    <col min="3" max="3" width="9.1796875" style="5" customWidth="1"/>
    <col min="4" max="4" width="22.54296875" style="5" bestFit="1" customWidth="1"/>
    <col min="5" max="5" width="18.26953125" style="5" bestFit="1" customWidth="1"/>
    <col min="6" max="6" width="15.7265625" style="5" customWidth="1"/>
    <col min="7" max="7" width="27.453125" style="5" bestFit="1" customWidth="1"/>
    <col min="8" max="8" width="18.7265625" style="5" customWidth="1"/>
    <col min="9" max="9" width="38.54296875" style="5" customWidth="1"/>
    <col min="10" max="10" width="22.7265625" style="5" bestFit="1" customWidth="1"/>
    <col min="11" max="11" width="13.7265625" style="5" bestFit="1" customWidth="1"/>
    <col min="12" max="12" width="15" style="5" bestFit="1" customWidth="1"/>
    <col min="13" max="13" width="10.81640625" style="5" bestFit="1" customWidth="1"/>
    <col min="14" max="15" width="9.1796875" style="5"/>
    <col min="16" max="16" width="2.6328125" style="5" customWidth="1"/>
    <col min="17" max="17" width="13.7265625" style="5" bestFit="1" customWidth="1"/>
    <col min="18" max="25" width="9.1796875" style="5"/>
    <col min="26" max="26" width="10.54296875" style="5" bestFit="1" customWidth="1"/>
    <col min="27" max="16384" width="9.1796875" style="5"/>
  </cols>
  <sheetData>
    <row r="2" spans="2:16">
      <c r="B2" s="4"/>
      <c r="C2" s="4"/>
      <c r="D2" s="4"/>
      <c r="E2" s="4"/>
      <c r="F2" s="4"/>
      <c r="G2" s="4"/>
      <c r="H2" s="4"/>
      <c r="I2" s="4"/>
      <c r="J2" s="4"/>
      <c r="K2" s="4"/>
      <c r="L2" s="4"/>
      <c r="M2" s="4"/>
      <c r="N2" s="4"/>
      <c r="O2" s="4"/>
      <c r="P2" s="4"/>
    </row>
    <row r="3" spans="2:16">
      <c r="B3" s="4"/>
      <c r="C3" s="325" t="s">
        <v>1684</v>
      </c>
      <c r="D3" s="325"/>
      <c r="E3" s="325"/>
      <c r="F3" s="325"/>
      <c r="G3" s="325"/>
      <c r="H3" s="325"/>
      <c r="I3" s="325"/>
      <c r="J3" s="325"/>
      <c r="K3" s="325"/>
      <c r="L3" s="325"/>
      <c r="M3" s="325"/>
      <c r="N3" s="325"/>
      <c r="O3" s="325"/>
      <c r="P3" s="4"/>
    </row>
    <row r="4" spans="2:16" ht="15" thickBot="1">
      <c r="B4" s="4"/>
      <c r="P4" s="4"/>
    </row>
    <row r="5" spans="2:16" ht="15" thickBot="1">
      <c r="B5" s="4"/>
      <c r="D5" s="6" t="s">
        <v>1608</v>
      </c>
      <c r="E5" s="7" t="s">
        <v>1609</v>
      </c>
      <c r="G5" s="6" t="s">
        <v>1607</v>
      </c>
      <c r="H5" s="28" t="s">
        <v>1122</v>
      </c>
      <c r="I5" s="7" t="s">
        <v>1426</v>
      </c>
      <c r="P5" s="4"/>
    </row>
    <row r="6" spans="2:16">
      <c r="B6" s="4"/>
      <c r="D6" s="29" t="s">
        <v>651</v>
      </c>
      <c r="E6" s="23">
        <f ca="1">'Parameter Inputs'!M1529</f>
        <v>390343.99885046342</v>
      </c>
      <c r="G6" s="29" t="s">
        <v>556</v>
      </c>
      <c r="H6" s="24">
        <f ca="1">'Parameter Inputs'!I1560</f>
        <v>1664274.8106617355</v>
      </c>
      <c r="I6" s="26">
        <f ca="1">'Parameter Inputs'!J1560</f>
        <v>2.4073181505590999</v>
      </c>
      <c r="P6" s="4"/>
    </row>
    <row r="7" spans="2:16">
      <c r="B7" s="4"/>
      <c r="D7" s="30" t="s">
        <v>652</v>
      </c>
      <c r="E7" s="24">
        <f ca="1">'Parameter Inputs'!M1530</f>
        <v>1153399.7046545669</v>
      </c>
      <c r="G7" s="30" t="s">
        <v>164</v>
      </c>
      <c r="H7" s="24">
        <f ca="1">'Parameter Inputs'!I1561</f>
        <v>124603.50819427721</v>
      </c>
      <c r="I7" s="26">
        <f ca="1">'Parameter Inputs'!J1561</f>
        <v>0.18023482959533305</v>
      </c>
      <c r="P7" s="4"/>
    </row>
    <row r="8" spans="2:16">
      <c r="B8" s="4"/>
      <c r="D8" s="30" t="s">
        <v>653</v>
      </c>
      <c r="E8" s="24">
        <f ca="1">'Parameter Inputs'!M1531</f>
        <v>2183863.4165731492</v>
      </c>
      <c r="G8" s="30" t="s">
        <v>694</v>
      </c>
      <c r="H8" s="24">
        <f ca="1">'Parameter Inputs'!I1562</f>
        <v>1872.98</v>
      </c>
      <c r="I8" s="26">
        <f ca="1">'Parameter Inputs'!J1562</f>
        <v>2.7092032642381985E-3</v>
      </c>
      <c r="P8" s="4"/>
    </row>
    <row r="9" spans="2:16">
      <c r="B9" s="4"/>
      <c r="D9" s="30" t="s">
        <v>654</v>
      </c>
      <c r="E9" s="24">
        <f ca="1">'Parameter Inputs'!M1532</f>
        <v>2582719.8447433985</v>
      </c>
      <c r="G9" s="30" t="s">
        <v>695</v>
      </c>
      <c r="H9" s="24">
        <f ca="1">'Parameter Inputs'!I1563</f>
        <v>64973.599397854981</v>
      </c>
      <c r="I9" s="26">
        <f ca="1">'Parameter Inputs'!J1563</f>
        <v>9.3982150144675203E-2</v>
      </c>
      <c r="P9" s="4"/>
    </row>
    <row r="10" spans="2:16">
      <c r="B10" s="4"/>
      <c r="D10" s="30" t="s">
        <v>655</v>
      </c>
      <c r="E10" s="24">
        <f ca="1">'Parameter Inputs'!M1533</f>
        <v>967675.91162787378</v>
      </c>
      <c r="G10" s="30" t="s">
        <v>172</v>
      </c>
      <c r="H10" s="24">
        <f ca="1">'Parameter Inputs'!I1564</f>
        <v>0</v>
      </c>
      <c r="I10" s="26">
        <f ca="1">'Parameter Inputs'!J1564</f>
        <v>0</v>
      </c>
      <c r="P10" s="4"/>
    </row>
    <row r="11" spans="2:16">
      <c r="B11" s="4"/>
      <c r="D11" s="30" t="s">
        <v>656</v>
      </c>
      <c r="E11" s="24">
        <f ca="1">'Parameter Inputs'!M1534</f>
        <v>479952.17309669207</v>
      </c>
      <c r="G11" s="30" t="s">
        <v>430</v>
      </c>
      <c r="H11" s="24">
        <f ca="1">'Parameter Inputs'!I1565</f>
        <v>0</v>
      </c>
      <c r="I11" s="26">
        <f ca="1">'Parameter Inputs'!J1565</f>
        <v>0</v>
      </c>
      <c r="P11" s="4"/>
    </row>
    <row r="12" spans="2:16">
      <c r="B12" s="4"/>
      <c r="D12" s="30" t="s">
        <v>657</v>
      </c>
      <c r="E12" s="24">
        <f ca="1">'Parameter Inputs'!M1535</f>
        <v>33349.194871277083</v>
      </c>
      <c r="G12" s="30" t="s">
        <v>435</v>
      </c>
      <c r="H12" s="24">
        <f ca="1">'Parameter Inputs'!I1566</f>
        <v>0</v>
      </c>
      <c r="I12" s="26">
        <f ca="1">'Parameter Inputs'!J1566</f>
        <v>0</v>
      </c>
      <c r="P12" s="4"/>
    </row>
    <row r="13" spans="2:16">
      <c r="B13" s="4"/>
      <c r="D13" s="30" t="s">
        <v>673</v>
      </c>
      <c r="E13" s="24">
        <f ca="1">'Parameter Inputs'!M1536</f>
        <v>211606.46920139904</v>
      </c>
      <c r="G13" s="30" t="s">
        <v>690</v>
      </c>
      <c r="H13" s="24">
        <f ca="1">'Parameter Inputs'!I1567</f>
        <v>202003.78019977917</v>
      </c>
      <c r="I13" s="26">
        <f ca="1">'Parameter Inputs'!J1567</f>
        <v>0.29219174828652589</v>
      </c>
      <c r="P13" s="4"/>
    </row>
    <row r="14" spans="2:16">
      <c r="B14" s="4"/>
      <c r="D14" s="30" t="s">
        <v>674</v>
      </c>
      <c r="E14" s="24">
        <f>'Parameter Inputs'!M1537</f>
        <v>869840.28</v>
      </c>
      <c r="G14" s="30" t="s">
        <v>982</v>
      </c>
      <c r="H14" s="24">
        <f ca="1">'Parameter Inputs'!I1568</f>
        <v>741395.29559232167</v>
      </c>
      <c r="I14" s="26">
        <f ca="1">'Parameter Inputs'!J1568</f>
        <v>1.0724036321314492</v>
      </c>
      <c r="P14" s="4"/>
    </row>
    <row r="15" spans="2:16">
      <c r="B15" s="4"/>
      <c r="D15" s="30" t="s">
        <v>675</v>
      </c>
      <c r="E15" s="24">
        <f>'Parameter Inputs'!M1538</f>
        <v>434920.14</v>
      </c>
      <c r="G15" s="30" t="s">
        <v>1133</v>
      </c>
      <c r="H15" s="24">
        <f>'Parameter Inputs'!I1569</f>
        <v>1152281.215676104</v>
      </c>
      <c r="I15" s="26">
        <f ca="1">'Parameter Inputs'!J1569</f>
        <v>1.666736447175122</v>
      </c>
      <c r="P15" s="4"/>
    </row>
    <row r="16" spans="2:16" ht="15" thickBot="1">
      <c r="B16" s="4"/>
      <c r="D16" s="30" t="s">
        <v>1438</v>
      </c>
      <c r="E16" s="24">
        <f>'Parameter Inputs'!M1539</f>
        <v>357655.13295486971</v>
      </c>
      <c r="G16" s="32" t="s">
        <v>1500</v>
      </c>
      <c r="H16" s="33">
        <f ca="1">'Parameter Inputs'!I1570</f>
        <v>177455.0198723764</v>
      </c>
      <c r="I16" s="34">
        <f ca="1">'Parameter Inputs'!J1570</f>
        <v>0.25668278310163295</v>
      </c>
      <c r="P16" s="4"/>
    </row>
    <row r="17" spans="2:16" ht="15.5" thickTop="1" thickBot="1">
      <c r="B17" s="4"/>
      <c r="D17" s="30" t="s">
        <v>679</v>
      </c>
      <c r="E17" s="24">
        <f ca="1">'Parameter Inputs'!M1540</f>
        <v>8872750.9936188199</v>
      </c>
      <c r="G17" s="31" t="s">
        <v>678</v>
      </c>
      <c r="H17" s="25">
        <f ca="1">'Parameter Inputs'!I1571</f>
        <v>4128860.2095944486</v>
      </c>
      <c r="I17" s="27">
        <f ca="1">'Parameter Inputs'!J1571</f>
        <v>5.9722589442580762</v>
      </c>
      <c r="P17" s="4"/>
    </row>
    <row r="18" spans="2:16">
      <c r="B18" s="4"/>
      <c r="D18" s="30" t="s">
        <v>680</v>
      </c>
      <c r="E18" s="24">
        <f ca="1">'Parameter Inputs'!G1541</f>
        <v>1330912.6490428229</v>
      </c>
      <c r="P18" s="4"/>
    </row>
    <row r="19" spans="2:16">
      <c r="B19" s="4"/>
      <c r="D19" s="30" t="s">
        <v>681</v>
      </c>
      <c r="E19" s="24">
        <f ca="1">'Parameter Inputs'!G1542</f>
        <v>2218187.748404705</v>
      </c>
      <c r="P19" s="4"/>
    </row>
    <row r="20" spans="2:16">
      <c r="B20" s="4"/>
      <c r="D20" s="30" t="s">
        <v>682</v>
      </c>
      <c r="E20" s="24">
        <f ca="1">'Parameter Inputs'!G1543</f>
        <v>887275.09936188208</v>
      </c>
      <c r="P20" s="4"/>
    </row>
    <row r="21" spans="2:16">
      <c r="B21" s="4"/>
      <c r="D21" s="30" t="s">
        <v>683</v>
      </c>
      <c r="E21" s="24">
        <f ca="1">'Parameter Inputs'!G1544</f>
        <v>3016735.3378303992</v>
      </c>
      <c r="P21" s="4"/>
    </row>
    <row r="22" spans="2:16">
      <c r="B22" s="4"/>
      <c r="D22" s="30" t="s">
        <v>684</v>
      </c>
      <c r="E22" s="24">
        <f ca="1">'Parameter Inputs'!G1545</f>
        <v>1064730.1192342583</v>
      </c>
      <c r="P22" s="4"/>
    </row>
    <row r="23" spans="2:16">
      <c r="B23" s="4"/>
      <c r="D23" s="30" t="s">
        <v>688</v>
      </c>
      <c r="E23" s="24">
        <f ca="1">'Parameter Inputs'!G1546</f>
        <v>9937481.1128530782</v>
      </c>
      <c r="P23" s="4"/>
    </row>
    <row r="24" spans="2:16" ht="15" thickBot="1">
      <c r="B24" s="4"/>
      <c r="D24" s="32" t="s">
        <v>685</v>
      </c>
      <c r="E24" s="33">
        <f ca="1">'Parameter Inputs'!G1547</f>
        <v>49687.405564265391</v>
      </c>
      <c r="P24" s="4"/>
    </row>
    <row r="25" spans="2:16" ht="15" thickTop="1">
      <c r="B25" s="4"/>
      <c r="D25" s="30" t="s">
        <v>1121</v>
      </c>
      <c r="E25" s="24">
        <f ca="1">'Parameter Inputs'!G1548</f>
        <v>9987168.5184173435</v>
      </c>
      <c r="P25" s="4"/>
    </row>
    <row r="26" spans="2:16">
      <c r="B26" s="4"/>
      <c r="D26" s="30" t="s">
        <v>1372</v>
      </c>
      <c r="E26" s="24">
        <f>'Parameter Inputs'!G1549</f>
        <v>4.1000000000000002E-2</v>
      </c>
      <c r="P26" s="4"/>
    </row>
    <row r="27" spans="2:16" ht="15" thickBot="1">
      <c r="B27" s="4"/>
      <c r="D27" s="31" t="s">
        <v>1122</v>
      </c>
      <c r="E27" s="25">
        <f ca="1">'Parameter Inputs'!G1550</f>
        <v>741395.29559232167</v>
      </c>
      <c r="P27" s="4"/>
    </row>
    <row r="28" spans="2:16">
      <c r="B28" s="4"/>
      <c r="P28" s="4"/>
    </row>
    <row r="29" spans="2:16">
      <c r="B29" s="4"/>
      <c r="C29" s="325" t="s">
        <v>1675</v>
      </c>
      <c r="D29" s="325"/>
      <c r="E29" s="325"/>
      <c r="F29" s="325"/>
      <c r="G29" s="325"/>
      <c r="H29" s="325"/>
      <c r="I29" s="325"/>
      <c r="J29" s="325"/>
      <c r="K29" s="325"/>
      <c r="L29" s="325"/>
      <c r="M29" s="325"/>
      <c r="N29" s="325"/>
      <c r="O29" s="325"/>
      <c r="P29" s="4"/>
    </row>
    <row r="30" spans="2:16">
      <c r="B30" s="4"/>
      <c r="P30" s="4"/>
    </row>
    <row r="31" spans="2:16">
      <c r="B31" s="4"/>
      <c r="P31" s="4"/>
    </row>
    <row r="32" spans="2:16">
      <c r="B32" s="4"/>
      <c r="P32" s="4"/>
    </row>
    <row r="33" spans="2:16">
      <c r="B33" s="4"/>
      <c r="P33" s="4"/>
    </row>
    <row r="34" spans="2:16">
      <c r="B34" s="4"/>
      <c r="P34" s="4"/>
    </row>
    <row r="35" spans="2:16">
      <c r="B35" s="4"/>
      <c r="P35" s="4"/>
    </row>
    <row r="36" spans="2:16">
      <c r="B36" s="4"/>
      <c r="P36" s="4"/>
    </row>
    <row r="37" spans="2:16">
      <c r="B37" s="4"/>
      <c r="P37" s="4"/>
    </row>
    <row r="38" spans="2:16">
      <c r="B38" s="4"/>
      <c r="P38" s="4"/>
    </row>
    <row r="39" spans="2:16">
      <c r="B39" s="4"/>
      <c r="P39" s="4"/>
    </row>
    <row r="40" spans="2:16">
      <c r="B40" s="4"/>
      <c r="P40" s="4"/>
    </row>
    <row r="41" spans="2:16">
      <c r="B41" s="4"/>
      <c r="P41" s="4"/>
    </row>
    <row r="42" spans="2:16">
      <c r="B42" s="4"/>
      <c r="P42" s="4"/>
    </row>
    <row r="43" spans="2:16">
      <c r="B43" s="4"/>
      <c r="P43" s="4"/>
    </row>
    <row r="44" spans="2:16">
      <c r="B44" s="4"/>
      <c r="P44" s="4"/>
    </row>
    <row r="45" spans="2:16">
      <c r="B45" s="4"/>
      <c r="P45" s="4"/>
    </row>
    <row r="46" spans="2:16">
      <c r="B46" s="4"/>
      <c r="P46" s="4"/>
    </row>
    <row r="47" spans="2:16">
      <c r="B47" s="4"/>
      <c r="P47" s="4"/>
    </row>
    <row r="48" spans="2:16">
      <c r="B48" s="4"/>
      <c r="P48" s="4"/>
    </row>
    <row r="49" spans="2:16">
      <c r="B49" s="4"/>
      <c r="P49" s="4"/>
    </row>
    <row r="50" spans="2:16">
      <c r="B50" s="4"/>
      <c r="P50" s="4"/>
    </row>
    <row r="51" spans="2:16">
      <c r="B51" s="4"/>
      <c r="P51" s="4"/>
    </row>
    <row r="52" spans="2:16">
      <c r="B52" s="4"/>
      <c r="P52" s="4"/>
    </row>
    <row r="53" spans="2:16">
      <c r="B53" s="4"/>
      <c r="P53" s="4"/>
    </row>
    <row r="54" spans="2:16">
      <c r="B54" s="4"/>
      <c r="P54" s="4"/>
    </row>
    <row r="55" spans="2:16">
      <c r="B55" s="4"/>
      <c r="P55" s="4"/>
    </row>
    <row r="56" spans="2:16">
      <c r="B56" s="4"/>
      <c r="P56" s="4"/>
    </row>
    <row r="57" spans="2:16">
      <c r="B57" s="4"/>
      <c r="P57" s="4"/>
    </row>
    <row r="58" spans="2:16">
      <c r="B58" s="4"/>
      <c r="P58" s="4"/>
    </row>
    <row r="59" spans="2:16">
      <c r="B59" s="4"/>
      <c r="P59" s="4"/>
    </row>
    <row r="60" spans="2:16">
      <c r="B60" s="4"/>
      <c r="P60" s="4"/>
    </row>
    <row r="61" spans="2:16">
      <c r="B61" s="4"/>
      <c r="P61" s="4"/>
    </row>
    <row r="62" spans="2:16">
      <c r="B62" s="4"/>
      <c r="P62" s="4"/>
    </row>
    <row r="63" spans="2:16">
      <c r="B63" s="4"/>
      <c r="P63" s="4"/>
    </row>
    <row r="64" spans="2:16">
      <c r="B64" s="4"/>
      <c r="P64" s="4"/>
    </row>
    <row r="65" spans="2:16">
      <c r="B65" s="4"/>
      <c r="P65" s="4"/>
    </row>
    <row r="66" spans="2:16">
      <c r="B66" s="4"/>
      <c r="C66" s="4"/>
      <c r="D66" s="4"/>
      <c r="E66" s="4"/>
      <c r="F66" s="4"/>
      <c r="G66" s="4"/>
      <c r="H66" s="4"/>
      <c r="I66" s="4"/>
      <c r="J66" s="4"/>
      <c r="K66" s="4"/>
      <c r="L66" s="4"/>
      <c r="M66" s="4"/>
      <c r="N66" s="4"/>
      <c r="O66" s="4"/>
      <c r="P66" s="4"/>
    </row>
  </sheetData>
  <sortState xmlns:xlrd2="http://schemas.microsoft.com/office/spreadsheetml/2017/richdata2" ref="Y8:AA24">
    <sortCondition descending="1" ref="AA8:AA24"/>
  </sortState>
  <mergeCells count="2">
    <mergeCell ref="C3:O3"/>
    <mergeCell ref="C29:O29"/>
  </mergeCells>
  <pageMargins left="0.7" right="0.7" top="0.75" bottom="0.75" header="0.3" footer="0.3"/>
  <pageSetup orientation="portrait"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5C6A3-B9C7-48CA-A0C7-FF0317B60920}">
  <sheetPr codeName="Sheet9"/>
  <dimension ref="B2:G65"/>
  <sheetViews>
    <sheetView zoomScaleNormal="100" workbookViewId="0">
      <selection activeCell="A14" sqref="A14:XFD14"/>
    </sheetView>
  </sheetViews>
  <sheetFormatPr defaultRowHeight="14.5"/>
  <cols>
    <col min="1" max="1" width="8.7265625" style="5"/>
    <col min="2" max="2" width="2.6328125" style="5" customWidth="1"/>
    <col min="3" max="3" width="9.1796875" style="5" customWidth="1"/>
    <col min="4" max="4" width="38.26953125" style="5" bestFit="1" customWidth="1"/>
    <col min="5" max="5" width="31.1796875" style="5" bestFit="1" customWidth="1"/>
    <col min="6" max="6" width="21.26953125" style="5" customWidth="1"/>
    <col min="7" max="8" width="2.6328125" style="5" customWidth="1"/>
    <col min="9" max="9" width="22.7265625" style="5" customWidth="1"/>
    <col min="10" max="10" width="20.1796875" style="5" bestFit="1" customWidth="1"/>
    <col min="11" max="11" width="32" style="5" customWidth="1"/>
    <col min="12" max="12" width="32.453125" style="5" customWidth="1"/>
    <col min="13" max="13" width="16.81640625" style="5" bestFit="1" customWidth="1"/>
    <col min="14" max="14" width="30.26953125" style="5" bestFit="1" customWidth="1"/>
    <col min="15" max="15" width="22.54296875" style="5" bestFit="1" customWidth="1"/>
    <col min="16" max="21" width="22.54296875" style="5" customWidth="1"/>
    <col min="22" max="22" width="31.54296875" style="5" bestFit="1" customWidth="1"/>
    <col min="23" max="23" width="31.54296875" style="5" customWidth="1"/>
    <col min="24" max="26" width="22.54296875" style="5" customWidth="1"/>
    <col min="27" max="27" width="24.54296875" style="5" customWidth="1"/>
    <col min="28" max="28" width="23.7265625" style="5" customWidth="1"/>
    <col min="29" max="29" width="29.453125" style="5" customWidth="1"/>
    <col min="30" max="30" width="16.453125" style="5" customWidth="1"/>
    <col min="31" max="31" width="53.453125" style="5" bestFit="1" customWidth="1"/>
    <col min="32" max="32" width="17.81640625" style="5" bestFit="1" customWidth="1"/>
    <col min="33" max="33" width="21.26953125" style="5" bestFit="1" customWidth="1"/>
    <col min="34" max="34" width="39.81640625" style="5" bestFit="1" customWidth="1"/>
    <col min="35" max="35" width="49.453125" style="5" bestFit="1" customWidth="1"/>
    <col min="36" max="36" width="52.7265625" style="5" bestFit="1" customWidth="1"/>
    <col min="37" max="37" width="47.7265625" style="5" bestFit="1" customWidth="1"/>
    <col min="38" max="38" width="46.7265625" style="5" bestFit="1" customWidth="1"/>
    <col min="39" max="39" width="47.1796875" style="5" bestFit="1" customWidth="1"/>
    <col min="40" max="40" width="47.453125" style="5" bestFit="1" customWidth="1"/>
    <col min="41" max="41" width="43.81640625" style="5" bestFit="1" customWidth="1"/>
    <col min="42" max="42" width="43.7265625" style="5" bestFit="1" customWidth="1"/>
    <col min="43" max="43" width="45.54296875" style="5" bestFit="1" customWidth="1"/>
    <col min="44" max="44" width="50.1796875" style="5" bestFit="1" customWidth="1"/>
    <col min="45" max="45" width="55.7265625" style="5" bestFit="1" customWidth="1"/>
    <col min="46" max="46" width="65.81640625" style="5" bestFit="1" customWidth="1"/>
    <col min="47" max="47" width="69.54296875" style="5" bestFit="1" customWidth="1"/>
    <col min="48" max="53" width="8.7265625" style="5"/>
    <col min="54" max="54" width="26.1796875" style="5" bestFit="1" customWidth="1"/>
    <col min="55" max="57" width="8.7265625" style="5"/>
    <col min="58" max="58" width="72.81640625" style="5" bestFit="1" customWidth="1"/>
    <col min="59" max="64" width="8.7265625" style="5"/>
    <col min="65" max="65" width="21" style="5" bestFit="1" customWidth="1"/>
    <col min="66" max="69" width="8.7265625" style="5"/>
    <col min="70" max="70" width="10.81640625" style="5" bestFit="1" customWidth="1"/>
    <col min="71" max="16384" width="8.7265625" style="5"/>
  </cols>
  <sheetData>
    <row r="2" spans="2:7">
      <c r="B2" s="4"/>
      <c r="C2" s="4"/>
      <c r="D2" s="4"/>
      <c r="E2" s="4"/>
      <c r="F2" s="4"/>
      <c r="G2" s="4"/>
    </row>
    <row r="3" spans="2:7">
      <c r="B3" s="4"/>
      <c r="C3" s="325" t="s">
        <v>1685</v>
      </c>
      <c r="D3" s="325"/>
      <c r="E3" s="325"/>
      <c r="F3" s="325"/>
      <c r="G3" s="4"/>
    </row>
    <row r="4" spans="2:7">
      <c r="B4" s="4"/>
      <c r="G4" s="4"/>
    </row>
    <row r="5" spans="2:7">
      <c r="B5" s="4"/>
      <c r="D5" s="8" t="str">
        <f>'Parameter Inputs'!D785</f>
        <v>Tank</v>
      </c>
      <c r="E5" s="17" t="str">
        <f>'Parameter Inputs'!E785</f>
        <v>Max Q (m^3/d)</v>
      </c>
      <c r="G5" s="4"/>
    </row>
    <row r="6" spans="2:7">
      <c r="B6" s="4"/>
      <c r="D6" s="14" t="str">
        <f>'Parameter Inputs'!D786</f>
        <v>Acidogenic Fermentation Reactor</v>
      </c>
      <c r="E6" s="79">
        <f ca="1">'Parameter Inputs'!E786</f>
        <v>1247.6965896061465</v>
      </c>
      <c r="G6" s="4"/>
    </row>
    <row r="7" spans="2:7">
      <c r="B7" s="4"/>
      <c r="D7" s="14" t="str">
        <f>'Parameter Inputs'!D787</f>
        <v>Enrichment</v>
      </c>
      <c r="E7" s="79">
        <f ca="1">'Parameter Inputs'!E787</f>
        <v>409.52294533443421</v>
      </c>
      <c r="G7" s="4"/>
    </row>
    <row r="8" spans="2:7">
      <c r="B8" s="4"/>
      <c r="D8" s="14" t="str">
        <f>'Parameter Inputs'!D788</f>
        <v>Accumulation</v>
      </c>
      <c r="E8" s="79">
        <f ca="1">'Parameter Inputs'!E788</f>
        <v>1015.5656733318957</v>
      </c>
      <c r="G8" s="4"/>
    </row>
    <row r="9" spans="2:7">
      <c r="B9" s="4"/>
      <c r="D9" s="14" t="str">
        <f>'Parameter Inputs'!D789</f>
        <v>Feed Vessel</v>
      </c>
      <c r="E9" s="79">
        <f ca="1">'Parameter Inputs'!E789</f>
        <v>1247.6965896061465</v>
      </c>
      <c r="G9" s="4"/>
    </row>
    <row r="10" spans="2:7">
      <c r="B10" s="4"/>
      <c r="D10" s="14" t="str">
        <f>'Parameter Inputs'!D790</f>
        <v>Extraction Vessel</v>
      </c>
      <c r="E10" s="79">
        <f ca="1">'Parameter Inputs'!E790</f>
        <v>134.34508428198296</v>
      </c>
      <c r="G10" s="4"/>
    </row>
    <row r="11" spans="2:7">
      <c r="B11" s="4"/>
      <c r="D11" s="14" t="str">
        <f>'Parameter Inputs'!D791</f>
        <v>Total Vessel Impact</v>
      </c>
      <c r="E11" s="79">
        <f>'Parameter Inputs'!E791</f>
        <v>0</v>
      </c>
      <c r="G11" s="4"/>
    </row>
    <row r="12" spans="2:7">
      <c r="B12" s="4"/>
      <c r="D12" s="14" t="str">
        <f>'Parameter Inputs'!D792</f>
        <v>Anaerobic Digestor</v>
      </c>
      <c r="E12" s="79">
        <f ca="1">'Parameter Inputs'!E792</f>
        <v>25.283801978745334</v>
      </c>
      <c r="G12" s="4"/>
    </row>
    <row r="13" spans="2:7">
      <c r="B13" s="4"/>
      <c r="D13" s="15" t="str">
        <f>'Parameter Inputs'!D793</f>
        <v>Thermal Hydrolysis Tank</v>
      </c>
      <c r="E13" s="80">
        <f ca="1">'Parameter Inputs'!E793</f>
        <v>25.283801978745334</v>
      </c>
      <c r="G13" s="4"/>
    </row>
    <row r="14" spans="2:7">
      <c r="B14" s="4"/>
      <c r="G14" s="4"/>
    </row>
    <row r="15" spans="2:7" s="97" customFormat="1">
      <c r="B15" s="40"/>
      <c r="D15" s="8" t="str">
        <f>'Parameter Inputs'!D796</f>
        <v>Centrifuge</v>
      </c>
      <c r="E15" s="17" t="str">
        <f>'Parameter Inputs'!E796</f>
        <v>Capacity (m^3/h)</v>
      </c>
      <c r="G15" s="40"/>
    </row>
    <row r="16" spans="2:7">
      <c r="B16" s="4"/>
      <c r="D16" s="14" t="str">
        <f>'Parameter Inputs'!D797</f>
        <v>Centrifuge1</v>
      </c>
      <c r="E16" s="79">
        <f ca="1">'Parameter Inputs'!E797</f>
        <v>56.699593765212192</v>
      </c>
      <c r="G16" s="4"/>
    </row>
    <row r="17" spans="2:7">
      <c r="B17" s="4"/>
      <c r="D17" s="14" t="str">
        <f>'Parameter Inputs'!D798</f>
        <v>Centrifuge 2</v>
      </c>
      <c r="E17" s="79">
        <f ca="1">'Parameter Inputs'!E798</f>
        <v>42.315236388828986</v>
      </c>
      <c r="G17" s="4"/>
    </row>
    <row r="18" spans="2:7">
      <c r="B18" s="4"/>
      <c r="D18" s="14" t="str">
        <f>'Parameter Inputs'!D799</f>
        <v>Centrifuge 3</v>
      </c>
      <c r="E18" s="79">
        <f ca="1">'Parameter Inputs'!E799</f>
        <v>6.7172542140991549</v>
      </c>
      <c r="G18" s="4"/>
    </row>
    <row r="19" spans="2:7">
      <c r="B19" s="4"/>
      <c r="D19" s="15" t="str">
        <f>'Parameter Inputs'!D800</f>
        <v>Total Impact</v>
      </c>
      <c r="E19" s="80">
        <f>'Parameter Inputs'!E800</f>
        <v>0</v>
      </c>
      <c r="G19" s="4"/>
    </row>
    <row r="20" spans="2:7">
      <c r="B20" s="4"/>
      <c r="G20" s="4"/>
    </row>
    <row r="21" spans="2:7">
      <c r="B21" s="4"/>
      <c r="D21" s="8" t="str">
        <f>'Parameter Inputs'!D802</f>
        <v>Dryer</v>
      </c>
      <c r="E21" s="17" t="str">
        <f>'Parameter Inputs'!E802</f>
        <v>Required Capacity (kg Vapor/h</v>
      </c>
      <c r="G21" s="4"/>
    </row>
    <row r="22" spans="2:7">
      <c r="B22" s="4"/>
      <c r="D22" s="15" t="str">
        <f>'Parameter Inputs'!D803</f>
        <v>Dryer</v>
      </c>
      <c r="E22" s="80">
        <f ca="1">'Parameter Inputs'!E803</f>
        <v>534.78139948557248</v>
      </c>
      <c r="G22" s="4"/>
    </row>
    <row r="23" spans="2:7">
      <c r="B23" s="4"/>
      <c r="G23" s="4"/>
    </row>
    <row r="24" spans="2:7">
      <c r="B24" s="4"/>
      <c r="D24" s="8" t="str">
        <f>'Parameter Inputs'!D805</f>
        <v>Compounding</v>
      </c>
      <c r="E24" s="17" t="s">
        <v>668</v>
      </c>
      <c r="G24" s="4"/>
    </row>
    <row r="25" spans="2:7">
      <c r="B25" s="4"/>
      <c r="D25" s="15" t="str">
        <f>'Parameter Inputs'!D806</f>
        <v>Compunder</v>
      </c>
      <c r="E25" s="22">
        <f>'Parameter Inputs'!E806</f>
        <v>0</v>
      </c>
      <c r="G25" s="4"/>
    </row>
    <row r="26" spans="2:7">
      <c r="B26" s="4"/>
      <c r="G26" s="4"/>
    </row>
    <row r="27" spans="2:7">
      <c r="B27" s="4"/>
      <c r="D27" s="8" t="str">
        <f>'Parameter Inputs'!D810</f>
        <v>Evaporator</v>
      </c>
      <c r="E27" s="17" t="str">
        <f>'Parameter Inputs'!E810</f>
        <v>Required Capacity (kg DMC Evap/h)</v>
      </c>
      <c r="G27" s="4"/>
    </row>
    <row r="28" spans="2:7">
      <c r="B28" s="4"/>
      <c r="D28" s="14" t="str">
        <f>'Parameter Inputs'!D811</f>
        <v>Evaporator 1 (kg vapour/hour)</v>
      </c>
      <c r="E28" s="79">
        <f ca="1">'Parameter Inputs'!E811</f>
        <v>6617.4962717655699</v>
      </c>
      <c r="G28" s="4"/>
    </row>
    <row r="29" spans="2:7">
      <c r="B29" s="4"/>
      <c r="D29" s="14" t="str">
        <f>'Parameter Inputs'!D812</f>
        <v>Evaporator 2 (kg vapour/hour)</v>
      </c>
      <c r="E29" s="79">
        <f ca="1">'Parameter Inputs'!E812</f>
        <v>211.31138306713083</v>
      </c>
      <c r="G29" s="4"/>
    </row>
    <row r="30" spans="2:7">
      <c r="B30" s="4"/>
      <c r="D30" s="15" t="str">
        <f>'Parameter Inputs'!D813</f>
        <v>Total Impact</v>
      </c>
      <c r="E30" s="80">
        <f>'Parameter Inputs'!E813</f>
        <v>0</v>
      </c>
      <c r="G30" s="4"/>
    </row>
    <row r="31" spans="2:7">
      <c r="B31" s="4"/>
      <c r="G31" s="4"/>
    </row>
    <row r="32" spans="2:7">
      <c r="B32" s="4"/>
      <c r="D32" s="8" t="str">
        <f>'Parameter Inputs'!D815</f>
        <v>Pumps</v>
      </c>
      <c r="E32" s="17" t="str">
        <f>'Parameter Inputs'!E815</f>
        <v>Required capacity (m^3/h)</v>
      </c>
      <c r="G32" s="4"/>
    </row>
    <row r="33" spans="2:7">
      <c r="B33" s="4"/>
      <c r="D33" s="14" t="str">
        <f>'Parameter Inputs'!D816</f>
        <v>AF reactor pump oulet to centrifuge</v>
      </c>
      <c r="E33" s="79">
        <f ca="1">'Parameter Inputs'!E816</f>
        <v>56.699593765212192</v>
      </c>
      <c r="G33" s="4"/>
    </row>
    <row r="34" spans="2:7">
      <c r="B34" s="4"/>
      <c r="D34" s="14" t="str">
        <f>'Parameter Inputs'!D817</f>
        <v>Storage tank pump from centrifuge</v>
      </c>
      <c r="E34" s="79">
        <f ca="1">'Parameter Inputs'!E817</f>
        <v>56.699593765212192</v>
      </c>
      <c r="G34" s="4"/>
    </row>
    <row r="35" spans="2:7">
      <c r="B35" s="4"/>
      <c r="D35" s="14" t="str">
        <f>'Parameter Inputs'!D818</f>
        <v>Enrichment tank pump inlet</v>
      </c>
      <c r="E35" s="79">
        <f ca="1">'Parameter Inputs'!E818</f>
        <v>178.5637976453867</v>
      </c>
      <c r="G35" s="4"/>
    </row>
    <row r="36" spans="2:7">
      <c r="B36" s="4"/>
      <c r="D36" s="14" t="str">
        <f>'Parameter Inputs'!D819</f>
        <v>Enrichment tank effluent pump</v>
      </c>
      <c r="E36" s="79">
        <f ca="1">'Parameter Inputs'!E819</f>
        <v>152.35228621072702</v>
      </c>
      <c r="G36" s="4"/>
    </row>
    <row r="37" spans="2:7">
      <c r="B37" s="4"/>
      <c r="D37" s="14" t="str">
        <f>'Parameter Inputs'!D820</f>
        <v>Enrichment tank sludge pump to acc</v>
      </c>
      <c r="E37" s="79">
        <f ca="1">'Parameter Inputs'!E820</f>
        <v>30.530046935683806</v>
      </c>
      <c r="G37" s="4"/>
    </row>
    <row r="38" spans="2:7">
      <c r="B38" s="4"/>
      <c r="D38" s="14" t="str">
        <f>'Parameter Inputs'!D821</f>
        <v>ACC pump inlet</v>
      </c>
      <c r="E38" s="79">
        <f ca="1">'Parameter Inputs'!E821</f>
        <v>54.462857858657394</v>
      </c>
      <c r="G38" s="4"/>
    </row>
    <row r="39" spans="2:7">
      <c r="B39" s="4"/>
      <c r="D39" s="14" t="str">
        <f>'Parameter Inputs'!D822</f>
        <v>ACC pump outlet to centrifuge</v>
      </c>
      <c r="E39" s="79">
        <f ca="1">'Parameter Inputs'!E822</f>
        <v>42.315236388828986</v>
      </c>
      <c r="G39" s="4"/>
    </row>
    <row r="40" spans="2:7">
      <c r="B40" s="4"/>
      <c r="D40" s="14" t="str">
        <f>'Parameter Inputs'!D823</f>
        <v>Cen to Dryer</v>
      </c>
      <c r="E40" s="79">
        <f ca="1">'Parameter Inputs'!E823</f>
        <v>42.315236388828986</v>
      </c>
      <c r="G40" s="4"/>
    </row>
    <row r="41" spans="2:7">
      <c r="B41" s="4"/>
      <c r="D41" s="14" t="str">
        <f>'Parameter Inputs'!D824</f>
        <v>EXT to CEN</v>
      </c>
      <c r="E41" s="79">
        <f ca="1">'Parameter Inputs'!E824</f>
        <v>6.7172542140991549</v>
      </c>
      <c r="G41" s="4"/>
    </row>
    <row r="42" spans="2:7">
      <c r="B42" s="4"/>
      <c r="D42" s="14" t="str">
        <f>'Parameter Inputs'!D825</f>
        <v>CEN to EVAP 1 and 2</v>
      </c>
      <c r="E42" s="79">
        <f ca="1">'Parameter Inputs'!E825</f>
        <v>6.7172542140991549</v>
      </c>
      <c r="G42" s="4"/>
    </row>
    <row r="43" spans="2:7">
      <c r="B43" s="4"/>
      <c r="D43" s="14" t="str">
        <f>'Parameter Inputs'!D826</f>
        <v>CEN to Evap 3</v>
      </c>
      <c r="E43" s="79">
        <f ca="1">'Parameter Inputs'!E826</f>
        <v>0.47020779498693999</v>
      </c>
      <c r="G43" s="4"/>
    </row>
    <row r="44" spans="2:7">
      <c r="B44" s="4"/>
      <c r="D44" s="15" t="str">
        <f>'Parameter Inputs'!D827</f>
        <v>total Impact</v>
      </c>
      <c r="E44" s="80">
        <f>'Parameter Inputs'!E827</f>
        <v>0</v>
      </c>
      <c r="G44" s="4"/>
    </row>
    <row r="45" spans="2:7">
      <c r="B45" s="4"/>
      <c r="G45" s="4"/>
    </row>
    <row r="46" spans="2:7">
      <c r="B46" s="4"/>
      <c r="D46" s="8" t="str">
        <f>'Parameter Inputs'!D830</f>
        <v>Pipes</v>
      </c>
      <c r="E46" s="17" t="str">
        <f>'Parameter Inputs'!E830</f>
        <v>Length</v>
      </c>
      <c r="G46" s="4"/>
    </row>
    <row r="47" spans="2:7">
      <c r="B47" s="4"/>
      <c r="D47" s="14" t="str">
        <f>'Parameter Inputs'!D831</f>
        <v>AF 1 to centrifuge (m)</v>
      </c>
      <c r="E47" s="79">
        <f>'Parameter Inputs'!E831</f>
        <v>20.8</v>
      </c>
      <c r="G47" s="4"/>
    </row>
    <row r="48" spans="2:7">
      <c r="B48" s="4"/>
      <c r="D48" s="14" t="str">
        <f>'Parameter Inputs'!D832</f>
        <v>AF 2 to centrifuge</v>
      </c>
      <c r="E48" s="79">
        <f>'Parameter Inputs'!E832</f>
        <v>20.8</v>
      </c>
      <c r="G48" s="4"/>
    </row>
    <row r="49" spans="2:7">
      <c r="B49" s="4"/>
      <c r="D49" s="14" t="str">
        <f>'Parameter Inputs'!D833</f>
        <v>AF 3 to Centrifuge</v>
      </c>
      <c r="E49" s="79">
        <f>'Parameter Inputs'!E833</f>
        <v>4.45</v>
      </c>
      <c r="G49" s="4"/>
    </row>
    <row r="50" spans="2:7">
      <c r="B50" s="4"/>
      <c r="D50" s="14" t="str">
        <f>'Parameter Inputs'!D834</f>
        <v>AF 4 To centrifuge</v>
      </c>
      <c r="E50" s="79">
        <f>'Parameter Inputs'!E834</f>
        <v>20.8</v>
      </c>
      <c r="G50" s="4"/>
    </row>
    <row r="51" spans="2:7">
      <c r="B51" s="4"/>
      <c r="D51" s="14" t="str">
        <f>'Parameter Inputs'!D835</f>
        <v>AF 5 To centrifuge</v>
      </c>
      <c r="E51" s="79">
        <f>'Parameter Inputs'!E835</f>
        <v>20.8</v>
      </c>
      <c r="G51" s="4"/>
    </row>
    <row r="52" spans="2:7">
      <c r="B52" s="4"/>
      <c r="D52" s="14" t="str">
        <f>'Parameter Inputs'!D836</f>
        <v>centrifuge to Storage</v>
      </c>
      <c r="E52" s="79">
        <f>'Parameter Inputs'!E836</f>
        <v>2.1</v>
      </c>
      <c r="G52" s="4"/>
    </row>
    <row r="53" spans="2:7">
      <c r="B53" s="4"/>
      <c r="D53" s="14" t="str">
        <f>'Parameter Inputs'!D837</f>
        <v xml:space="preserve">Storage to ENR </v>
      </c>
      <c r="E53" s="79">
        <f>'Parameter Inputs'!E837</f>
        <v>9.3000000000000007</v>
      </c>
      <c r="G53" s="4"/>
    </row>
    <row r="54" spans="2:7">
      <c r="B54" s="4"/>
      <c r="D54" s="14" t="str">
        <f>'Parameter Inputs'!D838</f>
        <v>Storage to ACC</v>
      </c>
      <c r="E54" s="79">
        <f>'Parameter Inputs'!E838</f>
        <v>9.3000000000000007</v>
      </c>
      <c r="G54" s="4"/>
    </row>
    <row r="55" spans="2:7">
      <c r="B55" s="4"/>
      <c r="D55" s="14" t="str">
        <f>'Parameter Inputs'!D839</f>
        <v>EN to ACC</v>
      </c>
      <c r="E55" s="79">
        <f>'Parameter Inputs'!E839</f>
        <v>2</v>
      </c>
      <c r="G55" s="4"/>
    </row>
    <row r="56" spans="2:7">
      <c r="B56" s="4"/>
      <c r="D56" s="14" t="str">
        <f>'Parameter Inputs'!D840</f>
        <v>ACC to cent</v>
      </c>
      <c r="E56" s="79">
        <f>'Parameter Inputs'!E840</f>
        <v>1.2</v>
      </c>
      <c r="G56" s="4"/>
    </row>
    <row r="57" spans="2:7">
      <c r="B57" s="4"/>
      <c r="D57" s="14" t="str">
        <f>'Parameter Inputs'!D841</f>
        <v>CEN to dryer</v>
      </c>
      <c r="E57" s="79">
        <f>'Parameter Inputs'!E841</f>
        <v>3.6</v>
      </c>
      <c r="G57" s="4"/>
    </row>
    <row r="58" spans="2:7">
      <c r="B58" s="4"/>
      <c r="D58" s="14" t="str">
        <f>'Parameter Inputs'!D842</f>
        <v>EXT to CEN</v>
      </c>
      <c r="E58" s="79">
        <f>'Parameter Inputs'!E842</f>
        <v>1.2</v>
      </c>
      <c r="G58" s="4"/>
    </row>
    <row r="59" spans="2:7">
      <c r="B59" s="4"/>
      <c r="D59" s="14" t="str">
        <f>'Parameter Inputs'!D843</f>
        <v>CEN to EVP 1 &amp; EVP 2</v>
      </c>
      <c r="E59" s="79">
        <f>'Parameter Inputs'!E843</f>
        <v>6.7</v>
      </c>
      <c r="G59" s="4"/>
    </row>
    <row r="60" spans="2:7">
      <c r="B60" s="4"/>
      <c r="D60" s="14" t="str">
        <f>'Parameter Inputs'!D844</f>
        <v>CEN to EVP 3</v>
      </c>
      <c r="E60" s="79">
        <f>'Parameter Inputs'!E844</f>
        <v>8.9</v>
      </c>
      <c r="G60" s="4"/>
    </row>
    <row r="61" spans="2:7">
      <c r="B61" s="4"/>
      <c r="D61" s="14" t="str">
        <f>'Parameter Inputs'!D845</f>
        <v>EVP to EXT Return Line</v>
      </c>
      <c r="E61" s="79">
        <f>'Parameter Inputs'!E845</f>
        <v>23.44</v>
      </c>
      <c r="G61" s="4"/>
    </row>
    <row r="62" spans="2:7">
      <c r="B62" s="4"/>
      <c r="D62" s="15" t="str">
        <f>'Parameter Inputs'!D846</f>
        <v>Total Piping lenth (m)</v>
      </c>
      <c r="E62" s="80">
        <f>'Parameter Inputs'!E846</f>
        <v>155.38999999999999</v>
      </c>
      <c r="G62" s="4"/>
    </row>
    <row r="63" spans="2:7">
      <c r="B63" s="4"/>
      <c r="G63" s="4"/>
    </row>
    <row r="64" spans="2:7">
      <c r="B64" s="4"/>
      <c r="G64" s="4"/>
    </row>
    <row r="65" spans="2:7">
      <c r="B65" s="4"/>
      <c r="C65" s="4"/>
      <c r="D65" s="4"/>
      <c r="E65" s="4"/>
      <c r="F65" s="4"/>
      <c r="G65" s="4"/>
    </row>
  </sheetData>
  <mergeCells count="1">
    <mergeCell ref="C3:F3"/>
  </mergeCells>
  <pageMargins left="0.7" right="0.7" top="0.75" bottom="0.75" header="0.3" footer="0.3"/>
  <pageSetup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E1391-25F2-4E81-8282-5DE4F2B3636B}">
  <sheetPr codeName="Sheet2"/>
  <dimension ref="B2:G151"/>
  <sheetViews>
    <sheetView zoomScaleNormal="100" workbookViewId="0">
      <selection activeCell="I5" sqref="I5"/>
    </sheetView>
  </sheetViews>
  <sheetFormatPr defaultColWidth="9.1796875" defaultRowHeight="14.5"/>
  <cols>
    <col min="1" max="1" width="9.1796875" style="5"/>
    <col min="2" max="2" width="2.6328125" style="5" customWidth="1"/>
    <col min="3" max="3" width="9.1796875" style="5" customWidth="1"/>
    <col min="4" max="4" width="37.7265625" style="5" bestFit="1" customWidth="1"/>
    <col min="5" max="5" width="13" style="5" customWidth="1"/>
    <col min="6" max="6" width="9.1796875" style="5" customWidth="1"/>
    <col min="7" max="7" width="2.6328125" style="5" customWidth="1"/>
    <col min="8" max="8" width="12.7265625" style="5" customWidth="1"/>
    <col min="9" max="9" width="39.7265625" style="5" bestFit="1" customWidth="1"/>
    <col min="10" max="10" width="15" style="5" customWidth="1"/>
    <col min="11" max="11" width="12" style="5" bestFit="1" customWidth="1"/>
    <col min="12" max="12" width="45" style="5" customWidth="1"/>
    <col min="13" max="13" width="13.26953125" style="5" customWidth="1"/>
    <col min="14" max="14" width="16.54296875" style="5" customWidth="1"/>
    <col min="15" max="15" width="35" style="5" customWidth="1"/>
    <col min="16" max="16" width="12" style="5" bestFit="1" customWidth="1"/>
    <col min="17" max="17" width="9.1796875" style="5"/>
    <col min="18" max="18" width="34.81640625" style="5" bestFit="1" customWidth="1"/>
    <col min="19" max="19" width="9.1796875" style="5"/>
    <col min="20" max="20" width="12" style="5" bestFit="1" customWidth="1"/>
    <col min="21" max="21" width="39.7265625" style="5" bestFit="1" customWidth="1"/>
    <col min="22" max="22" width="12" style="5" bestFit="1" customWidth="1"/>
    <col min="23" max="23" width="9.1796875" style="5"/>
    <col min="24" max="24" width="19.453125" style="5" bestFit="1" customWidth="1"/>
    <col min="25" max="25" width="9.1796875" style="5"/>
    <col min="26" max="26" width="7.26953125" style="5" bestFit="1" customWidth="1"/>
    <col min="27" max="27" width="32.1796875" style="5" bestFit="1" customWidth="1"/>
    <col min="28" max="31" width="12" style="5" bestFit="1" customWidth="1"/>
    <col min="32" max="32" width="23.453125" style="5" bestFit="1" customWidth="1"/>
    <col min="33" max="16384" width="9.1796875" style="5"/>
  </cols>
  <sheetData>
    <row r="2" spans="2:7">
      <c r="B2" s="4"/>
      <c r="C2" s="4"/>
      <c r="D2" s="4"/>
      <c r="E2" s="4"/>
      <c r="F2" s="4"/>
      <c r="G2" s="4"/>
    </row>
    <row r="3" spans="2:7">
      <c r="B3" s="4"/>
      <c r="C3" s="325" t="s">
        <v>1686</v>
      </c>
      <c r="D3" s="325"/>
      <c r="E3" s="325"/>
      <c r="F3" s="325"/>
      <c r="G3" s="4"/>
    </row>
    <row r="4" spans="2:7">
      <c r="B4" s="4"/>
      <c r="G4" s="4"/>
    </row>
    <row r="5" spans="2:7">
      <c r="B5" s="4"/>
      <c r="D5" s="45" t="str">
        <f>'Parameter Inputs'!K897</f>
        <v>Sludge Parameters for PHA Production</v>
      </c>
      <c r="E5" s="41"/>
      <c r="G5" s="4"/>
    </row>
    <row r="6" spans="2:7">
      <c r="B6" s="4"/>
      <c r="D6" s="13" t="str">
        <f>'Parameter Inputs'!K898</f>
        <v>TSSm To PHA (kg/d)</v>
      </c>
      <c r="E6" s="48">
        <f ca="1">'Parameter Inputs'!L898</f>
        <v>72147.394848568947</v>
      </c>
      <c r="G6" s="4"/>
    </row>
    <row r="7" spans="2:7">
      <c r="B7" s="4"/>
      <c r="D7" s="14" t="str">
        <f>'Parameter Inputs'!K899</f>
        <v>VSSm To PHA (kg/d)</v>
      </c>
      <c r="E7" s="20">
        <f ca="1">'Parameter Inputs'!L899</f>
        <v>49252.627363179403</v>
      </c>
      <c r="G7" s="4"/>
    </row>
    <row r="8" spans="2:7">
      <c r="B8" s="4"/>
      <c r="D8" s="14" t="str">
        <f>'Parameter Inputs'!K900</f>
        <v>Total Sludge Mass to PHA (kg/d)</v>
      </c>
      <c r="E8" s="20">
        <f ca="1">'Parameter Inputs'!L900</f>
        <v>1247696.5896061466</v>
      </c>
      <c r="G8" s="4"/>
    </row>
    <row r="9" spans="2:7">
      <c r="B9" s="4"/>
      <c r="D9" s="15" t="str">
        <f>'Parameter Inputs'!K901</f>
        <v>Total Sludge Volume to PHA (m^3/d)</v>
      </c>
      <c r="E9" s="39">
        <f ca="1">'Parameter Inputs'!L901</f>
        <v>1247.6965896061465</v>
      </c>
      <c r="G9" s="4"/>
    </row>
    <row r="10" spans="2:7">
      <c r="B10" s="4"/>
      <c r="G10" s="4"/>
    </row>
    <row r="11" spans="2:7">
      <c r="B11" s="4"/>
      <c r="D11" s="42" t="str">
        <f>'Parameter Inputs'!K903</f>
        <v>Sludge Parameters for Biogas Production</v>
      </c>
      <c r="E11" s="8"/>
      <c r="G11" s="4"/>
    </row>
    <row r="12" spans="2:7">
      <c r="B12" s="4"/>
      <c r="D12" s="14" t="str">
        <f>'Parameter Inputs'!K904</f>
        <v>TSSm to Biogas</v>
      </c>
      <c r="E12" s="20">
        <f ca="1">'Parameter Inputs'!L904</f>
        <v>12081.052097350001</v>
      </c>
      <c r="G12" s="4"/>
    </row>
    <row r="13" spans="2:7">
      <c r="B13" s="4"/>
      <c r="D13" s="14" t="str">
        <f>'Parameter Inputs'!K905</f>
        <v>VSSm to biogas</v>
      </c>
      <c r="E13" s="20">
        <f ca="1">'Parameter Inputs'!L905</f>
        <v>10301.151289518453</v>
      </c>
      <c r="G13" s="4"/>
    </row>
    <row r="14" spans="2:7">
      <c r="B14" s="4"/>
      <c r="D14" s="14" t="str">
        <f>'Parameter Inputs'!K906</f>
        <v>Total Sludge Mass to Biogas (kg/d)</v>
      </c>
      <c r="E14" s="20">
        <f ca="1">'Parameter Inputs'!L906</f>
        <v>25283.801978745327</v>
      </c>
      <c r="G14" s="4"/>
    </row>
    <row r="15" spans="2:7">
      <c r="B15" s="4"/>
      <c r="D15" s="14" t="str">
        <f>'Parameter Inputs'!K907</f>
        <v>Total Sludge Volume to Biogas (m^3/d)</v>
      </c>
      <c r="E15" s="20">
        <f ca="1">'Parameter Inputs'!L907</f>
        <v>25.283801978745327</v>
      </c>
      <c r="G15" s="4"/>
    </row>
    <row r="16" spans="2:7">
      <c r="B16" s="4"/>
      <c r="D16" s="14" t="str">
        <f>'Parameter Inputs'!K908</f>
        <v>Total MAP ofset from sludge (kg/d)</v>
      </c>
      <c r="E16" s="20">
        <f ca="1">'Parameter Inputs'!L908</f>
        <v>318.85463567017018</v>
      </c>
      <c r="G16" s="4"/>
    </row>
    <row r="17" spans="2:7">
      <c r="B17" s="4"/>
      <c r="D17" s="15" t="str">
        <f>'Parameter Inputs'!K909</f>
        <v>Total MAP ofset from sludge (kg/y)</v>
      </c>
      <c r="E17" s="39">
        <f ca="1">'Parameter Inputs'!L909</f>
        <v>116381.94201961212</v>
      </c>
      <c r="G17" s="4"/>
    </row>
    <row r="18" spans="2:7">
      <c r="B18" s="4"/>
      <c r="G18" s="4"/>
    </row>
    <row r="19" spans="2:7">
      <c r="B19" s="4"/>
      <c r="G19" s="4"/>
    </row>
    <row r="20" spans="2:7">
      <c r="B20" s="4"/>
      <c r="D20" s="67" t="s">
        <v>1620</v>
      </c>
      <c r="E20" s="17"/>
      <c r="G20" s="4"/>
    </row>
    <row r="21" spans="2:7">
      <c r="B21" s="4"/>
      <c r="D21" s="14" t="str">
        <f>'Parameter Inputs'!J1062</f>
        <v>Vol (m^3/d)</v>
      </c>
      <c r="E21" s="79">
        <f ca="1">'Parameter Inputs'!K1062</f>
        <v>1247.6965896061465</v>
      </c>
      <c r="G21" s="4"/>
    </row>
    <row r="22" spans="2:7">
      <c r="B22" s="4"/>
      <c r="D22" s="14" t="str">
        <f>'Parameter Inputs'!J1063</f>
        <v>VFA total (kg VFA/d)</v>
      </c>
      <c r="E22" s="79">
        <f ca="1">'Parameter Inputs'!K1063</f>
        <v>12985.356699047526</v>
      </c>
      <c r="G22" s="4"/>
    </row>
    <row r="23" spans="2:7">
      <c r="B23" s="4"/>
      <c r="D23" s="14" t="str">
        <f>'Parameter Inputs'!J1064</f>
        <v>VFA conc (kg/m^3)</v>
      </c>
      <c r="E23" s="79">
        <f ca="1">'Parameter Inputs'!K1064</f>
        <v>10.40746348689351</v>
      </c>
      <c r="G23" s="4"/>
    </row>
    <row r="24" spans="2:7">
      <c r="B24" s="4"/>
      <c r="D24" s="14" t="str">
        <f>'Parameter Inputs'!J1065</f>
        <v>CODsol (kg/d)</v>
      </c>
      <c r="E24" s="79">
        <f ca="1">'Parameter Inputs'!K1065</f>
        <v>16864.099609152629</v>
      </c>
      <c r="G24" s="4"/>
    </row>
    <row r="25" spans="2:7">
      <c r="B25" s="4"/>
      <c r="D25" s="14" t="str">
        <f>'Parameter Inputs'!J1066</f>
        <v>CODsol (kg/m^3/d)</v>
      </c>
      <c r="E25" s="79">
        <f ca="1">'Parameter Inputs'!K1066</f>
        <v>13.516186346614946</v>
      </c>
      <c r="G25" s="4"/>
    </row>
    <row r="26" spans="2:7">
      <c r="B26" s="4"/>
      <c r="D26" s="14" t="str">
        <f>'Parameter Inputs'!J1067</f>
        <v>TS (kg/d)</v>
      </c>
      <c r="E26" s="79">
        <f ca="1">'Parameter Inputs'!K1067</f>
        <v>7214.7394848568947</v>
      </c>
      <c r="G26" s="4"/>
    </row>
    <row r="27" spans="2:7">
      <c r="B27" s="4"/>
      <c r="D27" s="14" t="str">
        <f>'Parameter Inputs'!J1068</f>
        <v xml:space="preserve">TS (kg/m^3/d) </v>
      </c>
      <c r="E27" s="79">
        <f ca="1">'Parameter Inputs'!K1068</f>
        <v>5.7824470668260233</v>
      </c>
      <c r="G27" s="4"/>
    </row>
    <row r="28" spans="2:7">
      <c r="B28" s="4"/>
      <c r="D28" s="14" t="str">
        <f>'Parameter Inputs'!J1069</f>
        <v>VS (kg/d)</v>
      </c>
      <c r="E28" s="79">
        <f ca="1">'Parameter Inputs'!K1069</f>
        <v>5417.7890099497345</v>
      </c>
      <c r="G28" s="4"/>
    </row>
    <row r="29" spans="2:7">
      <c r="B29" s="4"/>
      <c r="D29" s="14" t="str">
        <f>'Parameter Inputs'!J1070</f>
        <v>VS(kg/m^3/d)</v>
      </c>
      <c r="E29" s="79">
        <f ca="1">'Parameter Inputs'!K1070</f>
        <v>4.3422327632232589</v>
      </c>
      <c r="G29" s="4"/>
    </row>
    <row r="30" spans="2:7">
      <c r="B30" s="4"/>
      <c r="D30" s="14" t="str">
        <f>'Parameter Inputs'!J1071</f>
        <v>N (kg/d)</v>
      </c>
      <c r="E30" s="79">
        <f ca="1">'Parameter Inputs'!K1071</f>
        <v>498.43658891537558</v>
      </c>
      <c r="G30" s="4"/>
    </row>
    <row r="31" spans="2:7">
      <c r="B31" s="4"/>
      <c r="D31" s="14" t="str">
        <f>'Parameter Inputs'!J1072</f>
        <v>P (kg/d)</v>
      </c>
      <c r="E31" s="79">
        <f ca="1">'Parameter Inputs'!K1072</f>
        <v>53.685363825865551</v>
      </c>
      <c r="G31" s="4"/>
    </row>
    <row r="32" spans="2:7">
      <c r="B32" s="4"/>
      <c r="D32" s="14" t="str">
        <f>'Parameter Inputs'!J1073</f>
        <v>H2 Gas (kg/d)</v>
      </c>
      <c r="E32" s="79">
        <f ca="1">'Parameter Inputs'!K1073</f>
        <v>12.506079382176425</v>
      </c>
      <c r="G32" s="4"/>
    </row>
    <row r="33" spans="2:7">
      <c r="B33" s="4"/>
      <c r="D33" s="14" t="str">
        <f>'Parameter Inputs'!J1074</f>
        <v>Gas total (m^3/d)</v>
      </c>
      <c r="E33" s="79">
        <f ca="1">'Parameter Inputs'!K1074</f>
        <v>295.65199485050653</v>
      </c>
      <c r="G33" s="4"/>
    </row>
    <row r="34" spans="2:7">
      <c r="B34" s="4"/>
      <c r="D34" s="14" t="str">
        <f>'Parameter Inputs'!J1075</f>
        <v>CO2 Gas (m^3/d)</v>
      </c>
      <c r="E34" s="79">
        <f ca="1">'Parameter Inputs'!K1075</f>
        <v>156.69555727076846</v>
      </c>
      <c r="G34" s="4"/>
    </row>
    <row r="35" spans="2:7">
      <c r="B35" s="4"/>
      <c r="D35" s="15" t="str">
        <f>'Parameter Inputs'!J1076</f>
        <v>CO2 Gas (kg/d)</v>
      </c>
      <c r="E35" s="80">
        <f ca="1">'Parameter Inputs'!K1076</f>
        <v>293.02069209633703</v>
      </c>
      <c r="G35" s="4"/>
    </row>
    <row r="36" spans="2:7">
      <c r="B36" s="4"/>
      <c r="G36" s="4"/>
    </row>
    <row r="37" spans="2:7">
      <c r="B37" s="4"/>
      <c r="D37" s="81" t="s">
        <v>1621</v>
      </c>
      <c r="E37" s="17"/>
      <c r="G37" s="4"/>
    </row>
    <row r="38" spans="2:7">
      <c r="B38" s="4"/>
      <c r="D38" s="14" t="str">
        <f>'Parameter Inputs'!J1080</f>
        <v>Liquid Stream mass (kg/d)</v>
      </c>
      <c r="E38" s="79">
        <f ca="1">'Parameter Inputs'!K1080</f>
        <v>1225025.3704316115</v>
      </c>
      <c r="G38" s="4"/>
    </row>
    <row r="39" spans="2:7">
      <c r="B39" s="4"/>
      <c r="D39" s="14" t="str">
        <f>'Parameter Inputs'!J1081</f>
        <v>Lquid stream vol (m^3/d)</v>
      </c>
      <c r="E39" s="79">
        <f ca="1">'Parameter Inputs'!K1081</f>
        <v>1225.0253704316115</v>
      </c>
      <c r="G39" s="4"/>
    </row>
    <row r="40" spans="2:7">
      <c r="B40" s="4"/>
      <c r="D40" s="14" t="str">
        <f>'Parameter Inputs'!J1082</f>
        <v>Liquid Stream VFA conc (kg/M^3/d)</v>
      </c>
      <c r="E40" s="79">
        <f ca="1">'Parameter Inputs'!K1082</f>
        <v>10.40746348689351</v>
      </c>
      <c r="G40" s="4"/>
    </row>
    <row r="41" spans="2:7">
      <c r="B41" s="4"/>
      <c r="D41" s="14" t="str">
        <f>'Parameter Inputs'!J1083</f>
        <v>Liquid stream CODsol (kg/m^3/d)</v>
      </c>
      <c r="E41" s="79">
        <f ca="1">'Parameter Inputs'!K1083</f>
        <v>13.516186346614946</v>
      </c>
      <c r="G41" s="4"/>
    </row>
    <row r="42" spans="2:7">
      <c r="B42" s="4"/>
      <c r="D42" s="14" t="str">
        <f>'Parameter Inputs'!J1084</f>
        <v>Liquid Stream TS (kg/d)</v>
      </c>
      <c r="E42" s="79">
        <f ca="1">'Parameter Inputs'!K1084</f>
        <v>505.03176393998092</v>
      </c>
      <c r="G42" s="4"/>
    </row>
    <row r="43" spans="2:7">
      <c r="B43" s="4"/>
      <c r="D43" s="14" t="str">
        <f>'Parameter Inputs'!J1085</f>
        <v>Liquid Stream TSc (kg/m^3/d)</v>
      </c>
      <c r="E43" s="79">
        <f ca="1">'Parameter Inputs'!K1085</f>
        <v>0.41226228952470084</v>
      </c>
      <c r="G43" s="4"/>
    </row>
    <row r="44" spans="2:7">
      <c r="B44" s="4"/>
      <c r="D44" s="14" t="str">
        <f>'Parameter Inputs'!J1086</f>
        <v>Liquid stream VSm</v>
      </c>
      <c r="E44" s="79">
        <f ca="1">'Parameter Inputs'!K1086</f>
        <v>379.24523069648058</v>
      </c>
      <c r="G44" s="4"/>
    </row>
    <row r="45" spans="2:7">
      <c r="B45" s="4"/>
      <c r="D45" s="14" t="str">
        <f>'Parameter Inputs'!J1087</f>
        <v>Liquid Stream VSc</v>
      </c>
      <c r="E45" s="79">
        <f ca="1">'Parameter Inputs'!K1087</f>
        <v>0.30958153181991788</v>
      </c>
      <c r="G45" s="4"/>
    </row>
    <row r="46" spans="2:7">
      <c r="B46" s="4"/>
      <c r="D46" s="14" t="str">
        <f>'Parameter Inputs'!J1088</f>
        <v>Liquid Stream N (kg/m^3/d)</v>
      </c>
      <c r="E46" s="79">
        <f ca="1">'Parameter Inputs'!K1088</f>
        <v>0.39958326122899235</v>
      </c>
      <c r="G46" s="4"/>
    </row>
    <row r="47" spans="2:7">
      <c r="B47" s="4"/>
      <c r="D47" s="14" t="str">
        <f>'Parameter Inputs'!J1089</f>
        <v>Liquid Stream P (kg/m^3/d)</v>
      </c>
      <c r="E47" s="79">
        <f ca="1">'Parameter Inputs'!K1089</f>
        <v>4.3038118057272895E-2</v>
      </c>
      <c r="G47" s="4"/>
    </row>
    <row r="48" spans="2:7">
      <c r="B48" s="4"/>
      <c r="D48" s="14" t="str">
        <f>'Parameter Inputs'!J1090</f>
        <v>Recovered TS (kg/d)</v>
      </c>
      <c r="E48" s="79">
        <f ca="1">'Parameter Inputs'!K1090</f>
        <v>6709.7077209169129</v>
      </c>
      <c r="G48" s="4"/>
    </row>
    <row r="49" spans="2:7">
      <c r="B49" s="4"/>
      <c r="D49" s="14" t="str">
        <f>'Parameter Inputs'!J1091</f>
        <v>Recovered VS(kg/d)</v>
      </c>
      <c r="E49" s="79">
        <f ca="1">'Parameter Inputs'!K1091</f>
        <v>5038.543779253253</v>
      </c>
      <c r="G49" s="4"/>
    </row>
    <row r="50" spans="2:7">
      <c r="B50" s="4"/>
      <c r="D50" s="14" t="str">
        <f>'Parameter Inputs'!J1092</f>
        <v>Solid Stream (kg/d)</v>
      </c>
      <c r="E50" s="79">
        <f ca="1">'Parameter Inputs'!K1092</f>
        <v>22365.692403056379</v>
      </c>
      <c r="G50" s="4"/>
    </row>
    <row r="51" spans="2:7">
      <c r="B51" s="4"/>
      <c r="D51" s="15" t="str">
        <f>'Parameter Inputs'!J1093</f>
        <v>Ratio of COD/N/P</v>
      </c>
      <c r="E51" s="80">
        <f>'Parameter Inputs'!K1093</f>
        <v>0</v>
      </c>
      <c r="G51" s="4"/>
    </row>
    <row r="52" spans="2:7">
      <c r="B52" s="4"/>
      <c r="G52" s="4"/>
    </row>
    <row r="53" spans="2:7">
      <c r="B53" s="4"/>
      <c r="D53" s="67" t="s">
        <v>1624</v>
      </c>
      <c r="E53" s="17"/>
      <c r="G53" s="4"/>
    </row>
    <row r="54" spans="2:7">
      <c r="B54" s="4"/>
      <c r="D54" s="14" t="str">
        <f>'Parameter Inputs'!G1106</f>
        <v>VSS generated (kg COD/d)</v>
      </c>
      <c r="E54" s="79">
        <f ca="1">'Parameter Inputs'!H1106</f>
        <v>1734.1066659468406</v>
      </c>
      <c r="G54" s="4"/>
    </row>
    <row r="55" spans="2:7">
      <c r="B55" s="4"/>
      <c r="D55" s="14" t="str">
        <f>'Parameter Inputs'!G1107</f>
        <v>PHA generated during feast (kg COD/d)</v>
      </c>
      <c r="E55" s="79">
        <f ca="1">'Parameter Inputs'!H1107</f>
        <v>1156.0711106312269</v>
      </c>
      <c r="G55" s="4"/>
    </row>
    <row r="56" spans="2:7">
      <c r="B56" s="4"/>
      <c r="D56" s="14" t="str">
        <f>'Parameter Inputs'!G1108</f>
        <v>PHA at end of famine (kg (COD/d)</v>
      </c>
      <c r="E56" s="79">
        <f ca="1">'Parameter Inputs'!H1108</f>
        <v>115.60711106312267</v>
      </c>
      <c r="G56" s="4"/>
    </row>
    <row r="57" spans="2:7">
      <c r="B57" s="4"/>
      <c r="D57" s="14" t="str">
        <f>'Parameter Inputs'!G1109</f>
        <v>PHA at end of famine kg/d</v>
      </c>
      <c r="E57" s="79">
        <f ca="1">'Parameter Inputs'!H1109</f>
        <v>42.148425908430141</v>
      </c>
      <c r="G57" s="4"/>
    </row>
    <row r="58" spans="2:7">
      <c r="B58" s="4"/>
      <c r="D58" s="14" t="str">
        <f>'Parameter Inputs'!G1110</f>
        <v xml:space="preserve">XA generated during feast (kg COD/d) </v>
      </c>
      <c r="E58" s="79">
        <f ca="1">'Parameter Inputs'!H1110</f>
        <v>578.03555531561369</v>
      </c>
      <c r="G58" s="4"/>
    </row>
    <row r="59" spans="2:7">
      <c r="B59" s="4"/>
      <c r="D59" s="14" t="str">
        <f>'Parameter Inputs'!G1111</f>
        <v>XA generated during feast (kg/d)</v>
      </c>
      <c r="E59" s="79">
        <f ca="1">'Parameter Inputs'!H1111</f>
        <v>407.06729247578431</v>
      </c>
      <c r="G59" s="4"/>
    </row>
    <row r="60" spans="2:7">
      <c r="B60" s="4"/>
      <c r="D60" s="14" t="str">
        <f>'Parameter Inputs'!G1112</f>
        <v>XA generated during famine (kg/d)</v>
      </c>
      <c r="E60" s="79">
        <f ca="1">'Parameter Inputs'!H1112</f>
        <v>905.82723211887571</v>
      </c>
      <c r="G60" s="4"/>
    </row>
    <row r="61" spans="2:7">
      <c r="B61" s="4"/>
      <c r="D61" s="14" t="str">
        <f>'Parameter Inputs'!G1113</f>
        <v>Total Excess XA at the end of famine (kg/d)</v>
      </c>
      <c r="E61" s="79">
        <f ca="1">'Parameter Inputs'!H1113</f>
        <v>1139.7884189321958</v>
      </c>
      <c r="G61" s="4"/>
    </row>
    <row r="62" spans="2:7">
      <c r="B62" s="4"/>
      <c r="D62" s="14" t="str">
        <f>'Parameter Inputs'!G1114</f>
        <v>Total VSS generated at the end of famine (kg/d)</v>
      </c>
      <c r="E62" s="79">
        <f ca="1">'Parameter Inputs'!H1114</f>
        <v>1221.2018774273527</v>
      </c>
      <c r="G62" s="4"/>
    </row>
    <row r="63" spans="2:7">
      <c r="B63" s="4"/>
      <c r="D63" s="14" t="str">
        <f>'Parameter Inputs'!G1115</f>
        <v>Total VSS to be Harvested (kg/d)</v>
      </c>
      <c r="E63" s="79">
        <f ca="1">'Parameter Inputs'!H1115</f>
        <v>1292.1000539488782</v>
      </c>
      <c r="G63" s="4"/>
    </row>
    <row r="64" spans="2:7">
      <c r="B64" s="4"/>
      <c r="D64" s="14" t="str">
        <f>'Parameter Inputs'!G1116</f>
        <v>TSS to be harvestes Harvested (kg/d)</v>
      </c>
      <c r="E64" s="79">
        <f ca="1">'Parameter Inputs'!H1116</f>
        <v>1316.6777435189865</v>
      </c>
      <c r="G64" s="4"/>
    </row>
    <row r="65" spans="2:7">
      <c r="B65" s="4"/>
      <c r="D65" s="14" t="str">
        <f>'Parameter Inputs'!G1117</f>
        <v>wastewater (m^3/d)</v>
      </c>
      <c r="E65" s="79">
        <f ca="1">'Parameter Inputs'!H1117</f>
        <v>204.76147266721716</v>
      </c>
      <c r="G65" s="4"/>
    </row>
    <row r="66" spans="2:7">
      <c r="B66" s="4"/>
      <c r="D66" s="14" t="str">
        <f>'Parameter Inputs'!G1118</f>
        <v>COD sol Wastewater kg/m^3/d)</v>
      </c>
      <c r="E66" s="79">
        <f ca="1">'Parameter Inputs'!H1118</f>
        <v>8.0000000000000057E-2</v>
      </c>
      <c r="G66" s="4"/>
    </row>
    <row r="67" spans="2:7">
      <c r="B67" s="4"/>
      <c r="D67" s="14" t="str">
        <f>'Parameter Inputs'!G1119</f>
        <v>Biomass Volume (m^3/d)</v>
      </c>
      <c r="E67" s="79">
        <f ca="1">'Parameter Inputs'!H1119</f>
        <v>57.803555531561351</v>
      </c>
      <c r="G67" s="4"/>
    </row>
    <row r="68" spans="2:7">
      <c r="B68" s="4"/>
      <c r="D68" s="14" t="str">
        <f>'Parameter Inputs'!G1120</f>
        <v>Total Excess sludge</v>
      </c>
      <c r="E68" s="79">
        <f ca="1">'Parameter Inputs'!H1120</f>
        <v>1833.0453872853213</v>
      </c>
      <c r="G68" s="4"/>
    </row>
    <row r="69" spans="2:7">
      <c r="B69" s="4"/>
      <c r="D69" s="14" t="str">
        <f>'Parameter Inputs'!G1121</f>
        <v>TSS in effluent (kg/m^3/d)</v>
      </c>
      <c r="E69" s="79">
        <f ca="1">'Parameter Inputs'!H1121</f>
        <v>1.6911654334869599E-2</v>
      </c>
      <c r="G69" s="4"/>
    </row>
    <row r="70" spans="2:7">
      <c r="B70" s="4"/>
      <c r="D70" s="14" t="str">
        <f>'Parameter Inputs'!G1122</f>
        <v>VSS in Effluent (kg/m^3/d)</v>
      </c>
      <c r="E70" s="79">
        <f ca="1">'Parameter Inputs'!H1122</f>
        <v>1.6595973909340016E-2</v>
      </c>
      <c r="G70" s="4"/>
    </row>
    <row r="71" spans="2:7">
      <c r="B71" s="4"/>
      <c r="D71" s="14" t="str">
        <f>'Parameter Inputs'!G1123</f>
        <v>XA in effluent (kg/m^3/d)</v>
      </c>
      <c r="E71" s="79">
        <f ca="1">'Parameter Inputs'!H1123</f>
        <v>1.5489575648717349E-2</v>
      </c>
      <c r="G71" s="4"/>
    </row>
    <row r="72" spans="2:7">
      <c r="B72" s="4"/>
      <c r="D72" s="14" t="str">
        <f>'Parameter Inputs'!G1124</f>
        <v>PHA in effleunt (kg/m^3/d)</v>
      </c>
      <c r="E72" s="79">
        <f ca="1">'Parameter Inputs'!H1124</f>
        <v>1.4848792808839766E-3</v>
      </c>
      <c r="G72" s="4"/>
    </row>
    <row r="73" spans="2:7">
      <c r="B73" s="4"/>
      <c r="D73" s="14" t="str">
        <f>'Parameter Inputs'!G1125</f>
        <v>COD of VSS (kg/m^3/d)</v>
      </c>
      <c r="E73" s="79">
        <f ca="1">'Parameter Inputs'!H1125</f>
        <v>2.3566282951262823E-2</v>
      </c>
      <c r="G73" s="4"/>
    </row>
    <row r="74" spans="2:7">
      <c r="B74" s="4"/>
      <c r="D74" s="14" t="str">
        <f>'Parameter Inputs'!G1126</f>
        <v>COD Effluent (kg/m^3/d)</v>
      </c>
      <c r="E74" s="79">
        <f ca="1">'Parameter Inputs'!H1126</f>
        <v>0.10356628295126288</v>
      </c>
      <c r="G74" s="4"/>
    </row>
    <row r="75" spans="2:7">
      <c r="B75" s="4"/>
      <c r="D75" s="14" t="str">
        <f>'Parameter Inputs'!G1127</f>
        <v>COD efffluent (mg/L)</v>
      </c>
      <c r="E75" s="79">
        <f ca="1">'Parameter Inputs'!H1127</f>
        <v>103.56628295126288</v>
      </c>
      <c r="G75" s="4"/>
    </row>
    <row r="76" spans="2:7">
      <c r="B76" s="4"/>
      <c r="D76" s="14" t="str">
        <f>'Parameter Inputs'!G1128</f>
        <v>Total TSS at end of Cycle</v>
      </c>
      <c r="E76" s="79">
        <f ca="1">'Parameter Inputs'!H1128</f>
        <v>2449.7707134306556</v>
      </c>
      <c r="G76" s="4"/>
    </row>
    <row r="77" spans="2:7">
      <c r="B77" s="4"/>
      <c r="D77" s="14" t="str">
        <f>'Parameter Inputs'!G1129</f>
        <v>TSS Required</v>
      </c>
      <c r="E77" s="79">
        <f ca="1">'Parameter Inputs'!H1129</f>
        <v>1129.6301146648223</v>
      </c>
      <c r="G77" s="4"/>
    </row>
    <row r="78" spans="2:7">
      <c r="B78" s="4"/>
      <c r="D78" s="14" t="str">
        <f>'Parameter Inputs'!G1130</f>
        <v>TSS Harvested</v>
      </c>
      <c r="E78" s="79">
        <f ca="1">'Parameter Inputs'!H1130</f>
        <v>1316.6777435189865</v>
      </c>
      <c r="G78" s="4"/>
    </row>
    <row r="79" spans="2:7">
      <c r="B79" s="4"/>
      <c r="D79" s="14" t="str">
        <f>'Parameter Inputs'!G1131</f>
        <v>Ratio of VSS/TSS</v>
      </c>
      <c r="E79" s="79">
        <f ca="1">'Parameter Inputs'!H1131</f>
        <v>0.98133355736353456</v>
      </c>
      <c r="G79" s="4"/>
    </row>
    <row r="80" spans="2:7">
      <c r="B80" s="4"/>
      <c r="D80" s="14" t="str">
        <f>'Parameter Inputs'!G1132</f>
        <v>VSS Harvested</v>
      </c>
      <c r="E80" s="79">
        <f ca="1">'Parameter Inputs'!H1132</f>
        <v>1292.1000539488787</v>
      </c>
      <c r="G80" s="4"/>
    </row>
    <row r="81" spans="2:7">
      <c r="B81" s="4"/>
      <c r="D81" s="14" t="str">
        <f>'Parameter Inputs'!G1133</f>
        <v>SRT</v>
      </c>
      <c r="E81" s="79">
        <f ca="1">'Parameter Inputs'!H1133</f>
        <v>1.0055804348285611</v>
      </c>
      <c r="G81" s="4"/>
    </row>
    <row r="82" spans="2:7">
      <c r="B82" s="4"/>
      <c r="D82" s="14" t="str">
        <f>'Parameter Inputs'!G1134</f>
        <v>N effluent conc (kg/m^3/d)</v>
      </c>
      <c r="E82" s="79">
        <f ca="1">'Parameter Inputs'!H1134</f>
        <v>1.170824317363504E-3</v>
      </c>
      <c r="G82" s="4"/>
    </row>
    <row r="83" spans="2:7">
      <c r="B83" s="4"/>
      <c r="D83" s="14" t="str">
        <f>'Parameter Inputs'!G1135</f>
        <v>P (kg/m^3/d)</v>
      </c>
      <c r="E83" s="79">
        <f ca="1">'Parameter Inputs'!H1135</f>
        <v>4.035410295418876E-5</v>
      </c>
      <c r="G83" s="4"/>
    </row>
    <row r="84" spans="2:7">
      <c r="B84" s="4"/>
      <c r="D84" s="15" t="str">
        <f>'Parameter Inputs'!G1136</f>
        <v>XA harvested per cycle</v>
      </c>
      <c r="E84" s="80">
        <f ca="1">'Parameter Inputs'!H1136</f>
        <v>777.6022561128334</v>
      </c>
      <c r="G84" s="4"/>
    </row>
    <row r="85" spans="2:7">
      <c r="B85" s="4"/>
      <c r="G85" s="4"/>
    </row>
    <row r="86" spans="2:7">
      <c r="B86" s="4"/>
      <c r="D86" s="67" t="s">
        <v>1625</v>
      </c>
      <c r="E86" s="18"/>
      <c r="G86" s="4"/>
    </row>
    <row r="87" spans="2:7">
      <c r="B87" s="4"/>
      <c r="D87" s="14" t="str">
        <f>'Parameter Inputs'!M1106</f>
        <v>Volume(m^3/day)</v>
      </c>
      <c r="E87" s="79">
        <f ca="1">'Parameter Inputs'!N1106</f>
        <v>1015.5656733318955</v>
      </c>
      <c r="G87" s="4"/>
    </row>
    <row r="88" spans="2:7">
      <c r="B88" s="4"/>
      <c r="D88" s="14" t="str">
        <f>'Parameter Inputs'!M1107</f>
        <v>TSS (kg/d)</v>
      </c>
      <c r="E88" s="79">
        <f ca="1">'Parameter Inputs'!N1107</f>
        <v>6210.3646391872926</v>
      </c>
      <c r="G88" s="4"/>
    </row>
    <row r="89" spans="2:7">
      <c r="B89" s="4"/>
      <c r="D89" s="14" t="str">
        <f>'Parameter Inputs'!M1108</f>
        <v>VSS (kg/d)</v>
      </c>
      <c r="E89" s="79">
        <f ca="1">'Parameter Inputs'!N1108</f>
        <v>6084.6427451326135</v>
      </c>
      <c r="G89" s="4"/>
    </row>
    <row r="90" spans="2:7">
      <c r="B90" s="4"/>
      <c r="D90" s="14" t="str">
        <f>'Parameter Inputs'!M1109</f>
        <v>XA (Kg XA/d)</v>
      </c>
      <c r="E90" s="79">
        <f ca="1">'Parameter Inputs'!N1109</f>
        <v>3327.2691889555776</v>
      </c>
      <c r="G90" s="4"/>
    </row>
    <row r="91" spans="2:7">
      <c r="B91" s="4"/>
      <c r="D91" s="14" t="str">
        <f>'Parameter Inputs'!M1111</f>
        <v>PHA content (kg COD/d)</v>
      </c>
      <c r="E91" s="79">
        <f ca="1">'Parameter Inputs'!N1111</f>
        <v>4912.8383561531109</v>
      </c>
      <c r="G91" s="4"/>
    </row>
    <row r="92" spans="2:7">
      <c r="B92" s="4"/>
      <c r="D92" s="14" t="str">
        <f>'Parameter Inputs'!M1112</f>
        <v>PHA Content (kg /d)</v>
      </c>
      <c r="E92" s="79">
        <f ca="1">'Parameter Inputs'!N1112</f>
        <v>2715.5291763368941</v>
      </c>
      <c r="G92" s="4"/>
    </row>
    <row r="93" spans="2:7">
      <c r="B93" s="4"/>
      <c r="D93" s="15" t="str">
        <f>'Parameter Inputs'!M1113</f>
        <v>PHA concentration (kg/m^3/d)</v>
      </c>
      <c r="E93" s="80">
        <f ca="1">'Parameter Inputs'!N1113</f>
        <v>2.6739079979217024</v>
      </c>
      <c r="G93" s="4"/>
    </row>
    <row r="94" spans="2:7">
      <c r="B94" s="4"/>
      <c r="G94" s="4"/>
    </row>
    <row r="95" spans="2:7">
      <c r="B95" s="4"/>
      <c r="D95" s="67" t="s">
        <v>1627</v>
      </c>
      <c r="E95" s="18"/>
      <c r="G95" s="4"/>
    </row>
    <row r="96" spans="2:7">
      <c r="B96" s="4"/>
      <c r="D96" s="14" t="str">
        <f>'Parameter Inputs'!M1129</f>
        <v xml:space="preserve">Thickened Solids (kg/d) </v>
      </c>
      <c r="E96" s="79">
        <f ca="1">'Parameter Inputs'!N1129</f>
        <v>19252.130381480598</v>
      </c>
      <c r="G96" s="4"/>
    </row>
    <row r="97" spans="2:7">
      <c r="B97" s="4"/>
      <c r="D97" s="14" t="str">
        <f>'Parameter Inputs'!M1130</f>
        <v>TSS (kg/d)</v>
      </c>
      <c r="E97" s="79">
        <f ca="1">'Parameter Inputs'!N1130</f>
        <v>5775.6391144441795</v>
      </c>
      <c r="G97" s="4"/>
    </row>
    <row r="98" spans="2:7">
      <c r="B98" s="4"/>
      <c r="D98" s="14" t="str">
        <f>'Parameter Inputs'!M1131</f>
        <v>VSS (kg/d)</v>
      </c>
      <c r="E98" s="79">
        <f ca="1">'Parameter Inputs'!N1131</f>
        <v>5658.7177529733317</v>
      </c>
      <c r="G98" s="4"/>
    </row>
    <row r="99" spans="2:7">
      <c r="B99" s="4"/>
      <c r="D99" s="14" t="str">
        <f>'Parameter Inputs'!M1132</f>
        <v>PHA Content (kg/d)</v>
      </c>
      <c r="E99" s="79">
        <f ca="1">'Parameter Inputs'!N1132</f>
        <v>2525.4421339933115</v>
      </c>
      <c r="G99" s="4"/>
    </row>
    <row r="100" spans="2:7">
      <c r="B100" s="4"/>
      <c r="D100" s="14" t="str">
        <f>'Parameter Inputs'!M1133</f>
        <v>Wastewater (kg/d)</v>
      </c>
      <c r="E100" s="79">
        <f ca="1">'Parameter Inputs'!N1133</f>
        <v>996313.54295041494</v>
      </c>
      <c r="G100" s="4"/>
    </row>
    <row r="101" spans="2:7">
      <c r="B101" s="4"/>
      <c r="D101" s="14" t="str">
        <f>'Parameter Inputs'!M1134</f>
        <v>Wastewater (m^3/d)</v>
      </c>
      <c r="E101" s="79">
        <f ca="1">'Parameter Inputs'!N1134</f>
        <v>996.3135429504149</v>
      </c>
      <c r="G101" s="4"/>
    </row>
    <row r="102" spans="2:7">
      <c r="B102" s="4"/>
      <c r="D102" s="14" t="str">
        <f>'Parameter Inputs'!M1135</f>
        <v>Wastewater CODsol kg/d)</v>
      </c>
      <c r="E102" s="79">
        <f ca="1">'Parameter Inputs'!N1135</f>
        <v>1331.3925084425773</v>
      </c>
      <c r="G102" s="4"/>
    </row>
    <row r="103" spans="2:7">
      <c r="B103" s="4"/>
      <c r="D103" s="14" t="str">
        <f>'Parameter Inputs'!M1136</f>
        <v>Wastewater TSS (kg/m^3/d)</v>
      </c>
      <c r="E103" s="79">
        <f ca="1">'Parameter Inputs'!N1136</f>
        <v>0.43633405148317722</v>
      </c>
      <c r="G103" s="4"/>
    </row>
    <row r="104" spans="2:7">
      <c r="B104" s="4"/>
      <c r="D104" s="14" t="str">
        <f>'Parameter Inputs'!M1137</f>
        <v>Wastewater VSS (kg/m^3/d)</v>
      </c>
      <c r="E104" s="79">
        <f ca="1">'Parameter Inputs'!N1137</f>
        <v>0.42750095607249966</v>
      </c>
      <c r="G104" s="4"/>
    </row>
    <row r="105" spans="2:7">
      <c r="B105" s="4"/>
      <c r="D105" s="14" t="str">
        <f>'Parameter Inputs'!M1138</f>
        <v>COD of VSS in Wastewater (kgCOD/m^3/day)</v>
      </c>
      <c r="E105" s="79">
        <f ca="1">'Parameter Inputs'!N1138</f>
        <v>0.60705135762294948</v>
      </c>
      <c r="G105" s="4"/>
    </row>
    <row r="106" spans="2:7">
      <c r="B106" s="4"/>
      <c r="D106" s="14" t="str">
        <f>'Parameter Inputs'!M1139</f>
        <v>Wastewater COD total (kg/d)</v>
      </c>
      <c r="E106" s="79">
        <f ca="1">'Parameter Inputs'!N1139</f>
        <v>1331.9995598002004</v>
      </c>
      <c r="G106" s="4"/>
    </row>
    <row r="107" spans="2:7">
      <c r="B107" s="4"/>
      <c r="D107" s="14" t="str">
        <f>'Parameter Inputs'!M1140</f>
        <v>Wastewater COD conc (kg/m^3/d)</v>
      </c>
      <c r="E107" s="79">
        <f ca="1">'Parameter Inputs'!N1140</f>
        <v>1.3369280877741638</v>
      </c>
      <c r="G107" s="4"/>
    </row>
    <row r="108" spans="2:7">
      <c r="B108" s="4"/>
      <c r="D108" s="14" t="str">
        <f>'Parameter Inputs'!M1141</f>
        <v>Wastewater N (kg/m^3)</v>
      </c>
      <c r="E108" s="83">
        <f ca="1">'Parameter Inputs'!N1141</f>
        <v>1.9753006009360788E-3</v>
      </c>
      <c r="G108" s="4"/>
    </row>
    <row r="109" spans="2:7">
      <c r="B109" s="4"/>
      <c r="D109" s="15" t="str">
        <f>'Parameter Inputs'!M1142</f>
        <v>Wastewater P (kg/m^3)</v>
      </c>
      <c r="E109" s="84">
        <f ca="1">'Parameter Inputs'!N1142</f>
        <v>6.8081506878113078E-5</v>
      </c>
      <c r="G109" s="4"/>
    </row>
    <row r="110" spans="2:7">
      <c r="B110" s="4"/>
      <c r="G110" s="4"/>
    </row>
    <row r="111" spans="2:7">
      <c r="B111" s="4"/>
      <c r="D111" s="67" t="s">
        <v>1633</v>
      </c>
      <c r="E111" s="18"/>
      <c r="G111" s="4"/>
    </row>
    <row r="112" spans="2:7">
      <c r="B112" s="4"/>
      <c r="D112" s="14" t="str">
        <f>'Parameter Inputs'!M1147</f>
        <v>Dry Biomass (kg/d)</v>
      </c>
      <c r="E112" s="79">
        <f ca="1">'Parameter Inputs'!N1147</f>
        <v>6417.3767938268684</v>
      </c>
      <c r="G112" s="4"/>
    </row>
    <row r="113" spans="2:7">
      <c r="B113" s="4"/>
      <c r="D113" s="14" t="str">
        <f>'Parameter Inputs'!M1148</f>
        <v>TSS (kg/d)</v>
      </c>
      <c r="E113" s="79">
        <f ca="1">'Parameter Inputs'!N1148</f>
        <v>5775.6391144441795</v>
      </c>
      <c r="G113" s="4"/>
    </row>
    <row r="114" spans="2:7">
      <c r="B114" s="4"/>
      <c r="D114" s="14" t="str">
        <f>'Parameter Inputs'!M1149</f>
        <v>VSS (kg/d)</v>
      </c>
      <c r="E114" s="79">
        <f ca="1">'Parameter Inputs'!N1149</f>
        <v>5658.7177529733317</v>
      </c>
      <c r="G114" s="4"/>
    </row>
    <row r="115" spans="2:7">
      <c r="B115" s="4"/>
      <c r="D115" s="14" t="str">
        <f>'Parameter Inputs'!M1150</f>
        <v>PHA content (kg/d)</v>
      </c>
      <c r="E115" s="79">
        <f ca="1">'Parameter Inputs'!N1150</f>
        <v>2525.4421339933115</v>
      </c>
      <c r="G115" s="4"/>
    </row>
    <row r="116" spans="2:7">
      <c r="B116" s="4"/>
      <c r="D116" s="15" t="str">
        <f>'Parameter Inputs'!M1151</f>
        <v>Vapour</v>
      </c>
      <c r="E116" s="80">
        <f ca="1">'Parameter Inputs'!N1151</f>
        <v>12834.753587653729</v>
      </c>
      <c r="G116" s="4"/>
    </row>
    <row r="117" spans="2:7">
      <c r="B117" s="4"/>
      <c r="G117" s="4"/>
    </row>
    <row r="118" spans="2:7">
      <c r="B118" s="4"/>
      <c r="D118" s="67" t="s">
        <v>1634</v>
      </c>
      <c r="E118" s="18"/>
      <c r="G118" s="4"/>
    </row>
    <row r="119" spans="2:7">
      <c r="B119" s="4"/>
      <c r="D119" s="14" t="str">
        <f>'Parameter Inputs'!M1155</f>
        <v>Biomass-DMC Mixture (kg/cycle)</v>
      </c>
      <c r="E119" s="79">
        <f ca="1">'Parameter Inputs'!N1155</f>
        <v>71874.620090860888</v>
      </c>
      <c r="G119" s="4"/>
    </row>
    <row r="120" spans="2:7">
      <c r="B120" s="4"/>
      <c r="D120" s="14" t="str">
        <f>'Parameter Inputs'!M1156</f>
        <v>TSS (kg/cycle)</v>
      </c>
      <c r="E120" s="79">
        <f ca="1">'Parameter Inputs'!N1156</f>
        <v>2887.8195572220898</v>
      </c>
      <c r="G120" s="4"/>
    </row>
    <row r="121" spans="2:7">
      <c r="B121" s="4"/>
      <c r="D121" s="14" t="str">
        <f>'Parameter Inputs'!M1157</f>
        <v>VSS (kg/cycle)</v>
      </c>
      <c r="E121" s="79">
        <f ca="1">'Parameter Inputs'!N1157</f>
        <v>2829.3588764866658</v>
      </c>
      <c r="G121" s="4"/>
    </row>
    <row r="122" spans="2:7">
      <c r="B122" s="4"/>
      <c r="D122" s="14" t="str">
        <f>'Parameter Inputs'!M1158</f>
        <v>PHA (kg/Cycle)</v>
      </c>
      <c r="E122" s="79">
        <f ca="1">'Parameter Inputs'!N1158</f>
        <v>1262.7210669966557</v>
      </c>
      <c r="G122" s="4"/>
    </row>
    <row r="123" spans="2:7">
      <c r="B123" s="4"/>
      <c r="D123" s="14" t="s">
        <v>1639</v>
      </c>
      <c r="E123" s="79">
        <f ca="1">E120*2</f>
        <v>5775.6391144441795</v>
      </c>
      <c r="G123" s="4"/>
    </row>
    <row r="124" spans="2:7">
      <c r="B124" s="4"/>
      <c r="D124" s="14" t="s">
        <v>401</v>
      </c>
      <c r="E124" s="79">
        <f t="shared" ref="E124:E125" ca="1" si="0">E121*2</f>
        <v>5658.7177529733317</v>
      </c>
      <c r="G124" s="4"/>
    </row>
    <row r="125" spans="2:7">
      <c r="B125" s="4"/>
      <c r="D125" s="15" t="s">
        <v>1640</v>
      </c>
      <c r="E125" s="80">
        <f t="shared" ca="1" si="0"/>
        <v>2525.4421339933115</v>
      </c>
      <c r="G125" s="4"/>
    </row>
    <row r="126" spans="2:7">
      <c r="B126" s="4"/>
      <c r="G126" s="4"/>
    </row>
    <row r="127" spans="2:7">
      <c r="B127" s="4"/>
      <c r="D127" s="67" t="s">
        <v>1635</v>
      </c>
      <c r="E127" s="18"/>
      <c r="G127" s="4"/>
    </row>
    <row r="128" spans="2:7">
      <c r="B128" s="4"/>
      <c r="D128" s="14" t="str">
        <f>'Parameter Inputs'!M1164</f>
        <v>PHA-DMC Mixture (kg/cycle)</v>
      </c>
      <c r="E128" s="79">
        <f ca="1">'Parameter Inputs'!N1164</f>
        <v>66843.396684500622</v>
      </c>
      <c r="G128" s="4"/>
    </row>
    <row r="129" spans="2:7">
      <c r="B129" s="4"/>
      <c r="D129" s="14" t="str">
        <f>'Parameter Inputs'!M1165</f>
        <v>PHA Content  in DMC (Kg/cycle)</v>
      </c>
      <c r="E129" s="79">
        <f ca="1">'Parameter Inputs'!N1165</f>
        <v>947.04080024749169</v>
      </c>
      <c r="G129" s="4"/>
    </row>
    <row r="130" spans="2:7">
      <c r="B130" s="4"/>
      <c r="D130" s="14" t="str">
        <f>'Parameter Inputs'!M1166</f>
        <v>Biomass DMC Mixture (kg/cycle)</v>
      </c>
      <c r="E130" s="79">
        <f ca="1">'Parameter Inputs'!N1166</f>
        <v>5031.2234063602582</v>
      </c>
      <c r="G130" s="4"/>
    </row>
    <row r="131" spans="2:7">
      <c r="B131" s="4"/>
      <c r="D131" s="14" t="str">
        <f>'Parameter Inputs'!M1167</f>
        <v>TSS (kg/cycle)</v>
      </c>
      <c r="E131" s="79">
        <f ca="1">'Parameter Inputs'!N1167</f>
        <v>2685.6721882165434</v>
      </c>
      <c r="G131" s="4"/>
    </row>
    <row r="132" spans="2:7">
      <c r="B132" s="4"/>
      <c r="D132" s="14" t="str">
        <f>'Parameter Inputs'!M1168</f>
        <v>VSS (kg/cycle)</v>
      </c>
      <c r="E132" s="79">
        <f ca="1">'Parameter Inputs'!N1168</f>
        <v>2631.3037551325992</v>
      </c>
      <c r="G132" s="4"/>
    </row>
    <row r="133" spans="2:7">
      <c r="B133" s="4"/>
      <c r="D133" s="14" t="s">
        <v>1641</v>
      </c>
      <c r="E133" s="36">
        <f ca="1">E128*2</f>
        <v>133686.79336900124</v>
      </c>
      <c r="G133" s="4"/>
    </row>
    <row r="134" spans="2:7">
      <c r="B134" s="4"/>
      <c r="D134" s="14" t="s">
        <v>1642</v>
      </c>
      <c r="E134" s="36">
        <f t="shared" ref="E134:E137" ca="1" si="1">E129*2</f>
        <v>1894.0816004949834</v>
      </c>
      <c r="G134" s="4"/>
    </row>
    <row r="135" spans="2:7">
      <c r="B135" s="4"/>
      <c r="D135" s="14" t="s">
        <v>1643</v>
      </c>
      <c r="E135" s="36">
        <f t="shared" ca="1" si="1"/>
        <v>10062.446812720516</v>
      </c>
      <c r="G135" s="4"/>
    </row>
    <row r="136" spans="2:7">
      <c r="B136" s="4"/>
      <c r="D136" s="14" t="s">
        <v>1639</v>
      </c>
      <c r="E136" s="36">
        <f t="shared" ca="1" si="1"/>
        <v>5371.3443764330868</v>
      </c>
      <c r="G136" s="4"/>
    </row>
    <row r="137" spans="2:7">
      <c r="B137" s="4"/>
      <c r="D137" s="15" t="s">
        <v>401</v>
      </c>
      <c r="E137" s="22">
        <f t="shared" ca="1" si="1"/>
        <v>5262.6075102651985</v>
      </c>
      <c r="G137" s="4"/>
    </row>
    <row r="138" spans="2:7">
      <c r="B138" s="4"/>
      <c r="G138" s="4"/>
    </row>
    <row r="139" spans="2:7">
      <c r="B139" s="4"/>
      <c r="D139" s="67" t="s">
        <v>1636</v>
      </c>
      <c r="E139" s="18"/>
      <c r="G139" s="4"/>
    </row>
    <row r="140" spans="2:7">
      <c r="B140" s="4"/>
      <c r="D140" s="14" t="str">
        <f>'Parameter Inputs'!S1161</f>
        <v>DMC Recovered (kg/cycle)</v>
      </c>
      <c r="E140" s="79">
        <f ca="1">'Parameter Inputs'!T1161</f>
        <v>2113.1138306713106</v>
      </c>
      <c r="G140" s="4"/>
    </row>
    <row r="141" spans="2:7">
      <c r="B141" s="4"/>
      <c r="D141" s="14" t="str">
        <f>'Parameter Inputs'!S1162</f>
        <v>Waste biomass (kg/cycle)</v>
      </c>
      <c r="E141" s="79">
        <f ca="1">'Parameter Inputs'!T1162</f>
        <v>2918.1095756889526</v>
      </c>
      <c r="G141" s="4"/>
    </row>
    <row r="142" spans="2:7">
      <c r="B142" s="4"/>
      <c r="D142" s="14" t="s">
        <v>1644</v>
      </c>
      <c r="E142" s="79">
        <f ca="1">E140*2</f>
        <v>4226.2276613426211</v>
      </c>
      <c r="G142" s="4"/>
    </row>
    <row r="143" spans="2:7">
      <c r="B143" s="4"/>
      <c r="D143" s="15" t="s">
        <v>1645</v>
      </c>
      <c r="E143" s="80">
        <f ca="1">E141*2</f>
        <v>5836.2191513779053</v>
      </c>
      <c r="G143" s="4"/>
    </row>
    <row r="144" spans="2:7">
      <c r="B144" s="4"/>
      <c r="G144" s="4"/>
    </row>
    <row r="145" spans="2:7">
      <c r="B145" s="4"/>
      <c r="D145" s="67" t="s">
        <v>1637</v>
      </c>
      <c r="E145" s="18"/>
      <c r="G145" s="4"/>
    </row>
    <row r="146" spans="2:7">
      <c r="B146" s="4"/>
      <c r="D146" s="14" t="str">
        <f>'Parameter Inputs'!M1172</f>
        <v>DMC Recovered (kg/cycle)</v>
      </c>
      <c r="E146" s="79">
        <f ca="1">'Parameter Inputs'!N1172</f>
        <v>66174.96271765561</v>
      </c>
      <c r="G146" s="4"/>
    </row>
    <row r="147" spans="2:7">
      <c r="B147" s="4"/>
      <c r="D147" s="14" t="str">
        <f>'Parameter Inputs'!M1173</f>
        <v>PHA Recovered (kg/cycle)</v>
      </c>
      <c r="E147" s="79">
        <f ca="1">'Parameter Inputs'!N1173</f>
        <v>947.04080024749169</v>
      </c>
      <c r="G147" s="4"/>
    </row>
    <row r="148" spans="2:7">
      <c r="B148" s="4"/>
      <c r="D148" s="14" t="s">
        <v>1644</v>
      </c>
      <c r="E148" s="79">
        <f ca="1">E146*2</f>
        <v>132349.92543531122</v>
      </c>
      <c r="G148" s="4"/>
    </row>
    <row r="149" spans="2:7">
      <c r="B149" s="4"/>
      <c r="D149" s="15" t="s">
        <v>1646</v>
      </c>
      <c r="E149" s="80">
        <f ca="1">E147*2</f>
        <v>1894.0816004949834</v>
      </c>
      <c r="G149" s="4"/>
    </row>
    <row r="150" spans="2:7">
      <c r="B150" s="4"/>
      <c r="G150" s="4"/>
    </row>
    <row r="151" spans="2:7">
      <c r="B151" s="4"/>
      <c r="C151" s="4"/>
      <c r="D151" s="4"/>
      <c r="E151" s="4"/>
      <c r="F151" s="4"/>
      <c r="G151" s="4"/>
    </row>
  </sheetData>
  <mergeCells count="1">
    <mergeCell ref="C3: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C8BF-0A4C-42F4-BD1E-D35A066A5124}">
  <sheetPr codeName="Sheet8"/>
  <dimension ref="B2:I103"/>
  <sheetViews>
    <sheetView zoomScale="60" zoomScaleNormal="60" workbookViewId="0">
      <selection activeCell="E40" sqref="E40"/>
    </sheetView>
  </sheetViews>
  <sheetFormatPr defaultColWidth="9.1796875" defaultRowHeight="14.5"/>
  <cols>
    <col min="1" max="1" width="9.1796875" style="5"/>
    <col min="2" max="2" width="2.6328125" style="5" customWidth="1"/>
    <col min="3" max="3" width="9.1796875" style="5"/>
    <col min="4" max="4" width="61.7265625" style="5" bestFit="1" customWidth="1"/>
    <col min="5" max="5" width="38.26953125" style="5" bestFit="1" customWidth="1"/>
    <col min="6" max="6" width="44.453125" style="5" bestFit="1" customWidth="1"/>
    <col min="7" max="7" width="9.1796875" style="5"/>
    <col min="8" max="8" width="9.1796875" style="5" customWidth="1"/>
    <col min="9" max="9" width="2.6328125" style="5" customWidth="1"/>
    <col min="10" max="10" width="9.1796875" style="5"/>
    <col min="11" max="11" width="52.1796875" style="5" customWidth="1"/>
    <col min="12" max="12" width="45.81640625" style="5" bestFit="1" customWidth="1"/>
    <col min="13" max="13" width="13.453125" style="5" bestFit="1" customWidth="1"/>
    <col min="14" max="14" width="40" style="5" customWidth="1"/>
    <col min="15" max="15" width="41.7265625" style="5" customWidth="1"/>
    <col min="16" max="16384" width="9.1796875" style="5"/>
  </cols>
  <sheetData>
    <row r="2" spans="2:9">
      <c r="B2" s="4"/>
      <c r="C2" s="4"/>
      <c r="D2" s="4"/>
      <c r="E2" s="4"/>
      <c r="F2" s="4"/>
      <c r="G2" s="4"/>
      <c r="H2" s="4"/>
      <c r="I2" s="4"/>
    </row>
    <row r="3" spans="2:9">
      <c r="B3" s="4"/>
      <c r="C3" s="325" t="s">
        <v>1687</v>
      </c>
      <c r="D3" s="325"/>
      <c r="E3" s="325"/>
      <c r="F3" s="325"/>
      <c r="G3" s="325"/>
      <c r="H3" s="325"/>
      <c r="I3" s="4"/>
    </row>
    <row r="4" spans="2:9">
      <c r="B4" s="4"/>
      <c r="I4" s="4"/>
    </row>
    <row r="5" spans="2:9" ht="15.5">
      <c r="B5" s="4"/>
      <c r="D5" s="117" t="s">
        <v>1662</v>
      </c>
      <c r="E5" s="118" t="s">
        <v>503</v>
      </c>
      <c r="F5" s="119" t="s">
        <v>1665</v>
      </c>
      <c r="I5" s="4"/>
    </row>
    <row r="6" spans="2:9">
      <c r="B6" s="4"/>
      <c r="D6" s="206" t="str">
        <f>'Parameter Inputs'!D1393</f>
        <v>Accumulation</v>
      </c>
      <c r="E6" s="115">
        <f ca="1">'Parameter Inputs'!F1393</f>
        <v>2585189.7764835544</v>
      </c>
      <c r="F6" s="65">
        <f ca="1">'Parameter Inputs'!G1393</f>
        <v>0.37283030170078385</v>
      </c>
      <c r="I6" s="4"/>
    </row>
    <row r="7" spans="2:9">
      <c r="B7" s="4"/>
      <c r="D7" s="206" t="str">
        <f>'Parameter Inputs'!D1395</f>
        <v>Drying</v>
      </c>
      <c r="E7" s="115">
        <f ca="1">'Parameter Inputs'!F1395</f>
        <v>1450378.494419222</v>
      </c>
      <c r="F7" s="65">
        <f ca="1">'Parameter Inputs'!G1395</f>
        <v>0.20917035049944507</v>
      </c>
      <c r="I7" s="4"/>
    </row>
    <row r="8" spans="2:9">
      <c r="B8" s="4"/>
      <c r="D8" s="206" t="str">
        <f>'Parameter Inputs'!D1391</f>
        <v xml:space="preserve">Centrifugation </v>
      </c>
      <c r="E8" s="115">
        <f ca="1">'Parameter Inputs'!F1391</f>
        <v>855959.74731714907</v>
      </c>
      <c r="F8" s="65">
        <f ca="1">'Parameter Inputs'!G1391</f>
        <v>0.12344460501080336</v>
      </c>
      <c r="I8" s="4"/>
    </row>
    <row r="9" spans="2:9">
      <c r="B9" s="4"/>
      <c r="D9" s="206" t="str">
        <f>'Parameter Inputs'!D1392</f>
        <v>Enrichment</v>
      </c>
      <c r="E9" s="115">
        <f ca="1">'Parameter Inputs'!F1392</f>
        <v>849367.86509741901</v>
      </c>
      <c r="F9" s="65">
        <f ca="1">'Parameter Inputs'!G1392</f>
        <v>0.12249393846434155</v>
      </c>
      <c r="I9" s="4"/>
    </row>
    <row r="10" spans="2:9">
      <c r="B10" s="4"/>
      <c r="D10" s="206" t="str">
        <f>'Parameter Inputs'!D1394</f>
        <v>Centrifugation 2</v>
      </c>
      <c r="E10" s="115">
        <f ca="1">'Parameter Inputs'!F1394</f>
        <v>696881.16504034668</v>
      </c>
      <c r="F10" s="65">
        <f ca="1">'Parameter Inputs'!G1394</f>
        <v>0.10050264679794545</v>
      </c>
      <c r="I10" s="4"/>
    </row>
    <row r="11" spans="2:9">
      <c r="B11" s="4"/>
      <c r="D11" s="206" t="str">
        <f>'Parameter Inputs'!D1403</f>
        <v>Compounding</v>
      </c>
      <c r="E11" s="115">
        <f ca="1">'Parameter Inputs'!F1403</f>
        <v>305364.78267260146</v>
      </c>
      <c r="F11" s="65">
        <f ca="1">'Parameter Inputs'!G1403</f>
        <v>4.4039027652152153E-2</v>
      </c>
      <c r="I11" s="4"/>
    </row>
    <row r="12" spans="2:9">
      <c r="B12" s="4"/>
      <c r="D12" s="206" t="str">
        <f>'Parameter Inputs'!D1390</f>
        <v xml:space="preserve">Acidogenic Fermentation </v>
      </c>
      <c r="E12" s="115">
        <f ca="1">'Parameter Inputs'!F1390</f>
        <v>91432.099042902817</v>
      </c>
      <c r="F12" s="65">
        <f ca="1">'Parameter Inputs'!G1390</f>
        <v>1.3186133328157334E-2</v>
      </c>
      <c r="I12" s="4"/>
    </row>
    <row r="13" spans="2:9">
      <c r="B13" s="4"/>
      <c r="D13" s="206" t="str">
        <f>'Parameter Inputs'!D1389</f>
        <v>Thermal Hydrolysis and Anaerobic digestion</v>
      </c>
      <c r="E13" s="115">
        <f ca="1">'Parameter Inputs'!F1389</f>
        <v>66445.831600142716</v>
      </c>
      <c r="F13" s="65">
        <f ca="1">'Parameter Inputs'!G1389</f>
        <v>9.582669584875747E-3</v>
      </c>
      <c r="I13" s="4"/>
    </row>
    <row r="14" spans="2:9">
      <c r="B14" s="4"/>
      <c r="D14" s="206" t="str">
        <f>'Parameter Inputs'!D1402</f>
        <v>Electricity for pumping sludge</v>
      </c>
      <c r="E14" s="115">
        <f ca="1">'Parameter Inputs'!F1402</f>
        <v>31333.312536362533</v>
      </c>
      <c r="F14" s="65">
        <f ca="1">'Parameter Inputs'!G1402</f>
        <v>4.5188204256738094E-3</v>
      </c>
      <c r="I14" s="4"/>
    </row>
    <row r="15" spans="2:9">
      <c r="B15" s="4"/>
      <c r="D15" s="206" t="str">
        <f>'Parameter Inputs'!D1400</f>
        <v>Evaporator 2 (DMC PHA Mixture)</v>
      </c>
      <c r="E15" s="115">
        <f ca="1">'Parameter Inputs'!F1400</f>
        <v>975.91359159370904</v>
      </c>
      <c r="F15" s="65">
        <f ca="1">'Parameter Inputs'!G1400</f>
        <v>1.4074408080117699E-4</v>
      </c>
      <c r="I15" s="4"/>
    </row>
    <row r="16" spans="2:9">
      <c r="B16" s="4"/>
      <c r="D16" s="206" t="str">
        <f>'Parameter Inputs'!D1401</f>
        <v xml:space="preserve">Condensor 2 </v>
      </c>
      <c r="E16" s="115">
        <f ca="1">'Parameter Inputs'!F1401</f>
        <v>338.15405948722014</v>
      </c>
      <c r="F16" s="65">
        <f ca="1">'Parameter Inputs'!G1401</f>
        <v>4.8767823997607826E-5</v>
      </c>
      <c r="I16" s="4"/>
    </row>
    <row r="17" spans="2:9">
      <c r="B17" s="4"/>
      <c r="D17" s="206" t="str">
        <f>'Parameter Inputs'!D1396</f>
        <v>Extraction</v>
      </c>
      <c r="E17" s="115">
        <f ca="1">'Parameter Inputs'!F1396</f>
        <v>217.27143733874448</v>
      </c>
      <c r="F17" s="65">
        <f ca="1">'Parameter Inputs'!G1396</f>
        <v>3.1334401934759613E-5</v>
      </c>
      <c r="I17" s="4"/>
    </row>
    <row r="18" spans="2:9">
      <c r="B18" s="4"/>
      <c r="D18" s="206" t="str">
        <f>'Parameter Inputs'!D1397</f>
        <v>Centrifuge</v>
      </c>
      <c r="E18" s="115">
        <f ca="1">'Parameter Inputs'!F1397</f>
        <v>52.468472666328445</v>
      </c>
      <c r="F18" s="65">
        <f ca="1">'Parameter Inputs'!G1397</f>
        <v>7.5668860645794093E-6</v>
      </c>
      <c r="I18" s="4"/>
    </row>
    <row r="19" spans="2:9">
      <c r="B19" s="4"/>
      <c r="D19" s="206" t="str">
        <f>'Parameter Inputs'!D1398</f>
        <v>Evaporator 1</v>
      </c>
      <c r="E19" s="115">
        <f ca="1">'Parameter Inputs'!F1398</f>
        <v>18.363965433214965</v>
      </c>
      <c r="F19" s="65">
        <f ca="1">'Parameter Inputs'!G1398</f>
        <v>2.6484101226027944E-6</v>
      </c>
      <c r="I19" s="4"/>
    </row>
    <row r="20" spans="2:9">
      <c r="B20" s="4"/>
      <c r="D20" s="207" t="str">
        <f>'Parameter Inputs'!D1399</f>
        <v>Condensor 1</v>
      </c>
      <c r="E20" s="116">
        <f ca="1">'Parameter Inputs'!F1399</f>
        <v>3.0851461927801136</v>
      </c>
      <c r="F20" s="114">
        <f ca="1">'Parameter Inputs'!G1399</f>
        <v>4.4493290059726939E-7</v>
      </c>
      <c r="I20" s="4"/>
    </row>
    <row r="21" spans="2:9">
      <c r="B21" s="4"/>
      <c r="D21" s="101"/>
      <c r="E21" s="112"/>
      <c r="F21" s="113"/>
      <c r="I21" s="4"/>
    </row>
    <row r="22" spans="2:9" ht="15.5">
      <c r="B22" s="4"/>
      <c r="D22" s="117" t="s">
        <v>1662</v>
      </c>
      <c r="E22" s="117" t="s">
        <v>1663</v>
      </c>
      <c r="F22" s="120" t="s">
        <v>1664</v>
      </c>
      <c r="I22" s="4"/>
    </row>
    <row r="23" spans="2:9">
      <c r="B23" s="4"/>
      <c r="D23" s="68" t="str">
        <f>'Parameter Inputs'!D1390</f>
        <v xml:space="preserve">Acidogenic Fermentation </v>
      </c>
      <c r="E23" s="20">
        <f ca="1">'Parameter Inputs'!I1390</f>
        <v>11650551.541248491</v>
      </c>
      <c r="F23" s="65">
        <f ca="1">'Parameter Inputs'!J1390</f>
        <v>0.79068573432839506</v>
      </c>
      <c r="I23" s="4"/>
    </row>
    <row r="24" spans="2:9">
      <c r="B24" s="4"/>
      <c r="D24" s="68" t="str">
        <f>'Parameter Inputs'!D1396</f>
        <v>Extraction</v>
      </c>
      <c r="E24" s="20">
        <f ca="1">'Parameter Inputs'!I1396</f>
        <v>1866594.0750009546</v>
      </c>
      <c r="F24" s="65">
        <f ca="1">'Parameter Inputs'!J1396</f>
        <v>0.12667978006533093</v>
      </c>
      <c r="I24" s="4"/>
    </row>
    <row r="25" spans="2:9">
      <c r="B25" s="4"/>
      <c r="D25" s="68" t="str">
        <f>'Parameter Inputs'!D1389</f>
        <v>Thermal Hydrolysis and Anaerobic digestion</v>
      </c>
      <c r="E25" s="20">
        <f ca="1">'Parameter Inputs'!I1389</f>
        <v>1070516.175780077</v>
      </c>
      <c r="F25" s="65">
        <f ca="1">'Parameter Inputs'!J1389</f>
        <v>7.2652514823893857E-2</v>
      </c>
      <c r="I25" s="4"/>
    </row>
    <row r="26" spans="2:9">
      <c r="B26" s="4"/>
      <c r="D26" s="68" t="str">
        <f>'Parameter Inputs'!D1393</f>
        <v>Accumulation</v>
      </c>
      <c r="E26" s="20">
        <f ca="1">'Parameter Inputs'!I1393</f>
        <v>75064.949062524625</v>
      </c>
      <c r="F26" s="65">
        <f ca="1">'Parameter Inputs'!J1393</f>
        <v>5.0944184197365067E-3</v>
      </c>
      <c r="I26" s="4"/>
    </row>
    <row r="27" spans="2:9">
      <c r="B27" s="4"/>
      <c r="D27" s="68" t="str">
        <f>'Parameter Inputs'!D1392</f>
        <v>Enrichment</v>
      </c>
      <c r="E27" s="20">
        <f ca="1">'Parameter Inputs'!I1392</f>
        <v>65038.523892914091</v>
      </c>
      <c r="F27" s="65">
        <f ca="1">'Parameter Inputs'!J1392</f>
        <v>4.4139569566157087E-3</v>
      </c>
      <c r="I27" s="4"/>
    </row>
    <row r="28" spans="2:9">
      <c r="B28" s="4"/>
      <c r="D28" s="68" t="str">
        <f>'Parameter Inputs'!D1400</f>
        <v>Evaporator 2 (DMC PHA Mixture)</v>
      </c>
      <c r="E28" s="20">
        <f ca="1">'Parameter Inputs'!I1400</f>
        <v>6831.3951411559638</v>
      </c>
      <c r="F28" s="65">
        <f ca="1">'Parameter Inputs'!J1400</f>
        <v>4.6362497642695306E-4</v>
      </c>
      <c r="I28" s="4"/>
    </row>
    <row r="29" spans="2:9">
      <c r="B29" s="4"/>
      <c r="D29" s="68" t="str">
        <f>'Parameter Inputs'!D1398</f>
        <v>Evaporator 1</v>
      </c>
      <c r="E29" s="20">
        <f ca="1">'Parameter Inputs'!I1398</f>
        <v>146.91172346571972</v>
      </c>
      <c r="F29" s="65">
        <f ca="1">'Parameter Inputs'!J1398</f>
        <v>9.9704296005796408E-6</v>
      </c>
      <c r="I29" s="4"/>
    </row>
    <row r="30" spans="2:9">
      <c r="B30" s="4"/>
      <c r="D30" s="68" t="str">
        <f>'Parameter Inputs'!D1391</f>
        <v xml:space="preserve">Centrifugation </v>
      </c>
      <c r="E30" s="20">
        <f>'Parameter Inputs'!I1391</f>
        <v>0</v>
      </c>
      <c r="F30" s="65">
        <f ca="1">'Parameter Inputs'!J1391</f>
        <v>0</v>
      </c>
      <c r="I30" s="4"/>
    </row>
    <row r="31" spans="2:9">
      <c r="B31" s="4"/>
      <c r="D31" s="68" t="str">
        <f>'Parameter Inputs'!D1394</f>
        <v>Centrifugation 2</v>
      </c>
      <c r="E31" s="20">
        <f>'Parameter Inputs'!I1394</f>
        <v>0</v>
      </c>
      <c r="F31" s="65">
        <f ca="1">'Parameter Inputs'!J1394</f>
        <v>0</v>
      </c>
      <c r="I31" s="4"/>
    </row>
    <row r="32" spans="2:9">
      <c r="B32" s="4"/>
      <c r="D32" s="68" t="str">
        <f>'Parameter Inputs'!D1395</f>
        <v>Drying</v>
      </c>
      <c r="E32" s="20">
        <f>'Parameter Inputs'!I1395</f>
        <v>0</v>
      </c>
      <c r="F32" s="65">
        <f ca="1">'Parameter Inputs'!J1395</f>
        <v>0</v>
      </c>
      <c r="I32" s="4"/>
    </row>
    <row r="33" spans="2:9">
      <c r="B33" s="4"/>
      <c r="D33" s="68" t="str">
        <f>'Parameter Inputs'!D1397</f>
        <v>Centrifuge</v>
      </c>
      <c r="E33" s="20">
        <f>'Parameter Inputs'!I1397</f>
        <v>0</v>
      </c>
      <c r="F33" s="65">
        <f ca="1">'Parameter Inputs'!J1397</f>
        <v>0</v>
      </c>
      <c r="I33" s="4"/>
    </row>
    <row r="34" spans="2:9">
      <c r="B34" s="4"/>
      <c r="D34" s="68" t="str">
        <f>'Parameter Inputs'!D1399</f>
        <v>Condensor 1</v>
      </c>
      <c r="E34" s="20">
        <f>'Parameter Inputs'!I1399</f>
        <v>0</v>
      </c>
      <c r="F34" s="65">
        <f ca="1">'Parameter Inputs'!J1399</f>
        <v>0</v>
      </c>
      <c r="I34" s="4"/>
    </row>
    <row r="35" spans="2:9">
      <c r="B35" s="4"/>
      <c r="D35" s="68" t="str">
        <f>'Parameter Inputs'!D1401</f>
        <v xml:space="preserve">Condensor 2 </v>
      </c>
      <c r="E35" s="20">
        <f>'Parameter Inputs'!I1401</f>
        <v>0</v>
      </c>
      <c r="F35" s="65">
        <f ca="1">'Parameter Inputs'!J1401</f>
        <v>0</v>
      </c>
      <c r="I35" s="4"/>
    </row>
    <row r="36" spans="2:9">
      <c r="B36" s="4"/>
      <c r="D36" s="68" t="str">
        <f>'Parameter Inputs'!D1402</f>
        <v>Electricity for pumping sludge</v>
      </c>
      <c r="E36" s="20">
        <f>'Parameter Inputs'!I1402</f>
        <v>0</v>
      </c>
      <c r="F36" s="65">
        <f ca="1">'Parameter Inputs'!J1402</f>
        <v>0</v>
      </c>
      <c r="I36" s="4"/>
    </row>
    <row r="37" spans="2:9">
      <c r="B37" s="4"/>
      <c r="D37" s="69" t="str">
        <f>'Parameter Inputs'!D1403</f>
        <v>Compounding</v>
      </c>
      <c r="E37" s="39">
        <f>'Parameter Inputs'!I1403</f>
        <v>0</v>
      </c>
      <c r="F37" s="114">
        <f ca="1">'Parameter Inputs'!J1403</f>
        <v>0</v>
      </c>
      <c r="I37" s="4"/>
    </row>
    <row r="38" spans="2:9">
      <c r="B38" s="4"/>
      <c r="I38" s="4"/>
    </row>
    <row r="39" spans="2:9">
      <c r="B39" s="4"/>
      <c r="D39" s="45" t="s">
        <v>1696</v>
      </c>
      <c r="E39" s="41"/>
      <c r="I39" s="4"/>
    </row>
    <row r="40" spans="2:9">
      <c r="B40" s="4"/>
      <c r="D40" s="203" t="str">
        <f>'Parameter Inputs'!D1182</f>
        <v>WWTP Electrcity Usage Usage Per annum (kWh)</v>
      </c>
      <c r="E40" s="41">
        <f>'Parameter Inputs'!E1182</f>
        <v>29882429.550000001</v>
      </c>
      <c r="I40" s="4"/>
    </row>
    <row r="41" spans="2:9">
      <c r="B41" s="4"/>
      <c r="D41" s="68" t="str">
        <f>'Parameter Inputs'!D1183</f>
        <v>PHA Electricty Usage kWh/year</v>
      </c>
      <c r="E41" s="36">
        <f ca="1">'Parameter Inputs'!E1183</f>
        <v>6867512.4992822725</v>
      </c>
      <c r="I41" s="4"/>
    </row>
    <row r="42" spans="2:9">
      <c r="B42" s="4"/>
      <c r="D42" s="68" t="str">
        <f>'Parameter Inputs'!D1184</f>
        <v>Biogas Electricity Requriment (kWh/y)</v>
      </c>
      <c r="E42" s="36">
        <f ca="1">'Parameter Inputs'!E1184</f>
        <v>66445.831600142745</v>
      </c>
      <c r="I42" s="4"/>
    </row>
    <row r="43" spans="2:9">
      <c r="B43" s="4"/>
      <c r="D43" s="68" t="str">
        <f>'Parameter Inputs'!D1185</f>
        <v>Electricity requirement of PHA and AD</v>
      </c>
      <c r="E43" s="36">
        <f ca="1">'Parameter Inputs'!E1185</f>
        <v>6933958.3308824152</v>
      </c>
      <c r="I43" s="4"/>
    </row>
    <row r="44" spans="2:9">
      <c r="B44" s="4"/>
      <c r="D44" s="68" t="str">
        <f>'Parameter Inputs'!D1186</f>
        <v>Total Electricity Use per Year (kWh/y)</v>
      </c>
      <c r="E44" s="36">
        <f ca="1">'Parameter Inputs'!E1186</f>
        <v>36816387.88088242</v>
      </c>
      <c r="I44" s="4"/>
    </row>
    <row r="45" spans="2:9">
      <c r="B45" s="4"/>
      <c r="D45" s="68" t="str">
        <f>'Parameter Inputs'!D1193</f>
        <v>Heating Requirement Total (kWh)</v>
      </c>
      <c r="E45" s="36">
        <f ca="1">'Parameter Inputs'!E1193</f>
        <v>1092363.4446735485</v>
      </c>
      <c r="I45" s="4"/>
    </row>
    <row r="46" spans="2:9">
      <c r="B46" s="4"/>
      <c r="D46" s="68" t="str">
        <f>'Parameter Inputs'!D1194</f>
        <v>Heating Requirement for WWTP only (kWh)</v>
      </c>
      <c r="E46" s="36">
        <f>'Parameter Inputs'!E1194</f>
        <v>330497.95458286814</v>
      </c>
      <c r="I46" s="4"/>
    </row>
    <row r="47" spans="2:9">
      <c r="B47" s="4"/>
      <c r="D47" s="68" t="str">
        <f>'Parameter Inputs'!D1195</f>
        <v>Heating Requirement for PHA Production</v>
      </c>
      <c r="E47" s="36">
        <f ca="1">'Parameter Inputs'!E1195</f>
        <v>13664227.39606951</v>
      </c>
      <c r="I47" s="4"/>
    </row>
    <row r="48" spans="2:9">
      <c r="B48" s="4"/>
      <c r="D48" s="68" t="str">
        <f>'Parameter Inputs'!D1196</f>
        <v>Heating Requirement for AD/PHA (kWh)</v>
      </c>
      <c r="E48" s="36">
        <f ca="1">'Parameter Inputs'!E1196</f>
        <v>14734743.571849588</v>
      </c>
      <c r="I48" s="4"/>
    </row>
    <row r="49" spans="2:9" ht="15" customHeight="1">
      <c r="B49" s="4"/>
      <c r="D49" s="68" t="str">
        <f>'Parameter Inputs'!D1197</f>
        <v>Total Heating Requirement (kWh/year)</v>
      </c>
      <c r="E49" s="36">
        <f ca="1">'Parameter Inputs'!E1197</f>
        <v>14756590.840743057</v>
      </c>
      <c r="I49" s="4"/>
    </row>
    <row r="50" spans="2:9">
      <c r="B50" s="4"/>
      <c r="D50" s="68" t="str">
        <f>'Parameter Inputs'!D1223</f>
        <v>Biogas Resource (m^3/d)</v>
      </c>
      <c r="E50" s="36">
        <f ca="1">'Parameter Inputs'!E1223</f>
        <v>6260.5246962048386</v>
      </c>
      <c r="I50" s="4"/>
    </row>
    <row r="51" spans="2:9">
      <c r="B51" s="4"/>
      <c r="D51" s="68" t="str">
        <f>'Parameter Inputs'!D1229</f>
        <v>Heat generation from biogas per year (kWh)</v>
      </c>
      <c r="E51" s="36">
        <f ca="1">'Parameter Inputs'!E1229</f>
        <v>12967894.342601297</v>
      </c>
      <c r="I51" s="4"/>
    </row>
    <row r="52" spans="2:9">
      <c r="B52" s="4"/>
      <c r="D52" s="68" t="str">
        <f>'Parameter Inputs'!D1239</f>
        <v>Total Heating From Natural gas (kWh/y)</v>
      </c>
      <c r="E52" s="36">
        <f ca="1">'Parameter Inputs'!E1239</f>
        <v>13298392.297184166</v>
      </c>
      <c r="I52" s="4"/>
    </row>
    <row r="53" spans="2:9" ht="15" customHeight="1">
      <c r="B53" s="4"/>
      <c r="D53" s="68" t="str">
        <f>'Parameter Inputs'!D1206</f>
        <v>Electricity Generation from Biogas per Year (kWh/y)</v>
      </c>
      <c r="E53" s="36">
        <f ca="1">'Parameter Inputs'!E1206</f>
        <v>0</v>
      </c>
      <c r="I53" s="4"/>
    </row>
    <row r="54" spans="2:9">
      <c r="B54" s="4"/>
      <c r="D54" s="69" t="str">
        <f>'Parameter Inputs'!D1200</f>
        <v>Electricity Coming From the Grid</v>
      </c>
      <c r="E54" s="22">
        <f ca="1">'Parameter Inputs'!E1200</f>
        <v>36816387.88088242</v>
      </c>
      <c r="I54" s="4"/>
    </row>
    <row r="55" spans="2:9">
      <c r="B55" s="4"/>
      <c r="I55" s="4"/>
    </row>
    <row r="56" spans="2:9">
      <c r="B56" s="4"/>
      <c r="D56" s="67" t="s">
        <v>1697</v>
      </c>
      <c r="E56" s="17"/>
      <c r="I56" s="4"/>
    </row>
    <row r="57" spans="2:9">
      <c r="B57" s="4"/>
      <c r="D57" s="68" t="str">
        <f>'Parameter Inputs'!D1211</f>
        <v>Proportion of Total Electricity from Biogas</v>
      </c>
      <c r="E57" s="65">
        <f ca="1">'Parameter Inputs'!E1211</f>
        <v>0</v>
      </c>
      <c r="I57" s="4"/>
    </row>
    <row r="58" spans="2:9">
      <c r="B58" s="4"/>
      <c r="D58" s="68" t="str">
        <f>'Parameter Inputs'!D1212</f>
        <v>Proportion of AD/PHA Electricity from biogas</v>
      </c>
      <c r="E58" s="65">
        <f ca="1">'Parameter Inputs'!E1212</f>
        <v>0</v>
      </c>
      <c r="I58" s="4"/>
    </row>
    <row r="59" spans="2:9">
      <c r="B59" s="4"/>
      <c r="D59" s="68" t="str">
        <f>'Parameter Inputs'!D1213</f>
        <v>Proportion of WWTP Electricity Covered by biogas</v>
      </c>
      <c r="E59" s="65">
        <f ca="1">'Parameter Inputs'!E1213</f>
        <v>0</v>
      </c>
      <c r="I59" s="4"/>
    </row>
    <row r="60" spans="2:9">
      <c r="B60" s="4"/>
      <c r="D60" s="68" t="str">
        <f>'Parameter Inputs'!D1214</f>
        <v>Proportion of WWTP electricity from natural gas</v>
      </c>
      <c r="E60" s="65">
        <f ca="1">'Parameter Inputs'!E1214</f>
        <v>0</v>
      </c>
      <c r="I60" s="4"/>
    </row>
    <row r="61" spans="2:9">
      <c r="B61" s="4"/>
      <c r="D61" s="68" t="str">
        <f>'Parameter Inputs'!D1215</f>
        <v>Proportion of AD/PHA Electricity from natural gas</v>
      </c>
      <c r="E61" s="65">
        <f>'Parameter Inputs'!E1215</f>
        <v>0</v>
      </c>
      <c r="I61" s="4"/>
    </row>
    <row r="62" spans="2:9">
      <c r="B62" s="4"/>
      <c r="D62" s="68" t="str">
        <f>'Parameter Inputs'!D1216</f>
        <v xml:space="preserve">Proportion of WWTP electrcicity coming from grid </v>
      </c>
      <c r="E62" s="65">
        <f ca="1">'Parameter Inputs'!E1216</f>
        <v>1</v>
      </c>
      <c r="I62" s="4"/>
    </row>
    <row r="63" spans="2:9">
      <c r="B63" s="4"/>
      <c r="D63" s="69" t="str">
        <f>'Parameter Inputs'!D1217</f>
        <v>Proportion of PHA/AD Electricity comgin fom Grid</v>
      </c>
      <c r="E63" s="114">
        <f ca="1">'Parameter Inputs'!E1217</f>
        <v>1</v>
      </c>
      <c r="I63" s="4"/>
    </row>
    <row r="64" spans="2:9">
      <c r="B64" s="4"/>
      <c r="I64" s="4"/>
    </row>
    <row r="65" spans="2:9">
      <c r="B65" s="4"/>
      <c r="D65" s="5" t="str">
        <f>'Parameter Inputs'!D1198</f>
        <v>Estimate of Wind Power Output</v>
      </c>
      <c r="E65" s="5">
        <f>'Parameter Inputs'!E1198</f>
        <v>0</v>
      </c>
      <c r="I65" s="4"/>
    </row>
    <row r="66" spans="2:9">
      <c r="B66" s="4"/>
      <c r="D66" s="5" t="str">
        <f>'Parameter Inputs'!D1199</f>
        <v>Estimate of Solar Power output</v>
      </c>
      <c r="E66" s="5">
        <f>'Parameter Inputs'!E1199</f>
        <v>0</v>
      </c>
      <c r="I66" s="4"/>
    </row>
    <row r="67" spans="2:9">
      <c r="B67" s="4"/>
      <c r="I67" s="4"/>
    </row>
    <row r="68" spans="2:9">
      <c r="B68" s="4"/>
      <c r="C68" s="325" t="s">
        <v>1675</v>
      </c>
      <c r="D68" s="325"/>
      <c r="E68" s="325"/>
      <c r="F68" s="325"/>
      <c r="G68" s="325"/>
      <c r="H68" s="325"/>
      <c r="I68" s="4"/>
    </row>
    <row r="69" spans="2:9">
      <c r="B69" s="4"/>
      <c r="I69" s="4"/>
    </row>
    <row r="70" spans="2:9">
      <c r="B70" s="4"/>
      <c r="I70" s="4"/>
    </row>
    <row r="71" spans="2:9">
      <c r="B71" s="4"/>
      <c r="I71" s="4"/>
    </row>
    <row r="72" spans="2:9">
      <c r="B72" s="4"/>
      <c r="I72" s="4"/>
    </row>
    <row r="73" spans="2:9">
      <c r="B73" s="4"/>
      <c r="I73" s="4"/>
    </row>
    <row r="74" spans="2:9">
      <c r="B74" s="4"/>
      <c r="I74" s="4"/>
    </row>
    <row r="75" spans="2:9">
      <c r="B75" s="4"/>
      <c r="I75" s="4"/>
    </row>
    <row r="76" spans="2:9">
      <c r="B76" s="4"/>
      <c r="I76" s="4"/>
    </row>
    <row r="77" spans="2:9">
      <c r="B77" s="4"/>
      <c r="I77" s="4"/>
    </row>
    <row r="78" spans="2:9">
      <c r="B78" s="4"/>
      <c r="I78" s="4"/>
    </row>
    <row r="79" spans="2:9">
      <c r="B79" s="4"/>
      <c r="I79" s="4"/>
    </row>
    <row r="80" spans="2:9">
      <c r="B80" s="4"/>
      <c r="I80" s="4"/>
    </row>
    <row r="81" spans="2:9">
      <c r="B81" s="4"/>
      <c r="I81" s="4"/>
    </row>
    <row r="82" spans="2:9">
      <c r="B82" s="4"/>
      <c r="I82" s="4"/>
    </row>
    <row r="83" spans="2:9">
      <c r="B83" s="4"/>
      <c r="I83" s="4"/>
    </row>
    <row r="84" spans="2:9">
      <c r="B84" s="4"/>
      <c r="I84" s="4"/>
    </row>
    <row r="85" spans="2:9">
      <c r="B85" s="4"/>
      <c r="I85" s="4"/>
    </row>
    <row r="86" spans="2:9">
      <c r="B86" s="4"/>
      <c r="I86" s="4"/>
    </row>
    <row r="87" spans="2:9">
      <c r="B87" s="4"/>
      <c r="I87" s="4"/>
    </row>
    <row r="88" spans="2:9">
      <c r="B88" s="4"/>
      <c r="I88" s="4"/>
    </row>
    <row r="89" spans="2:9">
      <c r="B89" s="4"/>
      <c r="I89" s="4"/>
    </row>
    <row r="90" spans="2:9">
      <c r="B90" s="4"/>
      <c r="I90" s="4"/>
    </row>
    <row r="91" spans="2:9">
      <c r="B91" s="4"/>
      <c r="I91" s="4"/>
    </row>
    <row r="92" spans="2:9">
      <c r="B92" s="4"/>
      <c r="I92" s="4"/>
    </row>
    <row r="93" spans="2:9">
      <c r="B93" s="4"/>
      <c r="I93" s="4"/>
    </row>
    <row r="94" spans="2:9">
      <c r="B94" s="4"/>
      <c r="I94" s="4"/>
    </row>
    <row r="95" spans="2:9">
      <c r="B95" s="4"/>
      <c r="I95" s="4"/>
    </row>
    <row r="96" spans="2:9">
      <c r="B96" s="4"/>
      <c r="I96" s="4"/>
    </row>
    <row r="97" spans="2:9">
      <c r="B97" s="4"/>
      <c r="I97" s="4"/>
    </row>
    <row r="98" spans="2:9">
      <c r="B98" s="4"/>
      <c r="I98" s="4"/>
    </row>
    <row r="99" spans="2:9">
      <c r="B99" s="4"/>
      <c r="I99" s="4"/>
    </row>
    <row r="100" spans="2:9">
      <c r="B100" s="4"/>
      <c r="I100" s="4"/>
    </row>
    <row r="101" spans="2:9" ht="58" customHeight="1">
      <c r="B101" s="4"/>
      <c r="I101" s="4"/>
    </row>
    <row r="102" spans="2:9">
      <c r="B102" s="4"/>
      <c r="I102" s="4"/>
    </row>
    <row r="103" spans="2:9">
      <c r="B103" s="4"/>
      <c r="C103" s="4"/>
      <c r="D103" s="4"/>
      <c r="E103" s="4"/>
      <c r="F103" s="4"/>
      <c r="G103" s="4"/>
      <c r="H103" s="4"/>
      <c r="I103" s="4"/>
    </row>
  </sheetData>
  <mergeCells count="2">
    <mergeCell ref="C3:H3"/>
    <mergeCell ref="C68:H68"/>
  </mergeCells>
  <pageMargins left="0.7" right="0.7" top="0.75" bottom="0.75" header="0.3" footer="0.3"/>
  <pageSetup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96D7-1792-45AF-96C4-FE078D4C8E8C}">
  <sheetPr codeName="Sheet3"/>
  <dimension ref="B2:X210"/>
  <sheetViews>
    <sheetView topLeftCell="L1" zoomScale="90" zoomScaleNormal="90" workbookViewId="0">
      <selection activeCell="D94" sqref="D94"/>
    </sheetView>
  </sheetViews>
  <sheetFormatPr defaultRowHeight="14.5"/>
  <cols>
    <col min="1" max="1" width="8.7265625" style="5"/>
    <col min="2" max="2" width="2.6328125" style="5" customWidth="1"/>
    <col min="3" max="3" width="8.7265625" style="5"/>
    <col min="4" max="4" width="60.453125" style="5" bestFit="1" customWidth="1"/>
    <col min="5" max="20" width="29" style="5" customWidth="1"/>
    <col min="21" max="21" width="34.90625" style="5" bestFit="1" customWidth="1"/>
    <col min="22" max="23" width="8.7265625" style="5"/>
    <col min="24" max="24" width="2.6328125" style="5" customWidth="1"/>
    <col min="25" max="16384" width="8.7265625" style="5"/>
  </cols>
  <sheetData>
    <row r="2" spans="2:24">
      <c r="B2" s="4"/>
      <c r="C2" s="4"/>
      <c r="D2" s="4"/>
      <c r="E2" s="4"/>
      <c r="F2" s="4"/>
      <c r="G2" s="4"/>
      <c r="H2" s="4"/>
      <c r="I2" s="4"/>
      <c r="J2" s="4"/>
      <c r="K2" s="4"/>
      <c r="L2" s="4"/>
      <c r="M2" s="4"/>
      <c r="N2" s="4"/>
      <c r="O2" s="4"/>
      <c r="P2" s="4"/>
      <c r="Q2" s="4"/>
      <c r="R2" s="4"/>
      <c r="S2" s="4"/>
      <c r="T2" s="4"/>
      <c r="U2" s="4"/>
      <c r="V2" s="4"/>
      <c r="W2" s="4"/>
      <c r="X2" s="4"/>
    </row>
    <row r="3" spans="2:24">
      <c r="B3" s="4"/>
      <c r="C3" s="325" t="s">
        <v>1695</v>
      </c>
      <c r="D3" s="349"/>
      <c r="E3" s="349"/>
      <c r="F3" s="349"/>
      <c r="G3" s="349"/>
      <c r="H3" s="349"/>
      <c r="I3" s="349"/>
      <c r="J3" s="349"/>
      <c r="K3" s="349"/>
      <c r="L3" s="349"/>
      <c r="M3" s="349"/>
      <c r="N3" s="349"/>
      <c r="O3" s="349"/>
      <c r="P3" s="349"/>
      <c r="Q3" s="349"/>
      <c r="R3" s="349"/>
      <c r="S3" s="349"/>
      <c r="T3" s="349"/>
      <c r="U3" s="349"/>
      <c r="V3" s="349"/>
      <c r="W3" s="349"/>
      <c r="X3" s="4"/>
    </row>
    <row r="4" spans="2:24">
      <c r="B4" s="4"/>
      <c r="X4" s="4"/>
    </row>
    <row r="5" spans="2:24" ht="18.5">
      <c r="B5" s="4"/>
      <c r="D5" s="202" t="s">
        <v>1501</v>
      </c>
      <c r="E5" s="42" t="s">
        <v>172</v>
      </c>
      <c r="F5" s="42" t="s">
        <v>1670</v>
      </c>
      <c r="G5" s="42" t="s">
        <v>1671</v>
      </c>
      <c r="H5" s="42" t="s">
        <v>1672</v>
      </c>
      <c r="I5" s="42" t="s">
        <v>1290</v>
      </c>
      <c r="J5" s="42" t="s">
        <v>982</v>
      </c>
      <c r="K5" s="42" t="s">
        <v>690</v>
      </c>
      <c r="L5" s="42" t="s">
        <v>997</v>
      </c>
      <c r="M5" s="42" t="s">
        <v>1318</v>
      </c>
      <c r="N5" s="42" t="s">
        <v>1287</v>
      </c>
      <c r="O5" s="42" t="s">
        <v>1288</v>
      </c>
      <c r="P5" s="42" t="s">
        <v>1199</v>
      </c>
      <c r="Q5" s="42" t="s">
        <v>643</v>
      </c>
      <c r="R5" s="42" t="s">
        <v>1673</v>
      </c>
      <c r="S5" s="42" t="s">
        <v>1504</v>
      </c>
      <c r="T5" s="42" t="s">
        <v>1502</v>
      </c>
      <c r="U5" s="42" t="s">
        <v>1503</v>
      </c>
      <c r="V5" s="16"/>
      <c r="W5" s="16"/>
      <c r="X5" s="4"/>
    </row>
    <row r="6" spans="2:24" ht="18.5">
      <c r="B6" s="4"/>
      <c r="D6" s="235" t="s">
        <v>1738</v>
      </c>
      <c r="E6" s="13">
        <f ca="1">'Parameter Inputs'!Z1633</f>
        <v>0</v>
      </c>
      <c r="F6" s="13">
        <f ca="1">'Parameter Inputs'!Y1634</f>
        <v>0</v>
      </c>
      <c r="G6" s="13">
        <f ca="1">'Parameter Inputs'!Y1635</f>
        <v>0</v>
      </c>
      <c r="H6" s="13">
        <f ca="1">'Parameter Inputs'!Y1636</f>
        <v>0.14388060125763052</v>
      </c>
      <c r="I6" s="13">
        <f ca="1">'Parameter Inputs'!Y1637</f>
        <v>1.8493216677303447E-3</v>
      </c>
      <c r="J6" s="48">
        <f ca="1">'Parameter Inputs'!Y1638</f>
        <v>7.6756982118527089E-3</v>
      </c>
      <c r="K6" s="13">
        <f ca="1">'Parameter Inputs'!Y1639</f>
        <v>5.2410182851751815E-2</v>
      </c>
      <c r="L6" s="13">
        <f ca="1">'Parameter Inputs'!Y1640</f>
        <v>2.6696275090749666E-3</v>
      </c>
      <c r="M6" s="13">
        <f ca="1">'Parameter Inputs'!Y1641</f>
        <v>0.11336167411572487</v>
      </c>
      <c r="N6" s="13">
        <f ca="1">'Parameter Inputs'!Y1642</f>
        <v>0</v>
      </c>
      <c r="O6" s="13">
        <f ca="1">'Parameter Inputs'!Y1643</f>
        <v>0</v>
      </c>
      <c r="P6" s="13">
        <f ca="1">'Parameter Inputs'!Y1644</f>
        <v>-0.15199949364244691</v>
      </c>
      <c r="Q6" s="13">
        <f ca="1">'Parameter Inputs'!Y1645</f>
        <v>-0.20334475953599504</v>
      </c>
      <c r="R6" s="13"/>
      <c r="S6" s="13"/>
      <c r="T6" s="13"/>
      <c r="U6" s="13"/>
      <c r="V6" s="16"/>
      <c r="W6" s="16"/>
      <c r="X6" s="4"/>
    </row>
    <row r="7" spans="2:24" ht="18.5">
      <c r="B7" s="4"/>
      <c r="D7" s="234" t="s">
        <v>1710</v>
      </c>
      <c r="E7" s="14"/>
      <c r="F7" s="14"/>
      <c r="G7" s="14"/>
      <c r="H7" s="14"/>
      <c r="I7" s="14"/>
      <c r="J7" s="14"/>
      <c r="K7" s="14"/>
      <c r="L7" s="14"/>
      <c r="M7" s="14"/>
      <c r="N7" s="14"/>
      <c r="O7" s="14"/>
      <c r="P7" s="14"/>
      <c r="Q7" s="14"/>
      <c r="R7" s="14">
        <f ca="1">SUM(E6:Q6)</f>
        <v>-3.3497147564676727E-2</v>
      </c>
      <c r="S7" s="122">
        <f ca="1">SUM(E6:M6)</f>
        <v>0.32184710561376523</v>
      </c>
      <c r="T7" s="275">
        <v>40.980514742338137</v>
      </c>
      <c r="U7" s="122">
        <f ca="1">S7/T7</f>
        <v>7.8536618594801551E-3</v>
      </c>
      <c r="V7" s="16"/>
      <c r="W7" s="16"/>
      <c r="X7" s="4"/>
    </row>
    <row r="8" spans="2:24">
      <c r="B8" s="4"/>
      <c r="D8" s="68" t="s">
        <v>1598</v>
      </c>
      <c r="E8" s="122">
        <f ca="1">'Parameter Inputs'!Z1633</f>
        <v>0</v>
      </c>
      <c r="F8" s="20">
        <f ca="1">'Parameter Inputs'!Z1634</f>
        <v>0</v>
      </c>
      <c r="G8" s="20">
        <f ca="1">'Parameter Inputs'!Z1635</f>
        <v>0</v>
      </c>
      <c r="H8" s="20">
        <f ca="1">'Parameter Inputs'!Z1636</f>
        <v>93.235514337269905</v>
      </c>
      <c r="I8" s="20">
        <f ca="1">'Parameter Inputs'!Z1637</f>
        <v>4.831531495661932</v>
      </c>
      <c r="J8" s="20">
        <f ca="1">'Parameter Inputs'!Z1638</f>
        <v>2.8043892250181397</v>
      </c>
      <c r="K8" s="20">
        <f ca="1">'Parameter Inputs'!Z1639</f>
        <v>20.48086444963586</v>
      </c>
      <c r="L8" s="20">
        <f ca="1">'Parameter Inputs'!Z1640</f>
        <v>0.7389940633121963</v>
      </c>
      <c r="M8" s="20">
        <f ca="1">'Parameter Inputs'!Z1641</f>
        <v>22.359080350121573</v>
      </c>
      <c r="N8" s="20">
        <f ca="1">'Parameter Inputs'!Z1642</f>
        <v>0</v>
      </c>
      <c r="O8" s="20">
        <f ca="1">'Parameter Inputs'!Z1643</f>
        <v>0</v>
      </c>
      <c r="P8" s="20">
        <f ca="1">'Parameter Inputs'!Z1644</f>
        <v>-50.006520820058924</v>
      </c>
      <c r="Q8" s="20">
        <f ca="1">'Parameter Inputs'!Z1645</f>
        <v>-75.533424894521033</v>
      </c>
      <c r="R8" s="20"/>
      <c r="S8" s="14"/>
      <c r="T8" s="274"/>
      <c r="U8" s="14"/>
      <c r="X8" s="4"/>
    </row>
    <row r="9" spans="2:24">
      <c r="B9" s="4"/>
      <c r="D9" s="68" t="s">
        <v>1292</v>
      </c>
      <c r="E9" s="122"/>
      <c r="F9" s="20"/>
      <c r="G9" s="20"/>
      <c r="H9" s="20"/>
      <c r="I9" s="20"/>
      <c r="J9" s="20"/>
      <c r="K9" s="20"/>
      <c r="L9" s="20"/>
      <c r="M9" s="20"/>
      <c r="N9" s="20"/>
      <c r="O9" s="20"/>
      <c r="P9" s="20"/>
      <c r="Q9" s="20"/>
      <c r="R9" s="20">
        <f ca="1">'Parameter Inputs'!Z1646</f>
        <v>18.910428206439647</v>
      </c>
      <c r="S9" s="122">
        <f ca="1">SUM(E8:M8)</f>
        <v>144.4503739210196</v>
      </c>
      <c r="T9" s="273">
        <v>10757.058940165556</v>
      </c>
      <c r="U9" s="122">
        <f ca="1">S9/T9</f>
        <v>1.3428426368629384E-2</v>
      </c>
      <c r="X9" s="4"/>
    </row>
    <row r="10" spans="2:24">
      <c r="B10" s="4"/>
      <c r="D10" s="68" t="s">
        <v>1602</v>
      </c>
      <c r="E10" s="14">
        <f ca="1">'Parameter Inputs'!AA1633</f>
        <v>0</v>
      </c>
      <c r="F10" s="20">
        <f ca="1">'Parameter Inputs'!AA1634</f>
        <v>0</v>
      </c>
      <c r="G10" s="20">
        <f ca="1">'Parameter Inputs'!AA1635</f>
        <v>0</v>
      </c>
      <c r="H10" s="20">
        <f ca="1">'Parameter Inputs'!AA1636</f>
        <v>1.0499758168016533</v>
      </c>
      <c r="I10" s="20">
        <f ca="1">'Parameter Inputs'!AA1637</f>
        <v>1.2254112737883037E-2</v>
      </c>
      <c r="J10" s="20">
        <f ca="1">'Parameter Inputs'!AA1638</f>
        <v>0.15327127535489757</v>
      </c>
      <c r="K10" s="20">
        <f ca="1">'Parameter Inputs'!AA1639</f>
        <v>1.049358881399181</v>
      </c>
      <c r="L10" s="20">
        <f ca="1">'Parameter Inputs'!AA1640</f>
        <v>3.8407764840973795E-2</v>
      </c>
      <c r="M10" s="20">
        <f ca="1">'Parameter Inputs'!AA1641</f>
        <v>0.34518733897148918</v>
      </c>
      <c r="N10" s="20">
        <f ca="1">'Parameter Inputs'!AA1642</f>
        <v>0</v>
      </c>
      <c r="O10" s="20">
        <f ca="1">'Parameter Inputs'!AA1643</f>
        <v>0</v>
      </c>
      <c r="P10" s="20">
        <f ca="1">'Parameter Inputs'!AA1644</f>
        <v>-3.5392153780927611</v>
      </c>
      <c r="Q10" s="20">
        <f ca="1">'Parameter Inputs'!AA1645</f>
        <v>-2.8321677240082881</v>
      </c>
      <c r="R10" s="14"/>
      <c r="S10" s="14"/>
      <c r="T10" s="274"/>
      <c r="U10" s="14"/>
      <c r="X10" s="4"/>
    </row>
    <row r="11" spans="2:24">
      <c r="B11" s="4"/>
      <c r="D11" s="68" t="s">
        <v>1493</v>
      </c>
      <c r="E11" s="14"/>
      <c r="F11" s="20"/>
      <c r="G11" s="20"/>
      <c r="H11" s="20"/>
      <c r="I11" s="20"/>
      <c r="J11" s="20"/>
      <c r="K11" s="20"/>
      <c r="L11" s="20"/>
      <c r="M11" s="20"/>
      <c r="N11" s="20"/>
      <c r="O11" s="20"/>
      <c r="P11" s="20"/>
      <c r="Q11" s="20"/>
      <c r="R11" s="20">
        <f ca="1">'Parameter Inputs'!AA1646</f>
        <v>-3.7229279119949714</v>
      </c>
      <c r="S11" s="122">
        <f ca="1">SUM(E10:M10)</f>
        <v>2.6484551901060778</v>
      </c>
      <c r="T11" s="273">
        <v>12.570526256363966</v>
      </c>
      <c r="U11" s="122">
        <f ca="1">S11/T11</f>
        <v>0.21068769406255117</v>
      </c>
      <c r="X11" s="4"/>
    </row>
    <row r="12" spans="2:24">
      <c r="B12" s="4"/>
      <c r="D12" s="68" t="s">
        <v>1603</v>
      </c>
      <c r="E12" s="14">
        <f ca="1">'Parameter Inputs'!AB1633</f>
        <v>0</v>
      </c>
      <c r="F12" s="20">
        <f ca="1">'Parameter Inputs'!AB1634</f>
        <v>0</v>
      </c>
      <c r="G12" s="20">
        <f ca="1">'Parameter Inputs'!AB1635</f>
        <v>0</v>
      </c>
      <c r="H12" s="20">
        <f ca="1">'Parameter Inputs'!AB1636</f>
        <v>1.3673699510108801</v>
      </c>
      <c r="I12" s="20">
        <f ca="1">'Parameter Inputs'!AB1637</f>
        <v>1.7078196760297568E-2</v>
      </c>
      <c r="J12" s="20">
        <f ca="1">'Parameter Inputs'!AB1638</f>
        <v>0.21674981275814892</v>
      </c>
      <c r="K12" s="20">
        <f ca="1">'Parameter Inputs'!AB1639</f>
        <v>1.3681286043803378</v>
      </c>
      <c r="L12" s="20">
        <f ca="1">'Parameter Inputs'!AB1640</f>
        <v>5.2833293648483007E-2</v>
      </c>
      <c r="M12" s="20">
        <f ca="1">'Parameter Inputs'!AB1641</f>
        <v>0.45817588449053803</v>
      </c>
      <c r="N12" s="20">
        <f ca="1">'Parameter Inputs'!AB1642</f>
        <v>0</v>
      </c>
      <c r="O12" s="20">
        <f ca="1">'Parameter Inputs'!AB1643</f>
        <v>0</v>
      </c>
      <c r="P12" s="20">
        <f ca="1">'Parameter Inputs'!AB1644</f>
        <v>-4.6302988831794742</v>
      </c>
      <c r="Q12" s="20">
        <f ca="1">'Parameter Inputs'!AB1645</f>
        <v>-3.7592143488410001</v>
      </c>
      <c r="R12" s="14"/>
      <c r="S12" s="122"/>
      <c r="T12" s="272"/>
      <c r="U12" s="14"/>
      <c r="X12" s="4"/>
    </row>
    <row r="13" spans="2:24">
      <c r="B13" s="4"/>
      <c r="D13" s="68" t="s">
        <v>1424</v>
      </c>
      <c r="E13" s="14"/>
      <c r="F13" s="20"/>
      <c r="G13" s="20"/>
      <c r="H13" s="20"/>
      <c r="I13" s="20"/>
      <c r="J13" s="20"/>
      <c r="K13" s="20"/>
      <c r="L13" s="20"/>
      <c r="M13" s="20"/>
      <c r="N13" s="20"/>
      <c r="O13" s="20"/>
      <c r="P13" s="20"/>
      <c r="Q13" s="20"/>
      <c r="R13" s="20">
        <f ca="1">'Parameter Inputs'!AB1646</f>
        <v>-4.909177488971789</v>
      </c>
      <c r="S13" s="122">
        <f ca="1">SUM(E12:M12)</f>
        <v>3.4803357430486854</v>
      </c>
      <c r="T13" s="273">
        <v>8.797395430610127</v>
      </c>
      <c r="U13" s="122">
        <f ca="1">S13/T13</f>
        <v>0.39560978820379261</v>
      </c>
      <c r="X13" s="4"/>
    </row>
    <row r="14" spans="2:24">
      <c r="B14" s="4"/>
      <c r="D14" s="68" t="s">
        <v>1599</v>
      </c>
      <c r="E14" s="14">
        <f ca="1">'Parameter Inputs'!AC1633</f>
        <v>0</v>
      </c>
      <c r="F14" s="20">
        <f ca="1">'Parameter Inputs'!AC1634</f>
        <v>0</v>
      </c>
      <c r="G14" s="20">
        <f ca="1">'Parameter Inputs'!AC1635</f>
        <v>0</v>
      </c>
      <c r="H14" s="20">
        <f ca="1">'Parameter Inputs'!AC1636</f>
        <v>54.752726287926528</v>
      </c>
      <c r="I14" s="20">
        <f ca="1">'Parameter Inputs'!AC1637</f>
        <v>0.8655171611842486</v>
      </c>
      <c r="J14" s="20">
        <f ca="1">'Parameter Inputs'!AC1638</f>
        <v>31.677884731705959</v>
      </c>
      <c r="K14" s="20">
        <f ca="1">'Parameter Inputs'!AC1639</f>
        <v>104.32217519646628</v>
      </c>
      <c r="L14" s="20">
        <f ca="1">'Parameter Inputs'!AC1640</f>
        <v>2.7147440024947707</v>
      </c>
      <c r="M14" s="20">
        <f ca="1">'Parameter Inputs'!AC1641</f>
        <v>28.138234893988137</v>
      </c>
      <c r="N14" s="20">
        <f ca="1">'Parameter Inputs'!AC1642</f>
        <v>0</v>
      </c>
      <c r="O14" s="20">
        <f ca="1">'Parameter Inputs'!AC1643</f>
        <v>0</v>
      </c>
      <c r="P14" s="20">
        <f ca="1">'Parameter Inputs'!AC1644</f>
        <v>-357.41293431372571</v>
      </c>
      <c r="Q14" s="20">
        <f ca="1">'Parameter Inputs'!AC1645</f>
        <v>-315.85994694392429</v>
      </c>
      <c r="R14" s="14"/>
      <c r="S14" s="14"/>
      <c r="T14" s="274"/>
      <c r="U14" s="14"/>
      <c r="X14" s="4"/>
    </row>
    <row r="15" spans="2:24">
      <c r="B15" s="4"/>
      <c r="D15" s="68" t="s">
        <v>1526</v>
      </c>
      <c r="E15" s="14"/>
      <c r="F15" s="20"/>
      <c r="G15" s="20"/>
      <c r="H15" s="20"/>
      <c r="I15" s="20"/>
      <c r="J15" s="20"/>
      <c r="K15" s="20"/>
      <c r="L15" s="20"/>
      <c r="M15" s="20"/>
      <c r="N15" s="20"/>
      <c r="O15" s="20"/>
      <c r="P15" s="20"/>
      <c r="Q15" s="20"/>
      <c r="R15" s="20">
        <f ca="1">'Parameter Inputs'!AC1646</f>
        <v>-450.80159898388411</v>
      </c>
      <c r="S15" s="122">
        <f ca="1">SUM(E14:M14)</f>
        <v>222.47128227376592</v>
      </c>
      <c r="T15" s="273">
        <v>6727.9009749396018</v>
      </c>
      <c r="U15" s="122">
        <f ca="1">S15/T15</f>
        <v>3.306696740966273E-2</v>
      </c>
      <c r="X15" s="4"/>
    </row>
    <row r="16" spans="2:24">
      <c r="B16" s="4"/>
      <c r="D16" s="68" t="s">
        <v>1604</v>
      </c>
      <c r="E16" s="14">
        <f ca="1">'Parameter Inputs'!AD1633</f>
        <v>0</v>
      </c>
      <c r="F16" s="20">
        <f ca="1">'Parameter Inputs'!AD1634</f>
        <v>0</v>
      </c>
      <c r="G16" s="20">
        <f ca="1">'Parameter Inputs'!AD1635</f>
        <v>0</v>
      </c>
      <c r="H16" s="20">
        <f ca="1">'Parameter Inputs'!AD1636</f>
        <v>32.163342868472753</v>
      </c>
      <c r="I16" s="20">
        <f ca="1">'Parameter Inputs'!AD1637</f>
        <v>1.6503869093651276</v>
      </c>
      <c r="J16" s="20">
        <f ca="1">'Parameter Inputs'!AD1638</f>
        <v>0.55202713704945494</v>
      </c>
      <c r="K16" s="20">
        <f ca="1">'Parameter Inputs'!AD1639</f>
        <v>9.9818605214371239</v>
      </c>
      <c r="L16" s="20">
        <f ca="1">'Parameter Inputs'!AD1640</f>
        <v>0.19455782842080802</v>
      </c>
      <c r="M16" s="20">
        <f ca="1">'Parameter Inputs'!AD1641</f>
        <v>2.0517734112571295</v>
      </c>
      <c r="N16" s="20">
        <f ca="1">'Parameter Inputs'!AD1642</f>
        <v>0</v>
      </c>
      <c r="O16" s="20">
        <f ca="1">'Parameter Inputs'!AD1643</f>
        <v>0</v>
      </c>
      <c r="P16" s="20">
        <f ca="1">'Parameter Inputs'!AD1644</f>
        <v>-14.305886689750841</v>
      </c>
      <c r="Q16" s="20">
        <f ca="1">'Parameter Inputs'!AD1645</f>
        <v>-38.234264274111887</v>
      </c>
      <c r="R16" s="20"/>
      <c r="S16" s="14"/>
      <c r="T16" s="274"/>
      <c r="U16" s="14"/>
      <c r="X16" s="4"/>
    </row>
    <row r="17" spans="2:24">
      <c r="B17" s="4"/>
      <c r="D17" s="68" t="s">
        <v>1294</v>
      </c>
      <c r="E17" s="14"/>
      <c r="F17" s="20"/>
      <c r="G17" s="20"/>
      <c r="H17" s="20"/>
      <c r="I17" s="20"/>
      <c r="J17" s="20"/>
      <c r="K17" s="20"/>
      <c r="L17" s="20"/>
      <c r="M17" s="20"/>
      <c r="N17" s="20"/>
      <c r="O17" s="20"/>
      <c r="P17" s="20"/>
      <c r="Q17" s="20"/>
      <c r="R17" s="20">
        <f ca="1">'Parameter Inputs'!AD1646</f>
        <v>-5.9462022878603378</v>
      </c>
      <c r="S17" s="122">
        <f ca="1">SUM(E16:M16)</f>
        <v>46.593948676002391</v>
      </c>
      <c r="T17" s="274">
        <v>569</v>
      </c>
      <c r="U17" s="122">
        <f ca="1">S17/T17</f>
        <v>8.1887431768018257E-2</v>
      </c>
      <c r="X17" s="4"/>
    </row>
    <row r="18" spans="2:24">
      <c r="B18" s="4"/>
      <c r="D18" s="68" t="s">
        <v>1739</v>
      </c>
      <c r="E18" s="14">
        <f ca="1">'Parameter Inputs'!AE1633</f>
        <v>0</v>
      </c>
      <c r="F18" s="14">
        <f ca="1">'Parameter Inputs'!AE1634</f>
        <v>0</v>
      </c>
      <c r="G18" s="14">
        <f ca="1">'Parameter Inputs'!AE1635</f>
        <v>0</v>
      </c>
      <c r="H18" s="14">
        <f ca="1">'Parameter Inputs'!AE1636</f>
        <v>4.5255126801509718E-3</v>
      </c>
      <c r="I18" s="14">
        <f ca="1">'Parameter Inputs'!AE1637</f>
        <v>8.4626108170673874E-5</v>
      </c>
      <c r="J18" s="14">
        <f ca="1">'Parameter Inputs'!AE1638</f>
        <v>8.0108325390890981E-4</v>
      </c>
      <c r="K18" s="14">
        <f ca="1">'Parameter Inputs'!AE1639</f>
        <v>5.3943562691346914E-3</v>
      </c>
      <c r="L18" s="14">
        <f ca="1">'Parameter Inputs'!AE1640</f>
        <v>4.7856380468110879E-4</v>
      </c>
      <c r="M18" s="14">
        <f ca="1">'Parameter Inputs'!AE1641</f>
        <v>3.6045957920753297E-3</v>
      </c>
      <c r="N18" s="14">
        <f ca="1">'Parameter Inputs'!AE1642</f>
        <v>0</v>
      </c>
      <c r="O18" s="14">
        <f ca="1">'Parameter Inputs'!AE1643</f>
        <v>0</v>
      </c>
      <c r="P18" s="14">
        <f ca="1">'Parameter Inputs'!AE1644</f>
        <v>-1.5774041017318101E-2</v>
      </c>
      <c r="Q18" s="14">
        <f ca="1">'Parameter Inputs'!AE1645</f>
        <v>-1.5313482053234812E-2</v>
      </c>
      <c r="R18" s="14"/>
      <c r="S18" s="14"/>
      <c r="T18" s="272"/>
      <c r="U18" s="14"/>
      <c r="X18" s="4"/>
    </row>
    <row r="19" spans="2:24">
      <c r="B19" s="4"/>
      <c r="D19" s="68" t="s">
        <v>1711</v>
      </c>
      <c r="E19" s="14"/>
      <c r="F19" s="14"/>
      <c r="G19" s="14"/>
      <c r="H19" s="14"/>
      <c r="I19" s="14"/>
      <c r="J19" s="14"/>
      <c r="K19" s="14"/>
      <c r="L19" s="14"/>
      <c r="M19" s="14"/>
      <c r="N19" s="14"/>
      <c r="O19" s="14"/>
      <c r="P19" s="14"/>
      <c r="Q19" s="14"/>
      <c r="R19" s="20">
        <f>'Parameter Inputs'!AD1648</f>
        <v>0</v>
      </c>
      <c r="S19" s="122">
        <f ca="1">SUM(E18:M18)</f>
        <v>1.4888737908121685E-2</v>
      </c>
      <c r="T19" s="271">
        <v>0.64988836189570243</v>
      </c>
      <c r="U19" s="122">
        <f ca="1">S19/T19</f>
        <v>2.2909685387643715E-2</v>
      </c>
      <c r="X19" s="4"/>
    </row>
    <row r="20" spans="2:24">
      <c r="B20" s="4"/>
      <c r="D20" s="68" t="s">
        <v>1740</v>
      </c>
      <c r="E20" s="14">
        <f ca="1">'Parameter Inputs'!AF1633</f>
        <v>0</v>
      </c>
      <c r="F20" s="14">
        <f ca="1">'Parameter Inputs'!AF1634</f>
        <v>0</v>
      </c>
      <c r="G20" s="14">
        <f ca="1">'Parameter Inputs'!AF1635</f>
        <v>0</v>
      </c>
      <c r="H20" s="14">
        <f ca="1">'Parameter Inputs'!AF1636</f>
        <v>6.2343959811447347E-4</v>
      </c>
      <c r="I20" s="14">
        <f ca="1">'Parameter Inputs'!AF1637</f>
        <v>1.0100383987959441E-5</v>
      </c>
      <c r="J20" s="14">
        <f ca="1">'Parameter Inputs'!AF1638</f>
        <v>1.0986980956641979E-4</v>
      </c>
      <c r="K20" s="14">
        <f ca="1">'Parameter Inputs'!AF1639</f>
        <v>5.3896631701553534E-4</v>
      </c>
      <c r="L20" s="14">
        <f ca="1">'Parameter Inputs'!AF1640</f>
        <v>4.9867824133077139E-5</v>
      </c>
      <c r="M20" s="14">
        <f ca="1">'Parameter Inputs'!AF1641</f>
        <v>2.7432761523993614E-4</v>
      </c>
      <c r="N20" s="14">
        <f ca="1">'Parameter Inputs'!AF1642</f>
        <v>0</v>
      </c>
      <c r="O20" s="14">
        <f ca="1">'Parameter Inputs'!AF1643</f>
        <v>0</v>
      </c>
      <c r="P20" s="14">
        <f ca="1">'Parameter Inputs'!AF1644</f>
        <v>-2.8838493177828594E-3</v>
      </c>
      <c r="Q20" s="14">
        <f ca="1">'Parameter Inputs'!AF1645</f>
        <v>-2.4101014874140527E-3</v>
      </c>
      <c r="R20" s="20"/>
      <c r="S20" s="122"/>
      <c r="T20" s="272"/>
      <c r="U20" s="14"/>
      <c r="X20" s="4"/>
    </row>
    <row r="21" spans="2:24">
      <c r="B21" s="4"/>
      <c r="D21" s="68" t="s">
        <v>1712</v>
      </c>
      <c r="E21" s="14"/>
      <c r="F21" s="14"/>
      <c r="G21" s="14"/>
      <c r="H21" s="14"/>
      <c r="I21" s="14"/>
      <c r="J21" s="14"/>
      <c r="K21" s="14"/>
      <c r="L21" s="14"/>
      <c r="M21" s="14"/>
      <c r="N21" s="14"/>
      <c r="O21" s="14"/>
      <c r="P21" s="14"/>
      <c r="Q21" s="14"/>
      <c r="R21" s="20">
        <f>'Parameter Inputs'!AD1650</f>
        <v>0</v>
      </c>
      <c r="S21" s="122">
        <f ca="1">SUM(E20:M20)</f>
        <v>1.6065715480574013E-3</v>
      </c>
      <c r="T21" s="275">
        <v>4.6177855678795483</v>
      </c>
      <c r="U21" s="122">
        <f ca="1">S21/T21</f>
        <v>3.47909517330647E-4</v>
      </c>
      <c r="X21" s="4"/>
    </row>
    <row r="22" spans="2:24">
      <c r="B22" s="4"/>
      <c r="D22" s="68" t="s">
        <v>1596</v>
      </c>
      <c r="E22" s="14">
        <f ca="1">'Parameter Inputs'!AG1633</f>
        <v>0</v>
      </c>
      <c r="F22" s="20">
        <f ca="1">'Parameter Inputs'!AG1634</f>
        <v>0</v>
      </c>
      <c r="G22" s="20">
        <f ca="1">'Parameter Inputs'!AG1635</f>
        <v>0</v>
      </c>
      <c r="H22" s="20">
        <f ca="1">'Parameter Inputs'!AG1636</f>
        <v>2.2498014774547013</v>
      </c>
      <c r="I22" s="20">
        <f ca="1">'Parameter Inputs'!AG1637</f>
        <v>6.9516459744418613E-2</v>
      </c>
      <c r="J22" s="20">
        <f ca="1">'Parameter Inputs'!AG1638</f>
        <v>1.9553940183805829</v>
      </c>
      <c r="K22" s="20">
        <f ca="1">'Parameter Inputs'!AG1639</f>
        <v>1.1799533856895925</v>
      </c>
      <c r="L22" s="20">
        <f ca="1">'Parameter Inputs'!AG1640</f>
        <v>0.61090551871253385</v>
      </c>
      <c r="M22" s="20">
        <f ca="1">'Parameter Inputs'!AG1641</f>
        <v>0.61643447393654149</v>
      </c>
      <c r="N22" s="20">
        <f ca="1">'Parameter Inputs'!AG1642</f>
        <v>0</v>
      </c>
      <c r="O22" s="20">
        <f ca="1">'Parameter Inputs'!AG1643</f>
        <v>0</v>
      </c>
      <c r="P22" s="20">
        <f ca="1">'Parameter Inputs'!AG1644</f>
        <v>-3.2759022088078202</v>
      </c>
      <c r="Q22" s="20">
        <f ca="1">'Parameter Inputs'!AG1645</f>
        <v>-3.8541896285512784</v>
      </c>
      <c r="R22" s="14"/>
      <c r="S22" s="14"/>
      <c r="T22" s="274"/>
      <c r="U22" s="14"/>
      <c r="X22" s="4"/>
    </row>
    <row r="23" spans="2:24">
      <c r="B23" s="4"/>
      <c r="D23" s="68" t="s">
        <v>1479</v>
      </c>
      <c r="E23" s="14"/>
      <c r="F23" s="20"/>
      <c r="G23" s="20"/>
      <c r="H23" s="20"/>
      <c r="I23" s="20"/>
      <c r="J23" s="20"/>
      <c r="K23" s="20"/>
      <c r="L23" s="20"/>
      <c r="M23" s="20"/>
      <c r="N23" s="20"/>
      <c r="O23" s="20"/>
      <c r="P23" s="20"/>
      <c r="Q23" s="20"/>
      <c r="R23" s="20">
        <f ca="1">'Parameter Inputs'!AG1646</f>
        <v>-0.4480865034407282</v>
      </c>
      <c r="S23" s="122">
        <f ca="1">SUM(E22:M22)</f>
        <v>6.6820053339183705</v>
      </c>
      <c r="T23" s="273">
        <v>0.99033506001745564</v>
      </c>
      <c r="U23" s="122">
        <f ca="1">S23/T23</f>
        <v>6.7472167791379549</v>
      </c>
      <c r="X23" s="4"/>
    </row>
    <row r="24" spans="2:24">
      <c r="B24" s="4"/>
      <c r="D24" s="68" t="s">
        <v>1597</v>
      </c>
      <c r="E24" s="14">
        <f ca="1">'Parameter Inputs'!AH1633</f>
        <v>0</v>
      </c>
      <c r="F24" s="20">
        <f ca="1">'Parameter Inputs'!AH1634</f>
        <v>0</v>
      </c>
      <c r="G24" s="20">
        <f ca="1">'Parameter Inputs'!AH1635</f>
        <v>0</v>
      </c>
      <c r="H24" s="20">
        <f ca="1">'Parameter Inputs'!AH1636</f>
        <v>16.634886197778428</v>
      </c>
      <c r="I24" s="20">
        <f ca="1">'Parameter Inputs'!AH1637</f>
        <v>0.20644932596619633</v>
      </c>
      <c r="J24" s="20">
        <f ca="1">'Parameter Inputs'!AH1638</f>
        <v>2.5047495649950888</v>
      </c>
      <c r="K24" s="20">
        <f ca="1">'Parameter Inputs'!AH1639</f>
        <v>19.290441843146205</v>
      </c>
      <c r="L24" s="20">
        <f ca="1">'Parameter Inputs'!AH1640</f>
        <v>0.88602213587871392</v>
      </c>
      <c r="M24" s="20">
        <f ca="1">'Parameter Inputs'!AH1641</f>
        <v>8.9741766205207174</v>
      </c>
      <c r="N24" s="20">
        <f ca="1">'Parameter Inputs'!AH1642</f>
        <v>0</v>
      </c>
      <c r="O24" s="20">
        <f ca="1">'Parameter Inputs'!AH1643</f>
        <v>0</v>
      </c>
      <c r="P24" s="20">
        <f ca="1">'Parameter Inputs'!AH1644</f>
        <v>-58.049991248031283</v>
      </c>
      <c r="Q24" s="20">
        <f ca="1">'Parameter Inputs'!AH1645</f>
        <v>-56.440707996465164</v>
      </c>
      <c r="R24" s="14"/>
      <c r="S24" s="14"/>
      <c r="T24" s="272"/>
      <c r="U24" s="14"/>
      <c r="X24" s="4"/>
    </row>
    <row r="25" spans="2:24">
      <c r="B25" s="4"/>
      <c r="D25" s="68" t="s">
        <v>1480</v>
      </c>
      <c r="E25" s="14"/>
      <c r="F25" s="20"/>
      <c r="G25" s="20"/>
      <c r="H25" s="20"/>
      <c r="I25" s="20"/>
      <c r="J25" s="20"/>
      <c r="K25" s="20"/>
      <c r="L25" s="20"/>
      <c r="M25" s="20"/>
      <c r="N25" s="20"/>
      <c r="O25" s="20"/>
      <c r="P25" s="20"/>
      <c r="Q25" s="14"/>
      <c r="R25" s="20">
        <f ca="1">'Parameter Inputs'!AH1646</f>
        <v>-65.993973556211103</v>
      </c>
      <c r="S25" s="122">
        <f ca="1">SUM(E24:M24)</f>
        <v>48.496725688285345</v>
      </c>
      <c r="T25" s="273">
        <v>50.949702101783849</v>
      </c>
      <c r="U25" s="122">
        <f ca="1">S25/T25</f>
        <v>0.95185494100440249</v>
      </c>
      <c r="X25" s="4"/>
    </row>
    <row r="26" spans="2:24">
      <c r="B26" s="4"/>
      <c r="D26" s="68" t="s">
        <v>1741</v>
      </c>
      <c r="E26" s="14">
        <f ca="1">'Parameter Inputs'!AI1633</f>
        <v>0</v>
      </c>
      <c r="F26" s="20">
        <f ca="1">'Parameter Inputs'!AI1634</f>
        <v>0</v>
      </c>
      <c r="G26" s="20">
        <f ca="1">'Parameter Inputs'!AI1635</f>
        <v>0</v>
      </c>
      <c r="H26" s="20">
        <f ca="1">'Parameter Inputs'!AI1636</f>
        <v>4.2664154277352768</v>
      </c>
      <c r="I26" s="20">
        <f ca="1">'Parameter Inputs'!AI1637</f>
        <v>2.6436517197660284E-2</v>
      </c>
      <c r="J26" s="20">
        <f ca="1">'Parameter Inputs'!AI1638</f>
        <v>0.14174231602806697</v>
      </c>
      <c r="K26" s="20">
        <f ca="1">'Parameter Inputs'!AI1639</f>
        <v>1.5009794062569692</v>
      </c>
      <c r="L26" s="20">
        <f ca="1">'Parameter Inputs'!AI1640</f>
        <v>0.25425023895952059</v>
      </c>
      <c r="M26" s="20">
        <f ca="1">'Parameter Inputs'!AI1641</f>
        <v>0.28949572656527961</v>
      </c>
      <c r="N26" s="20">
        <f ca="1">'Parameter Inputs'!AI1642</f>
        <v>0</v>
      </c>
      <c r="O26" s="20">
        <f ca="1">'Parameter Inputs'!AI1643</f>
        <v>0</v>
      </c>
      <c r="P26" s="20">
        <f ca="1">'Parameter Inputs'!AI1644</f>
        <v>-5.20836807657441</v>
      </c>
      <c r="Q26" s="14">
        <f ca="1">'Parameter Inputs'!AI1645</f>
        <v>-3.4996803582702407</v>
      </c>
      <c r="R26" s="20"/>
      <c r="S26" s="122"/>
      <c r="T26" s="273"/>
      <c r="U26" s="122"/>
      <c r="X26" s="4"/>
    </row>
    <row r="27" spans="2:24">
      <c r="B27" s="4"/>
      <c r="D27" s="68" t="s">
        <v>1742</v>
      </c>
      <c r="E27" s="14"/>
      <c r="F27" s="20"/>
      <c r="G27" s="20"/>
      <c r="H27" s="20"/>
      <c r="I27" s="20"/>
      <c r="J27" s="20"/>
      <c r="K27" s="20"/>
      <c r="L27" s="20"/>
      <c r="M27" s="20"/>
      <c r="N27" s="20"/>
      <c r="O27" s="20"/>
      <c r="P27" s="20"/>
      <c r="Q27" s="14"/>
      <c r="R27" s="20">
        <f>'Parameter Inputs'!AG1650</f>
        <v>0</v>
      </c>
      <c r="S27" s="122">
        <f ca="1">SUM(E26:M26)</f>
        <v>6.4793196327427731</v>
      </c>
      <c r="T27" s="275">
        <v>469.71620868871332</v>
      </c>
      <c r="U27" s="122">
        <f ca="1">S27/T27</f>
        <v>1.3794115495462276E-2</v>
      </c>
      <c r="X27" s="4"/>
    </row>
    <row r="28" spans="2:24">
      <c r="B28" s="4"/>
      <c r="D28" s="68" t="s">
        <v>1743</v>
      </c>
      <c r="E28" s="14">
        <f ca="1">'Parameter Inputs'!AJ1633</f>
        <v>0</v>
      </c>
      <c r="F28" s="20">
        <f ca="1">'Parameter Inputs'!AJ1634</f>
        <v>0</v>
      </c>
      <c r="G28" s="20">
        <f ca="1">'Parameter Inputs'!AJ1635</f>
        <v>0</v>
      </c>
      <c r="H28" s="20">
        <f ca="1">'Parameter Inputs'!AJ1636</f>
        <v>2.0090042850419438</v>
      </c>
      <c r="I28" s="20">
        <f ca="1">'Parameter Inputs'!AJ1637</f>
        <v>4.9620300133753703E-3</v>
      </c>
      <c r="J28" s="20">
        <f ca="1">'Parameter Inputs'!AJ1638</f>
        <v>7.142122398564596E-2</v>
      </c>
      <c r="K28" s="20">
        <f ca="1">'Parameter Inputs'!AJ1639</f>
        <v>0.30895031588592725</v>
      </c>
      <c r="L28" s="20">
        <f ca="1">'Parameter Inputs'!AJ1640</f>
        <v>1.9445443645672099E-2</v>
      </c>
      <c r="M28" s="20">
        <f ca="1">'Parameter Inputs'!AJ1641</f>
        <v>0.72294099476449669</v>
      </c>
      <c r="N28" s="20">
        <f ca="1">'Parameter Inputs'!AJ1642</f>
        <v>0</v>
      </c>
      <c r="O28" s="20">
        <f ca="1">'Parameter Inputs'!AJ1643</f>
        <v>0</v>
      </c>
      <c r="P28" s="20">
        <f ca="1">'Parameter Inputs'!AJ1644</f>
        <v>-4.1241347798192134</v>
      </c>
      <c r="Q28" s="14">
        <f ca="1">'Parameter Inputs'!AJ1645</f>
        <v>-0.98994028049689686</v>
      </c>
      <c r="R28" s="20"/>
      <c r="S28" s="122"/>
      <c r="T28" s="273"/>
      <c r="U28" s="122"/>
      <c r="X28" s="4"/>
    </row>
    <row r="29" spans="2:24">
      <c r="B29" s="4"/>
      <c r="D29" s="68" t="s">
        <v>1713</v>
      </c>
      <c r="E29" s="14"/>
      <c r="F29" s="20"/>
      <c r="G29" s="20"/>
      <c r="H29" s="20"/>
      <c r="I29" s="20"/>
      <c r="J29" s="20"/>
      <c r="K29" s="20"/>
      <c r="L29" s="20"/>
      <c r="M29" s="20"/>
      <c r="N29" s="20"/>
      <c r="O29" s="20"/>
      <c r="P29" s="20"/>
      <c r="Q29" s="14"/>
      <c r="R29" s="20">
        <f>'Parameter Inputs'!AG1652</f>
        <v>0</v>
      </c>
      <c r="S29" s="122">
        <f ca="1">SUM(E28:M28)</f>
        <v>3.1367242933370605</v>
      </c>
      <c r="T29" s="275">
        <v>6167.4822789500304</v>
      </c>
      <c r="U29" s="122">
        <f ca="1">S29/T29</f>
        <v>5.0859072656647588E-4</v>
      </c>
      <c r="X29" s="4"/>
    </row>
    <row r="30" spans="2:24">
      <c r="B30" s="4"/>
      <c r="D30" s="68" t="s">
        <v>1601</v>
      </c>
      <c r="E30" s="14">
        <f ca="1">'Parameter Inputs'!AK1633</f>
        <v>0</v>
      </c>
      <c r="F30" s="20">
        <f ca="1">'Parameter Inputs'!AK1634</f>
        <v>0</v>
      </c>
      <c r="G30" s="20">
        <f ca="1">'Parameter Inputs'!AK1635</f>
        <v>0</v>
      </c>
      <c r="H30" s="20">
        <f ca="1">'Parameter Inputs'!AK1636</f>
        <v>0.51037419142006335</v>
      </c>
      <c r="I30" s="20">
        <f ca="1">'Parameter Inputs'!AK1637</f>
        <v>2.7308072850666748E-2</v>
      </c>
      <c r="J30" s="20">
        <f ca="1">'Parameter Inputs'!AK1638</f>
        <v>0.29672308125508889</v>
      </c>
      <c r="K30" s="20">
        <f ca="1">'Parameter Inputs'!AK1639</f>
        <v>0.24257004089933595</v>
      </c>
      <c r="L30" s="20">
        <f ca="1">'Parameter Inputs'!AK1640</f>
        <v>8.1658503272479671E-2</v>
      </c>
      <c r="M30" s="20">
        <f ca="1">'Parameter Inputs'!AK1641</f>
        <v>0.1203556659510949</v>
      </c>
      <c r="N30" s="20">
        <f ca="1">'Parameter Inputs'!AK1642</f>
        <v>0</v>
      </c>
      <c r="O30" s="20">
        <f ca="1">'Parameter Inputs'!AK1643</f>
        <v>0</v>
      </c>
      <c r="P30" s="20">
        <f ca="1">'Parameter Inputs'!AK1644</f>
        <v>-2.7444144320671846</v>
      </c>
      <c r="Q30" s="20">
        <f ca="1">'Parameter Inputs'!AK1645</f>
        <v>-0.71480495220509177</v>
      </c>
      <c r="R30" s="20"/>
      <c r="S30" s="14"/>
      <c r="T30" s="274"/>
      <c r="U30" s="14"/>
      <c r="X30" s="4"/>
    </row>
    <row r="31" spans="2:24">
      <c r="B31" s="4"/>
      <c r="D31" s="68" t="s">
        <v>1524</v>
      </c>
      <c r="E31" s="14"/>
      <c r="F31" s="20"/>
      <c r="G31" s="20"/>
      <c r="H31" s="20"/>
      <c r="I31" s="20"/>
      <c r="J31" s="20"/>
      <c r="K31" s="20"/>
      <c r="L31" s="20"/>
      <c r="M31" s="20"/>
      <c r="N31" s="20"/>
      <c r="O31" s="20"/>
      <c r="P31" s="20"/>
      <c r="Q31" s="20"/>
      <c r="R31" s="20">
        <f ca="1">'Parameter Inputs'!AK1646</f>
        <v>-2.1802298286235469</v>
      </c>
      <c r="S31" s="122">
        <f ca="1">SUM(E30:M30)</f>
        <v>1.2789895556487294</v>
      </c>
      <c r="T31" s="273">
        <v>193174.20515486065</v>
      </c>
      <c r="U31" s="122">
        <f ca="1">S31/T31</f>
        <v>6.62091273844461E-6</v>
      </c>
      <c r="X31" s="4"/>
    </row>
    <row r="32" spans="2:24">
      <c r="B32" s="4"/>
      <c r="D32" s="68" t="s">
        <v>1744</v>
      </c>
      <c r="E32" s="14">
        <f ca="1">'Parameter Inputs'!AL1633</f>
        <v>0</v>
      </c>
      <c r="F32" s="14">
        <f ca="1">'Parameter Inputs'!AL1634</f>
        <v>0</v>
      </c>
      <c r="G32" s="14">
        <f ca="1">'Parameter Inputs'!AL1635</f>
        <v>0</v>
      </c>
      <c r="H32" s="14">
        <f ca="1">'Parameter Inputs'!AL1636</f>
        <v>4.4359872067553051E-5</v>
      </c>
      <c r="I32" s="14">
        <f ca="1">'Parameter Inputs'!AL1637</f>
        <v>7.0455780694541036E-7</v>
      </c>
      <c r="J32" s="14">
        <f ca="1">'Parameter Inputs'!AL1638</f>
        <v>6.1704940996986676E-7</v>
      </c>
      <c r="K32" s="14">
        <f ca="1">'Parameter Inputs'!AL1639</f>
        <v>3.8097133483806857E-6</v>
      </c>
      <c r="L32" s="14">
        <f ca="1">'Parameter Inputs'!AL1640</f>
        <v>2.8390493411357928E-7</v>
      </c>
      <c r="M32" s="14">
        <f ca="1">'Parameter Inputs'!AL1641</f>
        <v>6.2700355837262182E-5</v>
      </c>
      <c r="N32" s="14">
        <f ca="1">'Parameter Inputs'!AL1642</f>
        <v>0</v>
      </c>
      <c r="O32" s="14">
        <f ca="1">'Parameter Inputs'!AL1643</f>
        <v>0</v>
      </c>
      <c r="P32" s="14">
        <f ca="1">'Parameter Inputs'!AL1644</f>
        <v>-1.0850729997119635E-5</v>
      </c>
      <c r="Q32" s="14">
        <f ca="1">'Parameter Inputs'!AL1645</f>
        <v>-4.8351939315741484E-4</v>
      </c>
      <c r="R32" s="14"/>
      <c r="S32" s="14"/>
      <c r="T32" s="272"/>
      <c r="U32" s="14"/>
      <c r="X32" s="4"/>
    </row>
    <row r="33" spans="2:24">
      <c r="B33" s="4"/>
      <c r="D33" s="68" t="s">
        <v>1714</v>
      </c>
      <c r="E33" s="14"/>
      <c r="F33" s="14"/>
      <c r="G33" s="14"/>
      <c r="H33" s="14"/>
      <c r="I33" s="14"/>
      <c r="J33" s="14"/>
      <c r="K33" s="14"/>
      <c r="L33" s="14"/>
      <c r="M33" s="14"/>
      <c r="N33" s="14"/>
      <c r="O33" s="14"/>
      <c r="P33" s="14"/>
      <c r="Q33" s="14"/>
      <c r="R33" s="20">
        <f>'Parameter Inputs'!AK1648</f>
        <v>0</v>
      </c>
      <c r="S33" s="122">
        <f ca="1">SUM(E32:M32)</f>
        <v>1.1247545340422478E-4</v>
      </c>
      <c r="T33" s="270">
        <v>6.532939248744353E-2</v>
      </c>
      <c r="U33" s="122">
        <f ca="1">S33/T33</f>
        <v>1.7216669116560794E-3</v>
      </c>
      <c r="X33" s="4"/>
    </row>
    <row r="34" spans="2:24">
      <c r="B34" s="4"/>
      <c r="D34" s="68" t="s">
        <v>1745</v>
      </c>
      <c r="E34" s="14">
        <f ca="1">'Parameter Inputs'!AM1633</f>
        <v>0</v>
      </c>
      <c r="F34" s="14">
        <f ca="1">'Parameter Inputs'!AM1634</f>
        <v>0</v>
      </c>
      <c r="G34" s="14">
        <f ca="1">'Parameter Inputs'!AM1635</f>
        <v>0</v>
      </c>
      <c r="H34" s="14">
        <f ca="1">'Parameter Inputs'!AM1636</f>
        <v>5.0173761633954019E-2</v>
      </c>
      <c r="I34" s="14">
        <f ca="1">'Parameter Inputs'!AM1637</f>
        <v>7.2549124526242483E-4</v>
      </c>
      <c r="J34" s="14">
        <f ca="1">'Parameter Inputs'!AM1638</f>
        <v>5.1704817446157191E-3</v>
      </c>
      <c r="K34" s="14">
        <f ca="1">'Parameter Inputs'!AM1639</f>
        <v>2.3005210189098756E-2</v>
      </c>
      <c r="L34" s="14">
        <f ca="1">'Parameter Inputs'!AM1640</f>
        <v>1.2129992223040122E-3</v>
      </c>
      <c r="M34" s="14">
        <f ca="1">'Parameter Inputs'!AM1641</f>
        <v>2.884023730029265E-2</v>
      </c>
      <c r="N34" s="14">
        <f ca="1">'Parameter Inputs'!AM1642</f>
        <v>0</v>
      </c>
      <c r="O34" s="14">
        <f ca="1">'Parameter Inputs'!AM1643</f>
        <v>0</v>
      </c>
      <c r="P34" s="14">
        <f ca="1">'Parameter Inputs'!AM1644</f>
        <v>-4.9378953347107242E-2</v>
      </c>
      <c r="Q34" s="14">
        <f ca="1">'Parameter Inputs'!AM1645</f>
        <v>-8.4112939879146142E-2</v>
      </c>
      <c r="R34" s="20"/>
      <c r="S34" s="122"/>
      <c r="T34" s="272"/>
      <c r="U34" s="14"/>
      <c r="X34" s="4"/>
    </row>
    <row r="35" spans="2:24">
      <c r="B35" s="4"/>
      <c r="D35" s="68" t="s">
        <v>1715</v>
      </c>
      <c r="E35" s="14"/>
      <c r="F35" s="14"/>
      <c r="G35" s="14"/>
      <c r="H35" s="14"/>
      <c r="I35" s="14"/>
      <c r="J35" s="14"/>
      <c r="K35" s="14"/>
      <c r="L35" s="14"/>
      <c r="M35" s="14"/>
      <c r="N35" s="14"/>
      <c r="O35" s="14"/>
      <c r="P35" s="14"/>
      <c r="Q35" s="14"/>
      <c r="R35" s="20">
        <f>'Parameter Inputs'!AK1650</f>
        <v>0</v>
      </c>
      <c r="S35" s="122">
        <f ca="1">SUM(E34:M34)</f>
        <v>0.1091281813355276</v>
      </c>
      <c r="T35" s="275">
        <v>16.02008811512119</v>
      </c>
      <c r="U35" s="122">
        <f ca="1">S35/T35</f>
        <v>6.8119588700965182E-3</v>
      </c>
      <c r="X35" s="4"/>
    </row>
    <row r="36" spans="2:24">
      <c r="B36" s="4"/>
      <c r="D36" s="68" t="s">
        <v>1746</v>
      </c>
      <c r="E36" s="14">
        <f ca="1">'Parameter Inputs'!AN1633</f>
        <v>0</v>
      </c>
      <c r="F36" s="14">
        <f ca="1">'Parameter Inputs'!AN1634</f>
        <v>0</v>
      </c>
      <c r="G36" s="14">
        <f ca="1">'Parameter Inputs'!AN1635</f>
        <v>0</v>
      </c>
      <c r="H36" s="14">
        <f ca="1">'Parameter Inputs'!AN1636</f>
        <v>0.11408441722982554</v>
      </c>
      <c r="I36" s="14">
        <f ca="1">'Parameter Inputs'!AN1637</f>
        <v>3.5223193742519908E-3</v>
      </c>
      <c r="J36" s="14">
        <f ca="1">'Parameter Inputs'!AN1638</f>
        <v>6.8063937883503043E-3</v>
      </c>
      <c r="K36" s="14">
        <f ca="1">'Parameter Inputs'!AN1639</f>
        <v>4.3422898306320457E-2</v>
      </c>
      <c r="L36" s="14">
        <f ca="1">'Parameter Inputs'!AN1640</f>
        <v>1.7607651484024768E-3</v>
      </c>
      <c r="M36" s="14">
        <f ca="1">'Parameter Inputs'!AN1641</f>
        <v>2.6586714124553691E-2</v>
      </c>
      <c r="N36" s="14">
        <f ca="1">'Parameter Inputs'!AN1642</f>
        <v>0</v>
      </c>
      <c r="O36" s="14">
        <f ca="1">'Parameter Inputs'!AN1643</f>
        <v>0</v>
      </c>
      <c r="P36" s="14">
        <f ca="1">'Parameter Inputs'!AN1644</f>
        <v>-8.2657707370531353E-2</v>
      </c>
      <c r="Q36" s="14">
        <f ca="1">'Parameter Inputs'!AN1645</f>
        <v>-0.15013662918313933</v>
      </c>
      <c r="R36" s="20"/>
      <c r="S36" s="122"/>
      <c r="T36" s="272"/>
      <c r="U36" s="14"/>
      <c r="X36" s="4"/>
    </row>
    <row r="37" spans="2:24">
      <c r="B37" s="4"/>
      <c r="D37" s="68" t="s">
        <v>1716</v>
      </c>
      <c r="E37" s="14"/>
      <c r="F37" s="14"/>
      <c r="G37" s="14"/>
      <c r="H37" s="14"/>
      <c r="I37" s="14"/>
      <c r="J37" s="14"/>
      <c r="K37" s="14"/>
      <c r="L37" s="14"/>
      <c r="M37" s="14"/>
      <c r="N37" s="14"/>
      <c r="O37" s="14"/>
      <c r="P37" s="14"/>
      <c r="Q37" s="14"/>
      <c r="R37" s="20">
        <f>'Parameter Inputs'!AK1652</f>
        <v>0</v>
      </c>
      <c r="S37" s="122">
        <f ca="1">SUM(E36:M36)</f>
        <v>0.19618350797170447</v>
      </c>
      <c r="T37" s="275">
        <v>20.567456694737732</v>
      </c>
      <c r="U37" s="122">
        <f ca="1">S37/T37</f>
        <v>9.538539980098697E-3</v>
      </c>
      <c r="X37" s="4"/>
    </row>
    <row r="38" spans="2:24">
      <c r="B38" s="4"/>
      <c r="D38" s="68" t="s">
        <v>1747</v>
      </c>
      <c r="E38" s="14">
        <f ca="1">'Parameter Inputs'!AO1633</f>
        <v>0</v>
      </c>
      <c r="F38" s="14">
        <f ca="1">'Parameter Inputs'!AO1634</f>
        <v>0</v>
      </c>
      <c r="G38" s="14">
        <f ca="1">'Parameter Inputs'!AO1635</f>
        <v>0</v>
      </c>
      <c r="H38" s="14">
        <f ca="1">'Parameter Inputs'!AO1636</f>
        <v>0.11757591069225656</v>
      </c>
      <c r="I38" s="14">
        <f ca="1">'Parameter Inputs'!AO1637</f>
        <v>4.0599464294899272E-3</v>
      </c>
      <c r="J38" s="14">
        <f ca="1">'Parameter Inputs'!AO1638</f>
        <v>7.1125554065703629E-3</v>
      </c>
      <c r="K38" s="14">
        <f ca="1">'Parameter Inputs'!AO1639</f>
        <v>4.843458650483224E-2</v>
      </c>
      <c r="L38" s="14">
        <f ca="1">'Parameter Inputs'!AO1640</f>
        <v>1.8421628219473731E-3</v>
      </c>
      <c r="M38" s="14">
        <f ca="1">'Parameter Inputs'!AO1641</f>
        <v>2.7450116342443667E-2</v>
      </c>
      <c r="N38" s="14">
        <f ca="1">'Parameter Inputs'!AO1642</f>
        <v>0</v>
      </c>
      <c r="O38" s="14">
        <f ca="1">'Parameter Inputs'!AO1643</f>
        <v>0</v>
      </c>
      <c r="P38" s="14">
        <f ca="1">'Parameter Inputs'!AO1644</f>
        <v>-8.844723828297299E-2</v>
      </c>
      <c r="Q38" s="14">
        <f ca="1">'Parameter Inputs'!AO1645</f>
        <v>-0.16014687717316861</v>
      </c>
      <c r="R38" s="20"/>
      <c r="S38" s="122"/>
      <c r="T38" s="272"/>
      <c r="U38" s="14"/>
      <c r="X38" s="4"/>
    </row>
    <row r="39" spans="2:24">
      <c r="B39" s="4"/>
      <c r="D39" s="68" t="s">
        <v>1717</v>
      </c>
      <c r="E39" s="14"/>
      <c r="F39" s="14"/>
      <c r="G39" s="14"/>
      <c r="H39" s="14"/>
      <c r="I39" s="14"/>
      <c r="J39" s="14"/>
      <c r="K39" s="14"/>
      <c r="L39" s="14"/>
      <c r="M39" s="14"/>
      <c r="N39" s="14"/>
      <c r="O39" s="14"/>
      <c r="P39" s="14"/>
      <c r="Q39" s="14"/>
      <c r="R39" s="20">
        <f>'Parameter Inputs'!AK1654</f>
        <v>0</v>
      </c>
      <c r="S39" s="122">
        <f ca="1">SUM(E38:M38)</f>
        <v>0.20647527819754014</v>
      </c>
      <c r="T39" s="275">
        <v>17.749328221367179</v>
      </c>
      <c r="U39" s="122">
        <f ca="1">S39/T39</f>
        <v>1.1632850304102153E-2</v>
      </c>
      <c r="X39" s="4"/>
    </row>
    <row r="40" spans="2:24" ht="16.5">
      <c r="B40" s="4"/>
      <c r="D40" s="68" t="s">
        <v>1600</v>
      </c>
      <c r="E40" s="14">
        <f ca="1">'Parameter Inputs'!AP1633</f>
        <v>0</v>
      </c>
      <c r="F40" s="20">
        <f ca="1">'Parameter Inputs'!AP1634</f>
        <v>0</v>
      </c>
      <c r="G40" s="20">
        <f ca="1">'Parameter Inputs'!AP1635</f>
        <v>0</v>
      </c>
      <c r="H40" s="20">
        <f ca="1">'Parameter Inputs'!AP1636</f>
        <v>0.19152658481923632</v>
      </c>
      <c r="I40" s="20">
        <f ca="1">'Parameter Inputs'!AP1637</f>
        <v>2.7427500800039457E-3</v>
      </c>
      <c r="J40" s="20">
        <f ca="1">'Parameter Inputs'!AP1638</f>
        <v>1.6858856046636977E-2</v>
      </c>
      <c r="K40" s="20">
        <f ca="1">'Parameter Inputs'!AP1639</f>
        <v>0.17162301959823539</v>
      </c>
      <c r="L40" s="20">
        <f ca="1">'Parameter Inputs'!AP1640</f>
        <v>8.1129794365216359E-3</v>
      </c>
      <c r="M40" s="20">
        <f ca="1">'Parameter Inputs'!AP1641</f>
        <v>2.1770752004664884E-2</v>
      </c>
      <c r="N40" s="20">
        <f ca="1">'Parameter Inputs'!AP1642</f>
        <v>0</v>
      </c>
      <c r="O40" s="20">
        <f ca="1">'Parameter Inputs'!AP1643</f>
        <v>0</v>
      </c>
      <c r="P40" s="20">
        <f ca="1">'Parameter Inputs'!AP1644</f>
        <v>-0.57643398237386534</v>
      </c>
      <c r="Q40" s="20">
        <f ca="1">'Parameter Inputs'!AP1645</f>
        <v>-0.86259039387252423</v>
      </c>
      <c r="R40" s="20"/>
      <c r="S40" s="122"/>
      <c r="T40" s="272"/>
      <c r="U40" s="14"/>
    </row>
    <row r="41" spans="2:24">
      <c r="B41" s="4"/>
      <c r="D41" s="69" t="s">
        <v>1494</v>
      </c>
      <c r="E41" s="15"/>
      <c r="F41" s="39"/>
      <c r="G41" s="39"/>
      <c r="H41" s="39"/>
      <c r="I41" s="39"/>
      <c r="J41" s="39"/>
      <c r="K41" s="39"/>
      <c r="L41" s="39"/>
      <c r="M41" s="39"/>
      <c r="N41" s="39"/>
      <c r="O41" s="39"/>
      <c r="P41" s="39"/>
      <c r="Q41" s="39"/>
      <c r="R41" s="39">
        <f ca="1">'Parameter Inputs'!AP1646</f>
        <v>-1.0263894342610904</v>
      </c>
      <c r="S41" s="123">
        <f ca="1">SUM(E40:M40)</f>
        <v>0.41263494198529915</v>
      </c>
      <c r="T41" s="269">
        <v>569</v>
      </c>
      <c r="U41" s="123">
        <f ca="1">S41/T41</f>
        <v>7.2519321965781923E-4</v>
      </c>
    </row>
    <row r="42" spans="2:24">
      <c r="B42" s="4"/>
      <c r="F42" s="86"/>
      <c r="G42" s="86"/>
      <c r="H42" s="86"/>
      <c r="I42" s="86"/>
      <c r="J42" s="86"/>
      <c r="K42" s="86"/>
      <c r="L42" s="86"/>
      <c r="M42" s="86"/>
      <c r="N42" s="86"/>
      <c r="O42" s="86"/>
      <c r="P42" s="86"/>
      <c r="R42" s="86"/>
      <c r="T42" s="86"/>
      <c r="X42" s="4"/>
    </row>
    <row r="43" spans="2:24">
      <c r="B43" s="4"/>
      <c r="D43" s="42" t="s">
        <v>1501</v>
      </c>
      <c r="E43" s="42" t="s">
        <v>1504</v>
      </c>
      <c r="F43" s="42" t="s">
        <v>172</v>
      </c>
      <c r="G43" s="42" t="s">
        <v>1670</v>
      </c>
      <c r="H43" s="42" t="s">
        <v>1671</v>
      </c>
      <c r="I43" s="42" t="s">
        <v>1672</v>
      </c>
      <c r="J43" s="42" t="s">
        <v>1290</v>
      </c>
      <c r="K43" s="42" t="s">
        <v>982</v>
      </c>
      <c r="L43" s="42" t="s">
        <v>690</v>
      </c>
      <c r="M43" s="42" t="s">
        <v>997</v>
      </c>
      <c r="N43" s="42" t="s">
        <v>1286</v>
      </c>
      <c r="X43" s="4"/>
    </row>
    <row r="44" spans="2:24">
      <c r="B44" s="4"/>
      <c r="D44" s="68" t="s">
        <v>1293</v>
      </c>
      <c r="E44" s="122">
        <f ca="1">SUM(E8:M8)</f>
        <v>144.4503739210196</v>
      </c>
      <c r="F44" s="35">
        <f t="shared" ref="F44:N44" ca="1" si="0">E8/$E44</f>
        <v>0</v>
      </c>
      <c r="G44" s="35">
        <f t="shared" ca="1" si="0"/>
        <v>0</v>
      </c>
      <c r="H44" s="35">
        <f t="shared" ca="1" si="0"/>
        <v>0</v>
      </c>
      <c r="I44" s="35">
        <f t="shared" ca="1" si="0"/>
        <v>0.64545014184766192</v>
      </c>
      <c r="J44" s="35">
        <f t="shared" ca="1" si="0"/>
        <v>3.344769116557389E-2</v>
      </c>
      <c r="K44" s="35">
        <f t="shared" ca="1" si="0"/>
        <v>1.9414205369599674E-2</v>
      </c>
      <c r="L44" s="35">
        <f t="shared" ca="1" si="0"/>
        <v>0.14178477973919318</v>
      </c>
      <c r="M44" s="35">
        <f t="shared" ca="1" si="0"/>
        <v>5.1159027370621573E-3</v>
      </c>
      <c r="N44" s="35">
        <f t="shared" ca="1" si="0"/>
        <v>0.1547872791409092</v>
      </c>
      <c r="T44" s="86"/>
      <c r="X44" s="4"/>
    </row>
    <row r="45" spans="2:24">
      <c r="B45" s="4"/>
      <c r="D45" s="68" t="s">
        <v>1010</v>
      </c>
      <c r="E45" s="122">
        <f ca="1">SUM(E16:M16)</f>
        <v>46.593948676002391</v>
      </c>
      <c r="F45" s="35">
        <f t="shared" ref="F45:N45" ca="1" si="1">E16/$E45</f>
        <v>0</v>
      </c>
      <c r="G45" s="35">
        <f t="shared" ca="1" si="1"/>
        <v>0</v>
      </c>
      <c r="H45" s="35">
        <f t="shared" ca="1" si="1"/>
        <v>0</v>
      </c>
      <c r="I45" s="35">
        <f t="shared" ca="1" si="1"/>
        <v>0.69029012956435831</v>
      </c>
      <c r="J45" s="35">
        <f t="shared" ca="1" si="1"/>
        <v>3.542062770514099E-2</v>
      </c>
      <c r="K45" s="35">
        <f t="shared" ca="1" si="1"/>
        <v>1.1847614394908954E-2</v>
      </c>
      <c r="L45" s="35">
        <f t="shared" ca="1" si="1"/>
        <v>0.21423083479890065</v>
      </c>
      <c r="M45" s="35">
        <f t="shared" ca="1" si="1"/>
        <v>4.175602925901245E-3</v>
      </c>
      <c r="N45" s="35">
        <f t="shared" ca="1" si="1"/>
        <v>4.4035190610789955E-2</v>
      </c>
      <c r="T45" s="86"/>
      <c r="X45" s="4"/>
    </row>
    <row r="46" spans="2:24">
      <c r="B46" s="4"/>
      <c r="D46" s="68" t="s">
        <v>1291</v>
      </c>
      <c r="E46" s="122">
        <f ca="1">SUM(E40:M40)</f>
        <v>0.41263494198529915</v>
      </c>
      <c r="F46" s="35">
        <f t="shared" ref="F46:N46" ca="1" si="2">E40/$E46</f>
        <v>0</v>
      </c>
      <c r="G46" s="35">
        <f t="shared" ca="1" si="2"/>
        <v>0</v>
      </c>
      <c r="H46" s="35">
        <f t="shared" ca="1" si="2"/>
        <v>0</v>
      </c>
      <c r="I46" s="35">
        <f t="shared" ca="1" si="2"/>
        <v>0.46415503228531674</v>
      </c>
      <c r="J46" s="35">
        <f t="shared" ca="1" si="2"/>
        <v>6.6469166833226182E-3</v>
      </c>
      <c r="K46" s="35">
        <f t="shared" ca="1" si="2"/>
        <v>4.0856588551431025E-2</v>
      </c>
      <c r="L46" s="35">
        <f t="shared" ca="1" si="2"/>
        <v>0.41591974439321661</v>
      </c>
      <c r="M46" s="35">
        <f t="shared" ca="1" si="2"/>
        <v>1.9661397063195571E-2</v>
      </c>
      <c r="N46" s="35">
        <f t="shared" ca="1" si="2"/>
        <v>5.2760321023517451E-2</v>
      </c>
      <c r="X46" s="4"/>
    </row>
    <row r="47" spans="2:24">
      <c r="B47" s="4"/>
      <c r="D47" s="68" t="s">
        <v>1423</v>
      </c>
      <c r="E47" s="122">
        <f ca="1">SUM(E30:M30)</f>
        <v>1.2789895556487294</v>
      </c>
      <c r="F47" s="35">
        <f t="shared" ref="F47:N47" ca="1" si="3">E30/$E47</f>
        <v>0</v>
      </c>
      <c r="G47" s="35">
        <f t="shared" ca="1" si="3"/>
        <v>0</v>
      </c>
      <c r="H47" s="35">
        <f t="shared" ca="1" si="3"/>
        <v>0</v>
      </c>
      <c r="I47" s="35">
        <f t="shared" ca="1" si="3"/>
        <v>0.39904484689962244</v>
      </c>
      <c r="J47" s="35">
        <f t="shared" ca="1" si="3"/>
        <v>2.1351286826431934E-2</v>
      </c>
      <c r="K47" s="35">
        <f t="shared" ca="1" si="3"/>
        <v>0.23199804872885371</v>
      </c>
      <c r="L47" s="35">
        <f t="shared" ca="1" si="3"/>
        <v>0.18965756196210651</v>
      </c>
      <c r="M47" s="35">
        <f t="shared" ca="1" si="3"/>
        <v>6.3846106414106582E-2</v>
      </c>
      <c r="N47" s="35">
        <f t="shared" ca="1" si="3"/>
        <v>9.4102149168878921E-2</v>
      </c>
      <c r="T47" s="86"/>
      <c r="X47" s="4"/>
    </row>
    <row r="48" spans="2:24">
      <c r="B48" s="4"/>
      <c r="D48" s="68" t="s">
        <v>1422</v>
      </c>
      <c r="E48" s="122">
        <f ca="1">SUM(E10:M10)</f>
        <v>2.6484551901060778</v>
      </c>
      <c r="F48" s="35">
        <f t="shared" ref="F48:N48" ca="1" si="4">E10/$E48</f>
        <v>0</v>
      </c>
      <c r="G48" s="35">
        <f t="shared" ca="1" si="4"/>
        <v>0</v>
      </c>
      <c r="H48" s="35">
        <f t="shared" ca="1" si="4"/>
        <v>0</v>
      </c>
      <c r="I48" s="35">
        <f t="shared" ca="1" si="4"/>
        <v>0.39644839781472724</v>
      </c>
      <c r="J48" s="35">
        <f t="shared" ca="1" si="4"/>
        <v>4.6268907186578553E-3</v>
      </c>
      <c r="K48" s="35">
        <f t="shared" ca="1" si="4"/>
        <v>5.7871953404187534E-2</v>
      </c>
      <c r="L48" s="35">
        <f t="shared" ca="1" si="4"/>
        <v>0.39621545620983351</v>
      </c>
      <c r="M48" s="35">
        <f t="shared" ca="1" si="4"/>
        <v>1.4501950036555257E-2</v>
      </c>
      <c r="N48" s="35">
        <f t="shared" ca="1" si="4"/>
        <v>0.13033535181603864</v>
      </c>
      <c r="T48" s="86"/>
      <c r="X48" s="4"/>
    </row>
    <row r="49" spans="2:24">
      <c r="B49" s="4"/>
      <c r="D49" s="68" t="s">
        <v>1483</v>
      </c>
      <c r="E49" s="122">
        <f ca="1">SUM(E12:M12)</f>
        <v>3.4803357430486854</v>
      </c>
      <c r="F49" s="35">
        <f t="shared" ref="F49:N49" ca="1" si="5">E12/$E49</f>
        <v>0</v>
      </c>
      <c r="G49" s="35">
        <f t="shared" ca="1" si="5"/>
        <v>0</v>
      </c>
      <c r="H49" s="35">
        <f t="shared" ca="1" si="5"/>
        <v>0</v>
      </c>
      <c r="I49" s="35">
        <f t="shared" ca="1" si="5"/>
        <v>0.3928844950496353</v>
      </c>
      <c r="J49" s="35">
        <f t="shared" ca="1" si="5"/>
        <v>4.9070543824422819E-3</v>
      </c>
      <c r="K49" s="35">
        <f t="shared" ca="1" si="5"/>
        <v>6.2278420463044638E-2</v>
      </c>
      <c r="L49" s="35">
        <f t="shared" ca="1" si="5"/>
        <v>0.39310247786091235</v>
      </c>
      <c r="M49" s="35">
        <f t="shared" ca="1" si="5"/>
        <v>1.5180516349322777E-2</v>
      </c>
      <c r="N49" s="35">
        <f t="shared" ca="1" si="5"/>
        <v>0.13164703589464263</v>
      </c>
      <c r="X49" s="4"/>
    </row>
    <row r="50" spans="2:24">
      <c r="B50" s="4"/>
      <c r="D50" s="68" t="s">
        <v>1484</v>
      </c>
      <c r="E50" s="122">
        <f ca="1">SUM(E14:M14)</f>
        <v>222.47128227376592</v>
      </c>
      <c r="F50" s="35">
        <f t="shared" ref="F50:N50" ca="1" si="6">E14/$E50</f>
        <v>0</v>
      </c>
      <c r="G50" s="35">
        <f t="shared" ca="1" si="6"/>
        <v>0</v>
      </c>
      <c r="H50" s="35">
        <f t="shared" ca="1" si="6"/>
        <v>0</v>
      </c>
      <c r="I50" s="35">
        <f t="shared" ca="1" si="6"/>
        <v>0.24611143392678253</v>
      </c>
      <c r="J50" s="35">
        <f t="shared" ca="1" si="6"/>
        <v>3.8904669058326879E-3</v>
      </c>
      <c r="K50" s="35">
        <f t="shared" ca="1" si="6"/>
        <v>0.1423908938175858</v>
      </c>
      <c r="L50" s="35">
        <f t="shared" ca="1" si="6"/>
        <v>0.46892423206376271</v>
      </c>
      <c r="M50" s="35">
        <f t="shared" ca="1" si="6"/>
        <v>1.2202671620124412E-2</v>
      </c>
      <c r="N50" s="35">
        <f t="shared" ca="1" si="6"/>
        <v>0.12648030166591184</v>
      </c>
      <c r="X50" s="4"/>
    </row>
    <row r="51" spans="2:24">
      <c r="B51" s="4"/>
      <c r="D51" s="68" t="s">
        <v>1485</v>
      </c>
      <c r="E51" s="122">
        <f ca="1">SUM(E22:M22)</f>
        <v>6.6820053339183705</v>
      </c>
      <c r="F51" s="35">
        <f t="shared" ref="F51:N51" ca="1" si="7">E22/$E51</f>
        <v>0</v>
      </c>
      <c r="G51" s="35">
        <f t="shared" ca="1" si="7"/>
        <v>0</v>
      </c>
      <c r="H51" s="35">
        <f t="shared" ca="1" si="7"/>
        <v>0</v>
      </c>
      <c r="I51" s="35">
        <f t="shared" ca="1" si="7"/>
        <v>0.33669555246155475</v>
      </c>
      <c r="J51" s="35">
        <f t="shared" ca="1" si="7"/>
        <v>1.0403532513143583E-2</v>
      </c>
      <c r="K51" s="35">
        <f t="shared" ca="1" si="7"/>
        <v>0.29263580626834479</v>
      </c>
      <c r="L51" s="35">
        <f t="shared" ca="1" si="7"/>
        <v>0.17658671711919458</v>
      </c>
      <c r="M51" s="35">
        <f t="shared" ca="1" si="7"/>
        <v>9.1425476063530006E-2</v>
      </c>
      <c r="N51" s="35">
        <f t="shared" ca="1" si="7"/>
        <v>9.2252915574232319E-2</v>
      </c>
      <c r="X51" s="4"/>
    </row>
    <row r="52" spans="2:24">
      <c r="B52" s="4"/>
      <c r="D52" s="69" t="s">
        <v>1486</v>
      </c>
      <c r="E52" s="123">
        <f ca="1">SUM(E24:M24)</f>
        <v>48.496725688285345</v>
      </c>
      <c r="F52" s="99">
        <f t="shared" ref="F52:N52" ca="1" si="8">E24/$E$52</f>
        <v>0</v>
      </c>
      <c r="G52" s="99">
        <f t="shared" ca="1" si="8"/>
        <v>0</v>
      </c>
      <c r="H52" s="99">
        <f t="shared" ca="1" si="8"/>
        <v>0</v>
      </c>
      <c r="I52" s="99">
        <f t="shared" ca="1" si="8"/>
        <v>0.34301050146560053</v>
      </c>
      <c r="J52" s="99">
        <f t="shared" ca="1" si="8"/>
        <v>4.2569745284074985E-3</v>
      </c>
      <c r="K52" s="99">
        <f t="shared" ca="1" si="8"/>
        <v>5.1647807752928876E-2</v>
      </c>
      <c r="L52" s="99">
        <f t="shared" ca="1" si="8"/>
        <v>0.3977679228724903</v>
      </c>
      <c r="M52" s="99">
        <f t="shared" ca="1" si="8"/>
        <v>1.8269731065426082E-2</v>
      </c>
      <c r="N52" s="99">
        <f t="shared" ca="1" si="8"/>
        <v>0.18504706231514678</v>
      </c>
      <c r="X52" s="4"/>
    </row>
    <row r="53" spans="2:24">
      <c r="B53" s="4"/>
      <c r="X53" s="4"/>
    </row>
    <row r="54" spans="2:24">
      <c r="B54" s="4"/>
      <c r="D54" s="13" t="s">
        <v>1749</v>
      </c>
      <c r="E54" s="124">
        <f ca="1">'Parameter Inputs'!E1595</f>
        <v>691339.78418066888</v>
      </c>
      <c r="F54" s="86"/>
      <c r="G54" s="86"/>
      <c r="H54" s="86"/>
      <c r="I54" s="86"/>
      <c r="J54" s="86"/>
      <c r="K54" s="86"/>
      <c r="L54" s="86"/>
      <c r="M54" s="86"/>
      <c r="N54" s="86"/>
      <c r="O54" s="86"/>
      <c r="P54" s="86"/>
      <c r="Q54" s="86"/>
      <c r="R54" s="86"/>
      <c r="S54" s="86"/>
      <c r="X54" s="4"/>
    </row>
    <row r="55" spans="2:24">
      <c r="B55" s="4"/>
      <c r="D55" s="15" t="s">
        <v>1750</v>
      </c>
      <c r="E55" s="22">
        <f ca="1">E54/('Parameter Inputs'!L898*'Parameter Inputs'!E11)</f>
        <v>2.6252945161367145E-2</v>
      </c>
      <c r="F55" s="86"/>
      <c r="G55" s="86"/>
      <c r="H55" s="86"/>
      <c r="I55" s="86"/>
      <c r="J55" s="86"/>
      <c r="K55" s="86"/>
      <c r="L55" s="86"/>
      <c r="M55" s="86"/>
      <c r="N55" s="86"/>
      <c r="O55" s="86"/>
      <c r="P55" s="86"/>
      <c r="Q55" s="86"/>
      <c r="R55" s="86"/>
      <c r="S55" s="86"/>
      <c r="X55" s="4"/>
    </row>
    <row r="56" spans="2:24">
      <c r="B56" s="4"/>
      <c r="Q56" s="86"/>
      <c r="R56" s="86"/>
      <c r="S56" s="86"/>
      <c r="X56" s="4"/>
    </row>
    <row r="57" spans="2:24" ht="29">
      <c r="B57" s="4"/>
      <c r="D57" s="102"/>
      <c r="E57" s="102" t="s">
        <v>609</v>
      </c>
      <c r="F57" s="102" t="s">
        <v>1295</v>
      </c>
      <c r="G57" s="102" t="s">
        <v>1296</v>
      </c>
      <c r="H57" s="102" t="s">
        <v>1297</v>
      </c>
      <c r="I57" s="102" t="s">
        <v>1298</v>
      </c>
      <c r="J57" s="125" t="s">
        <v>1299</v>
      </c>
      <c r="K57" s="125" t="s">
        <v>1300</v>
      </c>
      <c r="L57" s="102" t="s">
        <v>1301</v>
      </c>
      <c r="M57" s="125" t="s">
        <v>1302</v>
      </c>
      <c r="Q57" s="86"/>
      <c r="R57" s="86"/>
      <c r="S57" s="86"/>
      <c r="X57" s="4"/>
    </row>
    <row r="58" spans="2:24">
      <c r="B58" s="4"/>
      <c r="D58" s="68" t="s">
        <v>1401</v>
      </c>
      <c r="E58" s="14">
        <f>'Parameter Inputs'!F727</f>
        <v>3.0937000000000001</v>
      </c>
      <c r="F58" s="14">
        <f>'Parameter Inputs'!J727</f>
        <v>1.5660000000000001</v>
      </c>
      <c r="G58" s="14">
        <f>'Parameter Inputs'!V727</f>
        <v>3.533E-2</v>
      </c>
      <c r="H58" s="14">
        <f>'Parameter Inputs'!Q727</f>
        <v>2.9277000000000001E-2</v>
      </c>
      <c r="I58" s="14">
        <f>'Parameter Inputs'!G727</f>
        <v>0.11600000000000001</v>
      </c>
      <c r="J58" s="14">
        <f>'Parameter Inputs'!H727</f>
        <v>0.15397</v>
      </c>
      <c r="K58" s="14">
        <f>'Parameter Inputs'!I727</f>
        <v>12.936999999999999</v>
      </c>
      <c r="L58" s="14">
        <f>'Parameter Inputs'!M727</f>
        <v>0.15786</v>
      </c>
      <c r="M58" s="14">
        <f>'Parameter Inputs'!N727</f>
        <v>2.3117000000000001</v>
      </c>
      <c r="Q58" s="86"/>
      <c r="R58" s="86"/>
      <c r="S58" s="86"/>
      <c r="X58" s="4"/>
    </row>
    <row r="59" spans="2:24">
      <c r="B59" s="4"/>
      <c r="D59" s="68" t="s">
        <v>1410</v>
      </c>
      <c r="E59" s="19">
        <f ca="1">'Parameter Inputs'!F1645</f>
        <v>-1989082.0379973538</v>
      </c>
      <c r="F59" s="19">
        <f ca="1">'Parameter Inputs'!J1645</f>
        <v>-1006853.4348850426</v>
      </c>
      <c r="G59" s="19">
        <f ca="1">'Parameter Inputs'!V1645</f>
        <v>-22715.28215484582</v>
      </c>
      <c r="H59" s="19">
        <f ca="1">'Parameter Inputs'!Q1645</f>
        <v>-18823.530021155424</v>
      </c>
      <c r="I59" s="19">
        <f ca="1">'Parameter Inputs'!G1645</f>
        <v>-74581.735917410566</v>
      </c>
      <c r="J59" s="19">
        <f ca="1">'Parameter Inputs'!H1645</f>
        <v>-98994.395510376751</v>
      </c>
      <c r="K59" s="19">
        <f ca="1">'Parameter Inputs'!I1645</f>
        <v>-8317792.3927891413</v>
      </c>
      <c r="L59" s="19">
        <f ca="1">'Parameter Inputs'!M1645</f>
        <v>-101495.45544760716</v>
      </c>
      <c r="M59" s="19">
        <f ca="1">'Parameter Inputs'!N1645</f>
        <v>-1486298.2665541207</v>
      </c>
      <c r="Q59" s="86"/>
      <c r="R59" s="86"/>
      <c r="S59" s="86"/>
      <c r="X59" s="4"/>
    </row>
    <row r="60" spans="2:24">
      <c r="B60" s="4"/>
      <c r="D60" s="68" t="s">
        <v>1674</v>
      </c>
      <c r="E60" s="14">
        <f ca="1">'Parameter Inputs'!F1648</f>
        <v>5.5022540531409554</v>
      </c>
      <c r="F60" s="14">
        <f ca="1">'Parameter Inputs'!J1648</f>
        <v>1.7748084410951468</v>
      </c>
      <c r="G60" s="14">
        <f ca="1">'Parameter Inputs'!V1648</f>
        <v>1.5717662892638699E-2</v>
      </c>
      <c r="H60" s="14">
        <f ca="1">'Parameter Inputs'!Q1648</f>
        <v>4.8717945654754298E-2</v>
      </c>
      <c r="I60" s="14">
        <f ca="1">'Parameter Inputs'!G1648</f>
        <v>0.10088221240805569</v>
      </c>
      <c r="J60" s="14">
        <f ca="1">'Parameter Inputs'!H1648</f>
        <v>0.13256934494992267</v>
      </c>
      <c r="K60" s="14">
        <f ca="1">'Parameter Inputs'!I1648</f>
        <v>8.4741456970376934</v>
      </c>
      <c r="L60" s="14">
        <f ca="1">'Parameter Inputs'!M1648</f>
        <v>0.25452402741279329</v>
      </c>
      <c r="M60" s="14">
        <f ca="1">'Parameter Inputs'!N1648</f>
        <v>1.8472870525647278</v>
      </c>
      <c r="Q60" s="86"/>
      <c r="R60" s="86"/>
      <c r="S60" s="86"/>
      <c r="X60" s="4"/>
    </row>
    <row r="61" spans="2:24">
      <c r="B61" s="4"/>
      <c r="D61" s="69" t="s">
        <v>1425</v>
      </c>
      <c r="E61" s="99">
        <f t="shared" ref="E61:M61" ca="1" si="9">(E60-E58)/E58</f>
        <v>0.77853510461290854</v>
      </c>
      <c r="F61" s="99">
        <f t="shared" ca="1" si="9"/>
        <v>0.13333872356011925</v>
      </c>
      <c r="G61" s="99">
        <f t="shared" ca="1" si="9"/>
        <v>-0.55511851421911407</v>
      </c>
      <c r="H61" s="99">
        <f t="shared" ca="1" si="9"/>
        <v>0.66403475952981172</v>
      </c>
      <c r="I61" s="99">
        <f t="shared" ca="1" si="9"/>
        <v>-0.13032575510296826</v>
      </c>
      <c r="J61" s="99">
        <f t="shared" ca="1" si="9"/>
        <v>-0.13899236896848297</v>
      </c>
      <c r="K61" s="99">
        <f t="shared" ca="1" si="9"/>
        <v>-0.34496825407453863</v>
      </c>
      <c r="L61" s="99">
        <f t="shared" ca="1" si="9"/>
        <v>0.61234022179648606</v>
      </c>
      <c r="M61" s="99">
        <f t="shared" ca="1" si="9"/>
        <v>-0.20089671991835975</v>
      </c>
      <c r="Q61" s="86"/>
      <c r="R61" s="86"/>
      <c r="S61" s="86"/>
      <c r="X61" s="4"/>
    </row>
    <row r="62" spans="2:24">
      <c r="B62" s="4"/>
      <c r="X62" s="4"/>
    </row>
    <row r="63" spans="2:24">
      <c r="B63" s="4"/>
      <c r="X63" s="4"/>
    </row>
    <row r="64" spans="2:24" ht="18.5">
      <c r="B64" s="4"/>
      <c r="C64" s="348" t="s">
        <v>1675</v>
      </c>
      <c r="D64" s="348"/>
      <c r="E64" s="348"/>
      <c r="F64" s="348"/>
      <c r="G64" s="348"/>
      <c r="H64" s="348"/>
      <c r="I64" s="348"/>
      <c r="J64" s="348"/>
      <c r="K64" s="348"/>
      <c r="L64" s="348"/>
      <c r="M64" s="348"/>
      <c r="N64" s="348"/>
      <c r="O64" s="348"/>
      <c r="P64" s="348"/>
      <c r="Q64" s="348"/>
      <c r="R64" s="348"/>
      <c r="S64" s="348"/>
      <c r="T64" s="348"/>
      <c r="U64" s="348"/>
      <c r="V64" s="348"/>
      <c r="W64" s="348"/>
      <c r="X64" s="4"/>
    </row>
    <row r="65" spans="2:24">
      <c r="B65" s="4"/>
      <c r="X65" s="4"/>
    </row>
    <row r="66" spans="2:24">
      <c r="B66" s="4"/>
      <c r="X66" s="4"/>
    </row>
    <row r="67" spans="2:24">
      <c r="B67" s="4"/>
      <c r="X67" s="4"/>
    </row>
    <row r="68" spans="2:24">
      <c r="B68" s="4"/>
      <c r="X68" s="4"/>
    </row>
    <row r="69" spans="2:24">
      <c r="B69" s="4"/>
      <c r="X69" s="4"/>
    </row>
    <row r="70" spans="2:24">
      <c r="B70" s="4"/>
      <c r="X70" s="4"/>
    </row>
    <row r="71" spans="2:24">
      <c r="B71" s="4"/>
      <c r="X71" s="4"/>
    </row>
    <row r="72" spans="2:24">
      <c r="B72" s="4"/>
      <c r="X72" s="4"/>
    </row>
    <row r="73" spans="2:24">
      <c r="B73" s="4"/>
      <c r="X73" s="4"/>
    </row>
    <row r="74" spans="2:24">
      <c r="B74" s="4"/>
      <c r="X74" s="4"/>
    </row>
    <row r="75" spans="2:24">
      <c r="B75" s="4"/>
      <c r="X75" s="4"/>
    </row>
    <row r="76" spans="2:24">
      <c r="B76" s="4"/>
      <c r="X76" s="4"/>
    </row>
    <row r="77" spans="2:24">
      <c r="B77" s="4"/>
      <c r="X77" s="4"/>
    </row>
    <row r="78" spans="2:24">
      <c r="B78" s="4"/>
      <c r="X78" s="4"/>
    </row>
    <row r="79" spans="2:24">
      <c r="B79" s="4"/>
      <c r="X79" s="4"/>
    </row>
    <row r="80" spans="2:24">
      <c r="B80" s="4"/>
      <c r="X80" s="4"/>
    </row>
    <row r="81" spans="2:24">
      <c r="B81" s="4"/>
      <c r="X81" s="4"/>
    </row>
    <row r="82" spans="2:24">
      <c r="B82" s="4"/>
      <c r="X82" s="4"/>
    </row>
    <row r="83" spans="2:24">
      <c r="B83" s="4"/>
      <c r="X83" s="4"/>
    </row>
    <row r="84" spans="2:24">
      <c r="B84" s="4"/>
      <c r="X84" s="4"/>
    </row>
    <row r="85" spans="2:24">
      <c r="B85" s="4"/>
      <c r="X85" s="4"/>
    </row>
    <row r="86" spans="2:24">
      <c r="B86" s="4"/>
      <c r="X86" s="4"/>
    </row>
    <row r="87" spans="2:24">
      <c r="B87" s="4"/>
      <c r="X87" s="4"/>
    </row>
    <row r="88" spans="2:24">
      <c r="B88" s="4"/>
      <c r="X88" s="4"/>
    </row>
    <row r="89" spans="2:24">
      <c r="B89" s="4"/>
      <c r="X89" s="4"/>
    </row>
    <row r="90" spans="2:24">
      <c r="B90" s="4"/>
      <c r="X90" s="4"/>
    </row>
    <row r="91" spans="2:24">
      <c r="B91" s="4"/>
      <c r="X91" s="4"/>
    </row>
    <row r="92" spans="2:24">
      <c r="B92" s="4"/>
      <c r="X92" s="4"/>
    </row>
    <row r="93" spans="2:24">
      <c r="B93" s="4"/>
      <c r="X93" s="4"/>
    </row>
    <row r="94" spans="2:24">
      <c r="B94" s="4"/>
      <c r="X94" s="4"/>
    </row>
    <row r="95" spans="2:24">
      <c r="B95" s="4"/>
      <c r="X95" s="4"/>
    </row>
    <row r="96" spans="2:24">
      <c r="B96" s="4"/>
      <c r="X96" s="4"/>
    </row>
    <row r="97" spans="2:24">
      <c r="B97" s="4"/>
      <c r="X97" s="4"/>
    </row>
    <row r="98" spans="2:24">
      <c r="B98" s="4"/>
      <c r="X98" s="4"/>
    </row>
    <row r="99" spans="2:24">
      <c r="B99" s="4"/>
      <c r="X99" s="4"/>
    </row>
    <row r="100" spans="2:24">
      <c r="B100" s="4"/>
      <c r="X100" s="4"/>
    </row>
    <row r="101" spans="2:24">
      <c r="B101" s="4"/>
      <c r="X101" s="4"/>
    </row>
    <row r="102" spans="2:24">
      <c r="B102" s="4"/>
      <c r="X102" s="4"/>
    </row>
    <row r="103" spans="2:24">
      <c r="B103" s="4"/>
      <c r="X103" s="4"/>
    </row>
    <row r="104" spans="2:24">
      <c r="B104" s="4"/>
      <c r="X104" s="4"/>
    </row>
    <row r="105" spans="2:24">
      <c r="B105" s="4"/>
      <c r="X105" s="4"/>
    </row>
    <row r="106" spans="2:24">
      <c r="B106" s="4"/>
      <c r="X106" s="4"/>
    </row>
    <row r="107" spans="2:24">
      <c r="B107" s="4"/>
      <c r="X107" s="4"/>
    </row>
    <row r="108" spans="2:24">
      <c r="B108" s="4"/>
      <c r="X108" s="4"/>
    </row>
    <row r="109" spans="2:24">
      <c r="B109" s="4"/>
      <c r="X109" s="4"/>
    </row>
    <row r="110" spans="2:24">
      <c r="B110" s="4"/>
      <c r="X110" s="4"/>
    </row>
    <row r="111" spans="2:24">
      <c r="B111" s="4"/>
      <c r="X111" s="4"/>
    </row>
    <row r="112" spans="2:24">
      <c r="B112" s="4"/>
      <c r="X112" s="4"/>
    </row>
    <row r="113" spans="2:24">
      <c r="B113" s="4"/>
      <c r="X113" s="4"/>
    </row>
    <row r="114" spans="2:24">
      <c r="B114" s="4"/>
      <c r="X114" s="4"/>
    </row>
    <row r="115" spans="2:24">
      <c r="B115" s="4"/>
      <c r="X115" s="4"/>
    </row>
    <row r="116" spans="2:24">
      <c r="B116" s="4"/>
      <c r="X116" s="4"/>
    </row>
    <row r="117" spans="2:24">
      <c r="B117" s="4"/>
      <c r="X117" s="4"/>
    </row>
    <row r="118" spans="2:24">
      <c r="B118" s="4"/>
      <c r="X118" s="4"/>
    </row>
    <row r="119" spans="2:24">
      <c r="B119" s="4"/>
      <c r="X119" s="4"/>
    </row>
    <row r="120" spans="2:24">
      <c r="B120" s="4"/>
      <c r="X120" s="4"/>
    </row>
    <row r="121" spans="2:24">
      <c r="B121" s="4"/>
      <c r="X121" s="4"/>
    </row>
    <row r="122" spans="2:24">
      <c r="B122" s="4"/>
      <c r="X122" s="4"/>
    </row>
    <row r="123" spans="2:24">
      <c r="B123" s="4"/>
      <c r="X123" s="4"/>
    </row>
    <row r="124" spans="2:24">
      <c r="B124" s="4"/>
      <c r="X124" s="4"/>
    </row>
    <row r="125" spans="2:24">
      <c r="B125" s="4"/>
      <c r="X125" s="4"/>
    </row>
    <row r="126" spans="2:24">
      <c r="B126" s="4"/>
      <c r="X126" s="4"/>
    </row>
    <row r="127" spans="2:24">
      <c r="B127" s="4"/>
      <c r="X127" s="4"/>
    </row>
    <row r="128" spans="2:24">
      <c r="B128" s="4"/>
      <c r="X128" s="4"/>
    </row>
    <row r="129" spans="2:24">
      <c r="B129" s="4"/>
      <c r="X129" s="4"/>
    </row>
    <row r="130" spans="2:24">
      <c r="B130" s="4"/>
      <c r="X130" s="4"/>
    </row>
    <row r="131" spans="2:24">
      <c r="B131" s="4"/>
      <c r="X131" s="4"/>
    </row>
    <row r="132" spans="2:24">
      <c r="B132" s="4"/>
      <c r="X132" s="4"/>
    </row>
    <row r="133" spans="2:24">
      <c r="B133" s="4"/>
      <c r="X133" s="4"/>
    </row>
    <row r="134" spans="2:24">
      <c r="B134" s="4"/>
      <c r="X134" s="4"/>
    </row>
    <row r="135" spans="2:24">
      <c r="B135" s="4"/>
      <c r="X135" s="4"/>
    </row>
    <row r="136" spans="2:24">
      <c r="B136" s="4"/>
      <c r="X136" s="4"/>
    </row>
    <row r="137" spans="2:24">
      <c r="B137" s="4"/>
      <c r="X137" s="4"/>
    </row>
    <row r="138" spans="2:24">
      <c r="B138" s="4"/>
      <c r="X138" s="4"/>
    </row>
    <row r="139" spans="2:24">
      <c r="B139" s="4"/>
      <c r="X139" s="4"/>
    </row>
    <row r="140" spans="2:24">
      <c r="B140" s="4"/>
      <c r="X140" s="4"/>
    </row>
    <row r="141" spans="2:24">
      <c r="B141" s="4"/>
      <c r="X141" s="4"/>
    </row>
    <row r="142" spans="2:24">
      <c r="B142" s="4"/>
      <c r="X142" s="4"/>
    </row>
    <row r="143" spans="2:24">
      <c r="B143" s="4"/>
      <c r="X143" s="4"/>
    </row>
    <row r="144" spans="2:24">
      <c r="B144" s="4"/>
      <c r="D144" s="5" t="s">
        <v>1483</v>
      </c>
      <c r="X144" s="4"/>
    </row>
    <row r="145" spans="2:24">
      <c r="B145" s="4"/>
      <c r="X145" s="4"/>
    </row>
    <row r="146" spans="2:24">
      <c r="B146" s="4"/>
      <c r="X146" s="4"/>
    </row>
    <row r="147" spans="2:24">
      <c r="B147" s="4"/>
      <c r="X147" s="4"/>
    </row>
    <row r="148" spans="2:24">
      <c r="B148" s="4"/>
      <c r="X148" s="4"/>
    </row>
    <row r="149" spans="2:24">
      <c r="B149" s="4"/>
      <c r="X149" s="4"/>
    </row>
    <row r="150" spans="2:24">
      <c r="B150" s="4"/>
      <c r="X150" s="4"/>
    </row>
    <row r="151" spans="2:24">
      <c r="B151" s="4"/>
      <c r="X151" s="4"/>
    </row>
    <row r="152" spans="2:24">
      <c r="B152" s="4"/>
      <c r="X152" s="4"/>
    </row>
    <row r="153" spans="2:24">
      <c r="B153" s="4"/>
      <c r="X153" s="4"/>
    </row>
    <row r="154" spans="2:24">
      <c r="B154" s="4"/>
      <c r="X154" s="4"/>
    </row>
    <row r="155" spans="2:24">
      <c r="B155" s="4"/>
      <c r="X155" s="4"/>
    </row>
    <row r="156" spans="2:24">
      <c r="B156" s="4"/>
      <c r="X156" s="4"/>
    </row>
    <row r="157" spans="2:24">
      <c r="B157" s="4"/>
      <c r="X157" s="4"/>
    </row>
    <row r="158" spans="2:24">
      <c r="B158" s="4"/>
      <c r="X158" s="4"/>
    </row>
    <row r="159" spans="2:24">
      <c r="B159" s="4"/>
      <c r="D159" s="5" t="s">
        <v>1484</v>
      </c>
      <c r="X159" s="4"/>
    </row>
    <row r="160" spans="2:24">
      <c r="B160" s="4"/>
      <c r="X160" s="4"/>
    </row>
    <row r="161" spans="2:24">
      <c r="B161" s="4"/>
      <c r="X161" s="4"/>
    </row>
    <row r="162" spans="2:24">
      <c r="B162" s="4"/>
      <c r="X162" s="4"/>
    </row>
    <row r="163" spans="2:24">
      <c r="B163" s="4"/>
      <c r="X163" s="4"/>
    </row>
    <row r="164" spans="2:24">
      <c r="B164" s="4"/>
      <c r="X164" s="4"/>
    </row>
    <row r="165" spans="2:24">
      <c r="B165" s="4"/>
      <c r="X165" s="4"/>
    </row>
    <row r="166" spans="2:24">
      <c r="B166" s="4"/>
      <c r="X166" s="4"/>
    </row>
    <row r="167" spans="2:24">
      <c r="B167" s="4"/>
      <c r="X167" s="4"/>
    </row>
    <row r="168" spans="2:24">
      <c r="B168" s="4"/>
      <c r="X168" s="4"/>
    </row>
    <row r="169" spans="2:24">
      <c r="B169" s="4"/>
      <c r="X169" s="4"/>
    </row>
    <row r="170" spans="2:24">
      <c r="B170" s="4"/>
      <c r="X170" s="4"/>
    </row>
    <row r="171" spans="2:24">
      <c r="B171" s="4"/>
      <c r="X171" s="4"/>
    </row>
    <row r="172" spans="2:24">
      <c r="B172" s="4"/>
      <c r="X172" s="4"/>
    </row>
    <row r="173" spans="2:24">
      <c r="B173" s="4"/>
      <c r="X173" s="4"/>
    </row>
    <row r="174" spans="2:24">
      <c r="B174" s="4"/>
      <c r="D174" s="5" t="s">
        <v>1485</v>
      </c>
      <c r="X174" s="4"/>
    </row>
    <row r="175" spans="2:24">
      <c r="B175" s="4"/>
      <c r="X175" s="4"/>
    </row>
    <row r="176" spans="2:24">
      <c r="B176" s="4"/>
      <c r="X176" s="4"/>
    </row>
    <row r="177" spans="2:24">
      <c r="B177" s="4"/>
      <c r="X177" s="4"/>
    </row>
    <row r="178" spans="2:24">
      <c r="B178" s="4"/>
      <c r="X178" s="4"/>
    </row>
    <row r="179" spans="2:24">
      <c r="B179" s="4"/>
      <c r="X179" s="4"/>
    </row>
    <row r="180" spans="2:24">
      <c r="B180" s="4"/>
      <c r="X180" s="4"/>
    </row>
    <row r="181" spans="2:24">
      <c r="B181" s="4"/>
      <c r="X181" s="4"/>
    </row>
    <row r="182" spans="2:24">
      <c r="B182" s="4"/>
      <c r="X182" s="4"/>
    </row>
    <row r="183" spans="2:24">
      <c r="B183" s="4"/>
      <c r="X183" s="4"/>
    </row>
    <row r="184" spans="2:24">
      <c r="B184" s="4"/>
      <c r="X184" s="4"/>
    </row>
    <row r="185" spans="2:24">
      <c r="B185" s="4"/>
      <c r="X185" s="4"/>
    </row>
    <row r="186" spans="2:24">
      <c r="B186" s="4"/>
      <c r="X186" s="4"/>
    </row>
    <row r="187" spans="2:24">
      <c r="B187" s="4"/>
      <c r="X187" s="4"/>
    </row>
    <row r="188" spans="2:24">
      <c r="B188" s="4"/>
      <c r="X188" s="4"/>
    </row>
    <row r="189" spans="2:24">
      <c r="B189" s="4"/>
      <c r="D189" s="5" t="s">
        <v>1486</v>
      </c>
      <c r="X189" s="4"/>
    </row>
    <row r="190" spans="2:24">
      <c r="B190" s="4"/>
      <c r="X190" s="4"/>
    </row>
    <row r="191" spans="2:24">
      <c r="B191" s="4"/>
      <c r="X191" s="4"/>
    </row>
    <row r="192" spans="2:24">
      <c r="B192" s="4"/>
      <c r="X192" s="4"/>
    </row>
    <row r="193" spans="2:24">
      <c r="B193" s="4"/>
      <c r="X193" s="4"/>
    </row>
    <row r="194" spans="2:24">
      <c r="B194" s="4"/>
      <c r="X194" s="4"/>
    </row>
    <row r="195" spans="2:24">
      <c r="B195" s="4"/>
      <c r="X195" s="4"/>
    </row>
    <row r="196" spans="2:24">
      <c r="B196" s="4"/>
      <c r="X196" s="4"/>
    </row>
    <row r="197" spans="2:24">
      <c r="B197" s="4"/>
      <c r="X197" s="4"/>
    </row>
    <row r="198" spans="2:24">
      <c r="B198" s="4"/>
      <c r="X198" s="4"/>
    </row>
    <row r="199" spans="2:24">
      <c r="B199" s="4"/>
      <c r="X199" s="4"/>
    </row>
    <row r="200" spans="2:24">
      <c r="B200" s="4"/>
      <c r="X200" s="4"/>
    </row>
    <row r="201" spans="2:24">
      <c r="B201" s="4"/>
      <c r="X201" s="4"/>
    </row>
    <row r="202" spans="2:24">
      <c r="B202" s="4"/>
      <c r="X202" s="4"/>
    </row>
    <row r="203" spans="2:24">
      <c r="B203" s="4"/>
      <c r="X203" s="4"/>
    </row>
    <row r="204" spans="2:24">
      <c r="B204" s="4"/>
      <c r="X204" s="4"/>
    </row>
    <row r="205" spans="2:24">
      <c r="B205" s="4"/>
      <c r="X205" s="4"/>
    </row>
    <row r="206" spans="2:24">
      <c r="B206" s="4"/>
      <c r="X206" s="4"/>
    </row>
    <row r="207" spans="2:24">
      <c r="B207" s="4"/>
      <c r="X207" s="4"/>
    </row>
    <row r="208" spans="2:24">
      <c r="B208" s="4"/>
      <c r="X208" s="4"/>
    </row>
    <row r="209" spans="2:24">
      <c r="B209" s="4"/>
      <c r="X209" s="4"/>
    </row>
    <row r="210" spans="2:24">
      <c r="B210" s="4"/>
      <c r="C210" s="4"/>
      <c r="D210" s="4"/>
      <c r="E210" s="4"/>
      <c r="F210" s="4"/>
      <c r="G210" s="4"/>
      <c r="H210" s="4"/>
      <c r="I210" s="4"/>
      <c r="J210" s="4"/>
      <c r="K210" s="4"/>
      <c r="L210" s="4"/>
      <c r="M210" s="4"/>
      <c r="N210" s="4"/>
      <c r="O210" s="4"/>
      <c r="P210" s="4"/>
      <c r="Q210" s="4"/>
      <c r="R210" s="4"/>
      <c r="S210" s="4"/>
      <c r="T210" s="4"/>
      <c r="U210" s="4"/>
      <c r="V210" s="4"/>
      <c r="W210" s="4"/>
      <c r="X210" s="4"/>
    </row>
  </sheetData>
  <mergeCells count="2">
    <mergeCell ref="C64:W64"/>
    <mergeCell ref="C3:W3"/>
  </mergeCells>
  <phoneticPr fontId="3" type="noConversion"/>
  <pageMargins left="0.7" right="0.7" top="0.75" bottom="0.75" header="0.3" footer="0.3"/>
  <pageSetup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84541-0CFC-4BD0-BCF8-0DE1C2E5AF71}">
  <sheetPr codeName="Sheet4"/>
  <dimension ref="B2:G87"/>
  <sheetViews>
    <sheetView topLeftCell="A55" workbookViewId="0">
      <selection activeCell="D37" sqref="D37"/>
    </sheetView>
  </sheetViews>
  <sheetFormatPr defaultRowHeight="14.5"/>
  <cols>
    <col min="1" max="1" width="8.7265625" style="5"/>
    <col min="2" max="2" width="2.6328125" style="5" customWidth="1"/>
    <col min="3" max="3" width="8.7265625" style="5"/>
    <col min="4" max="4" width="77.26953125" style="5" bestFit="1" customWidth="1"/>
    <col min="5" max="5" width="12.26953125" style="5" bestFit="1" customWidth="1"/>
    <col min="6" max="6" width="8.7265625" style="5"/>
    <col min="7" max="7" width="2.6328125" style="5" customWidth="1"/>
    <col min="8" max="16384" width="8.7265625" style="5"/>
  </cols>
  <sheetData>
    <row r="2" spans="2:7">
      <c r="B2" s="4"/>
      <c r="C2" s="4"/>
      <c r="D2" s="4"/>
      <c r="E2" s="4"/>
      <c r="F2" s="4"/>
      <c r="G2" s="4"/>
    </row>
    <row r="3" spans="2:7">
      <c r="B3" s="4"/>
      <c r="C3" s="325" t="s">
        <v>1689</v>
      </c>
      <c r="D3" s="325"/>
      <c r="E3" s="325"/>
      <c r="F3" s="325"/>
      <c r="G3" s="4"/>
    </row>
    <row r="4" spans="2:7">
      <c r="B4" s="4"/>
      <c r="G4" s="4"/>
    </row>
    <row r="5" spans="2:7">
      <c r="B5" s="4"/>
      <c r="G5" s="4"/>
    </row>
    <row r="6" spans="2:7">
      <c r="B6" s="4"/>
      <c r="D6" s="350" t="str">
        <f>'Parameter Inputs'!O1579</f>
        <v>Energy Circularity Indicators</v>
      </c>
      <c r="E6" s="351"/>
      <c r="G6" s="4"/>
    </row>
    <row r="7" spans="2:7">
      <c r="B7" s="4"/>
      <c r="D7" s="68" t="str">
        <f>'Parameter Inputs'!O1580</f>
        <v>Share of Renewable Electricity</v>
      </c>
      <c r="E7" s="65">
        <f ca="1">'Parameter Inputs'!P1580</f>
        <v>0.20699999999999996</v>
      </c>
      <c r="G7" s="4"/>
    </row>
    <row r="8" spans="2:7">
      <c r="B8" s="4"/>
      <c r="D8" s="68" t="str">
        <f>'Parameter Inputs'!O1581</f>
        <v>Share of Renewable Heat Generation</v>
      </c>
      <c r="E8" s="65">
        <f ca="1">'Parameter Inputs'!P1581</f>
        <v>0.8800895841428954</v>
      </c>
      <c r="G8" s="4"/>
    </row>
    <row r="9" spans="2:7">
      <c r="B9" s="4"/>
      <c r="D9" s="68" t="str">
        <f>'Parameter Inputs'!O1582</f>
        <v xml:space="preserve">Share energy recovered from residual non-renewable, non-recoverable resource outflows </v>
      </c>
      <c r="E9" s="65">
        <f ca="1">'Parameter Inputs'!P1582</f>
        <v>1.7999999999999999E-2</v>
      </c>
      <c r="G9" s="4"/>
    </row>
    <row r="10" spans="2:7">
      <c r="B10" s="4"/>
      <c r="D10" s="68" t="str">
        <f>'Parameter Inputs'!O1583</f>
        <v>Share of renewable Energy Total</v>
      </c>
      <c r="E10" s="65">
        <f ca="1">'Parameter Inputs'!P1583</f>
        <v>0.66470173348399775</v>
      </c>
      <c r="G10" s="4"/>
    </row>
    <row r="11" spans="2:7">
      <c r="B11" s="4"/>
      <c r="D11" s="69" t="str">
        <f>'Parameter Inputs'!O1584</f>
        <v>Share of Fossil Fuels Total</v>
      </c>
      <c r="E11" s="114">
        <f ca="1">'Parameter Inputs'!P1584</f>
        <v>0.33529826651600225</v>
      </c>
      <c r="G11" s="4"/>
    </row>
    <row r="12" spans="2:7">
      <c r="B12" s="4"/>
      <c r="G12" s="4"/>
    </row>
    <row r="13" spans="2:7">
      <c r="B13" s="4"/>
      <c r="D13" s="350" t="str">
        <f>'Parameter Inputs'!O1587</f>
        <v>linear inflows</v>
      </c>
      <c r="E13" s="351"/>
      <c r="G13" s="4"/>
    </row>
    <row r="14" spans="2:7">
      <c r="B14" s="4"/>
      <c r="D14" s="203" t="str">
        <f>'Parameter Inputs'!O1588</f>
        <v>DMC (kg/year)</v>
      </c>
      <c r="E14" s="36">
        <f ca="1">'Parameter Inputs'!P1588</f>
        <v>237651.50611738727</v>
      </c>
      <c r="G14" s="4"/>
    </row>
    <row r="15" spans="2:7">
      <c r="B15" s="4"/>
      <c r="D15" s="68" t="str">
        <f>'Parameter Inputs'!O1589</f>
        <v>Nutrients</v>
      </c>
      <c r="E15" s="36">
        <f ca="1">'Parameter Inputs'!P1589</f>
        <v>0</v>
      </c>
      <c r="G15" s="4"/>
    </row>
    <row r="16" spans="2:7">
      <c r="B16" s="4"/>
      <c r="D16" s="69" t="str">
        <f>'Parameter Inputs'!O1590</f>
        <v>Natural Gas</v>
      </c>
      <c r="E16" s="22">
        <f ca="1">'Parameter Inputs'!P1590</f>
        <v>135185.08870760482</v>
      </c>
      <c r="G16" s="4"/>
    </row>
    <row r="17" spans="2:7">
      <c r="B17" s="4"/>
      <c r="G17" s="4"/>
    </row>
    <row r="18" spans="2:7">
      <c r="B18" s="4"/>
      <c r="D18" s="350" t="str">
        <f>'Parameter Inputs'!O1591</f>
        <v>Circular Inflows</v>
      </c>
      <c r="E18" s="351"/>
      <c r="G18" s="4"/>
    </row>
    <row r="19" spans="2:7">
      <c r="B19" s="4"/>
      <c r="D19" s="203" t="str">
        <f>'Parameter Inputs'!O1592</f>
        <v>Sludge (kgdry solids/year)</v>
      </c>
      <c r="E19" s="36">
        <f ca="1">'Parameter Inputs'!P1592</f>
        <v>26333799.119727667</v>
      </c>
      <c r="G19" s="4"/>
    </row>
    <row r="20" spans="2:7">
      <c r="B20" s="4"/>
      <c r="D20" s="68" t="str">
        <f>'Parameter Inputs'!O1593</f>
        <v>DMC (kg/year)</v>
      </c>
      <c r="E20" s="36">
        <f ca="1">'Parameter Inputs'!P1593</f>
        <v>24945947.941803493</v>
      </c>
      <c r="G20" s="4"/>
    </row>
    <row r="21" spans="2:7">
      <c r="B21" s="4"/>
      <c r="D21" s="68" t="str">
        <f>'Parameter Inputs'!O1594</f>
        <v>biogas</v>
      </c>
      <c r="E21" s="36">
        <f ca="1">'Parameter Inputs'!P1594</f>
        <v>2366075.157374993</v>
      </c>
      <c r="G21" s="4"/>
    </row>
    <row r="22" spans="2:7">
      <c r="B22" s="4"/>
      <c r="D22" s="68" t="str">
        <f>'Parameter Inputs'!O1596</f>
        <v>% of Reused Content in DMC</v>
      </c>
      <c r="E22" s="66">
        <f ca="1">'Parameter Inputs'!P1596</f>
        <v>0.99532710280373848</v>
      </c>
      <c r="G22" s="4"/>
    </row>
    <row r="23" spans="2:7">
      <c r="B23" s="4"/>
      <c r="D23" s="68" t="str">
        <f>'Parameter Inputs'!O1597</f>
        <v>% of Virgin Renewable Sludge</v>
      </c>
      <c r="E23" s="36">
        <f ca="1">'Parameter Inputs'!P1597</f>
        <v>1</v>
      </c>
      <c r="G23" s="4"/>
    </row>
    <row r="24" spans="2:7">
      <c r="B24" s="4"/>
      <c r="D24" s="68" t="str">
        <f>'Parameter Inputs'!O1598</f>
        <v>% of Virgin Non-Renewable DMC</v>
      </c>
      <c r="E24" s="66">
        <f ca="1">'Parameter Inputs'!P1598</f>
        <v>4.6728971962615162E-3</v>
      </c>
      <c r="G24" s="4"/>
    </row>
    <row r="25" spans="2:7">
      <c r="B25" s="4"/>
      <c r="D25" s="69" t="str">
        <f>'Parameter Inputs'!O1599</f>
        <v>% Circular Inflows</v>
      </c>
      <c r="E25" s="114">
        <f ca="1">'Parameter Inputs'!P1599</f>
        <v>0.99309800348596911</v>
      </c>
      <c r="G25" s="4"/>
    </row>
    <row r="26" spans="2:7">
      <c r="B26" s="4"/>
      <c r="G26" s="4"/>
    </row>
    <row r="27" spans="2:7">
      <c r="B27" s="4"/>
      <c r="G27" s="4"/>
    </row>
    <row r="28" spans="2:7">
      <c r="B28" s="4"/>
      <c r="D28" s="350" t="str">
        <f>'Parameter Inputs'!O1600</f>
        <v>Outflow Circularity Indicator</v>
      </c>
      <c r="E28" s="351"/>
      <c r="G28" s="4"/>
    </row>
    <row r="29" spans="2:7">
      <c r="B29" s="4"/>
      <c r="D29" s="68" t="str">
        <f>'Parameter Inputs'!O1601</f>
        <v>Biomass outflow per day (kg/d)</v>
      </c>
      <c r="E29" s="36">
        <f ca="1">'Parameter Inputs'!P1601</f>
        <v>18801.404287306996</v>
      </c>
      <c r="G29" s="4"/>
    </row>
    <row r="30" spans="2:7">
      <c r="B30" s="4"/>
      <c r="D30" s="68" t="str">
        <f>'Parameter Inputs'!O1602</f>
        <v>pha outflow (kg/d)</v>
      </c>
      <c r="E30" s="36">
        <f ca="1">'Parameter Inputs'!P1602</f>
        <v>1894.0816004949834</v>
      </c>
      <c r="G30" s="4"/>
    </row>
    <row r="31" spans="2:7">
      <c r="B31" s="4"/>
      <c r="D31" s="68" t="str">
        <f>'Parameter Inputs'!O1603</f>
        <v>Emissions (kg/d)</v>
      </c>
      <c r="E31" s="36">
        <f ca="1">'Parameter Inputs'!P1603</f>
        <v>63536.953183393925</v>
      </c>
      <c r="G31" s="4"/>
    </row>
    <row r="32" spans="2:7">
      <c r="B32" s="4"/>
      <c r="D32" s="68" t="str">
        <f>'Parameter Inputs'!O1604</f>
        <v>% of recicrulation of  Biomass outflow in biological cycle</v>
      </c>
      <c r="E32" s="66">
        <f>'Parameter Inputs'!P1604</f>
        <v>0.99839005258019764</v>
      </c>
      <c r="G32" s="4"/>
    </row>
    <row r="33" spans="2:7">
      <c r="B33" s="4"/>
      <c r="D33" s="68" t="str">
        <f>'Parameter Inputs'!O1605</f>
        <v>% of PHA outflow to biological cycle</v>
      </c>
      <c r="E33" s="66">
        <f>'Parameter Inputs'!P1605</f>
        <v>0.4286411450056532</v>
      </c>
      <c r="G33" s="4"/>
    </row>
    <row r="34" spans="2:7">
      <c r="B34" s="4"/>
      <c r="D34" s="68" t="str">
        <f>'Parameter Inputs'!O1606</f>
        <v>% of PHA Recycled to biological cycle</v>
      </c>
      <c r="E34" s="66">
        <f>'Parameter Inputs'!P1606</f>
        <v>0.4286411450056532</v>
      </c>
      <c r="G34" s="4"/>
    </row>
    <row r="35" spans="2:7">
      <c r="B35" s="4"/>
      <c r="D35" s="68" t="str">
        <f>'Parameter Inputs'!O1607</f>
        <v>% of PHA not recycled (incineration/landfill)</v>
      </c>
      <c r="E35" s="66">
        <f>'Parameter Inputs'!P1607</f>
        <v>0.5713588549943468</v>
      </c>
      <c r="G35" s="4"/>
    </row>
    <row r="36" spans="2:7">
      <c r="B36" s="4"/>
      <c r="D36" s="69" t="str">
        <f>'Parameter Inputs'!O1608</f>
        <v>% of Total Outflow Recirculated to Biological Cycle</v>
      </c>
      <c r="E36" s="114">
        <f ca="1">'Parameter Inputs'!P1608</f>
        <v>0.23248782223205144</v>
      </c>
      <c r="G36" s="4"/>
    </row>
    <row r="37" spans="2:7">
      <c r="B37" s="4"/>
      <c r="G37" s="4"/>
    </row>
    <row r="38" spans="2:7">
      <c r="B38" s="4"/>
      <c r="D38" s="350" t="str">
        <f>'Parameter Inputs'!O1610</f>
        <v>Water Circularity Indicators</v>
      </c>
      <c r="E38" s="351"/>
      <c r="G38" s="4"/>
    </row>
    <row r="39" spans="2:7">
      <c r="B39" s="4"/>
      <c r="D39" s="68" t="str">
        <f>'Parameter Inputs'!O1611</f>
        <v>% of water from circular sources</v>
      </c>
      <c r="E39" s="65">
        <f>'Parameter Inputs'!P1611</f>
        <v>0</v>
      </c>
      <c r="G39" s="4"/>
    </row>
    <row r="40" spans="2:7">
      <c r="B40" s="4"/>
      <c r="D40" s="69" t="str">
        <f>'Parameter Inputs'!O1612</f>
        <v xml:space="preserve">% of water discharged in accordance with Quality requrements </v>
      </c>
      <c r="E40" s="114">
        <f ca="1">'Parameter Inputs'!P1612</f>
        <v>0.30445937478256779</v>
      </c>
      <c r="G40" s="4"/>
    </row>
    <row r="41" spans="2:7">
      <c r="B41" s="4"/>
      <c r="G41" s="4"/>
    </row>
    <row r="42" spans="2:7">
      <c r="B42" s="4"/>
      <c r="D42" s="350" t="str">
        <f>'Parameter Inputs'!O1613</f>
        <v>Economic Circularity Indicators</v>
      </c>
      <c r="E42" s="351"/>
      <c r="G42" s="4"/>
    </row>
    <row r="43" spans="2:7">
      <c r="B43" s="4"/>
      <c r="D43" s="203" t="str">
        <f>'Parameter Inputs'!O1614</f>
        <v>Annual revenue</v>
      </c>
      <c r="E43" s="204">
        <f ca="1">'Parameter Inputs'!P1614</f>
        <v>4128860.2095944476</v>
      </c>
      <c r="G43" s="4"/>
    </row>
    <row r="44" spans="2:7">
      <c r="B44" s="4"/>
      <c r="D44" s="68" t="str">
        <f>'Parameter Inputs'!O1615</f>
        <v>Revenue share of inflows (€/kg inflow)</v>
      </c>
      <c r="E44" s="204">
        <f ca="1">'Parameter Inputs'!P1615</f>
        <v>7.6433963750038941E-2</v>
      </c>
      <c r="G44" s="4"/>
    </row>
    <row r="45" spans="2:7">
      <c r="B45" s="4"/>
      <c r="D45" s="68" t="str">
        <f>'Parameter Inputs'!O1616</f>
        <v>Revenue shre of linear resources (€)</v>
      </c>
      <c r="E45" s="36">
        <f ca="1">'Parameter Inputs'!P1616</f>
        <v>28497.378773541404</v>
      </c>
      <c r="G45" s="4"/>
    </row>
    <row r="46" spans="2:7">
      <c r="B46" s="4"/>
      <c r="D46" s="68" t="str">
        <f>'Parameter Inputs'!O1617</f>
        <v>Revenue Share from Circular Resourcess (€)</v>
      </c>
      <c r="E46" s="204">
        <f ca="1">'Parameter Inputs'!P1617</f>
        <v>4100362.8308209064</v>
      </c>
      <c r="G46" s="4"/>
    </row>
    <row r="47" spans="2:7">
      <c r="B47" s="4"/>
      <c r="D47" s="68" t="str">
        <f>'Parameter Inputs'!O1618</f>
        <v>Revenue share form circular resources (%)</v>
      </c>
      <c r="E47" s="65">
        <f ca="1">'Parameter Inputs'!P1618</f>
        <v>0.99309800348596922</v>
      </c>
      <c r="G47" s="4"/>
    </row>
    <row r="48" spans="2:7">
      <c r="B48" s="4"/>
      <c r="D48" s="69" t="str">
        <f>'Parameter Inputs'!O1619</f>
        <v>Material Productivitiy (€/linear rource mass)</v>
      </c>
      <c r="E48" s="205">
        <f ca="1">'Parameter Inputs'!P1619</f>
        <v>10.997747774049913</v>
      </c>
      <c r="G48" s="4"/>
    </row>
    <row r="49" spans="2:7">
      <c r="B49" s="4"/>
      <c r="E49" s="168"/>
      <c r="G49" s="4"/>
    </row>
    <row r="50" spans="2:7">
      <c r="B50" s="4"/>
      <c r="C50" s="325" t="s">
        <v>1675</v>
      </c>
      <c r="D50" s="325"/>
      <c r="E50" s="325"/>
      <c r="F50" s="325"/>
      <c r="G50" s="4"/>
    </row>
    <row r="51" spans="2:7">
      <c r="B51" s="4"/>
      <c r="E51" s="168"/>
      <c r="G51" s="4"/>
    </row>
    <row r="52" spans="2:7">
      <c r="B52" s="4"/>
      <c r="E52" s="168"/>
      <c r="G52" s="4"/>
    </row>
    <row r="53" spans="2:7">
      <c r="B53" s="4"/>
      <c r="E53" s="168"/>
      <c r="G53" s="4"/>
    </row>
    <row r="54" spans="2:7">
      <c r="B54" s="4"/>
      <c r="E54" s="168"/>
      <c r="G54" s="4"/>
    </row>
    <row r="55" spans="2:7">
      <c r="B55" s="4"/>
      <c r="E55" s="168"/>
      <c r="G55" s="4"/>
    </row>
    <row r="56" spans="2:7">
      <c r="B56" s="4"/>
      <c r="E56" s="168"/>
      <c r="G56" s="4"/>
    </row>
    <row r="57" spans="2:7">
      <c r="B57" s="4"/>
      <c r="E57" s="168"/>
      <c r="G57" s="4"/>
    </row>
    <row r="58" spans="2:7">
      <c r="B58" s="4"/>
      <c r="E58" s="168"/>
      <c r="G58" s="4"/>
    </row>
    <row r="59" spans="2:7">
      <c r="B59" s="4"/>
      <c r="E59" s="168"/>
      <c r="G59" s="4"/>
    </row>
    <row r="60" spans="2:7">
      <c r="B60" s="4"/>
      <c r="E60" s="168"/>
      <c r="G60" s="4"/>
    </row>
    <row r="61" spans="2:7">
      <c r="B61" s="4"/>
      <c r="E61" s="168"/>
      <c r="G61" s="4"/>
    </row>
    <row r="62" spans="2:7">
      <c r="B62" s="4"/>
      <c r="E62" s="168"/>
      <c r="G62" s="4"/>
    </row>
    <row r="63" spans="2:7">
      <c r="B63" s="4"/>
      <c r="E63" s="168"/>
      <c r="G63" s="4"/>
    </row>
    <row r="64" spans="2:7">
      <c r="B64" s="4"/>
      <c r="E64" s="168"/>
      <c r="G64" s="4"/>
    </row>
    <row r="65" spans="2:7">
      <c r="B65" s="4"/>
      <c r="E65" s="168"/>
      <c r="G65" s="4"/>
    </row>
    <row r="66" spans="2:7">
      <c r="B66" s="4"/>
      <c r="E66" s="168"/>
      <c r="G66" s="4"/>
    </row>
    <row r="67" spans="2:7">
      <c r="B67" s="4"/>
      <c r="E67" s="168"/>
      <c r="G67" s="4"/>
    </row>
    <row r="68" spans="2:7">
      <c r="B68" s="4"/>
      <c r="E68" s="168"/>
      <c r="G68" s="4"/>
    </row>
    <row r="69" spans="2:7">
      <c r="B69" s="4"/>
      <c r="E69" s="168"/>
      <c r="G69" s="4"/>
    </row>
    <row r="70" spans="2:7">
      <c r="B70" s="4"/>
      <c r="E70" s="168"/>
      <c r="G70" s="4"/>
    </row>
    <row r="71" spans="2:7">
      <c r="B71" s="4"/>
      <c r="E71" s="168"/>
      <c r="G71" s="4"/>
    </row>
    <row r="72" spans="2:7">
      <c r="B72" s="4"/>
      <c r="E72" s="168"/>
      <c r="G72" s="4"/>
    </row>
    <row r="73" spans="2:7">
      <c r="B73" s="4"/>
      <c r="E73" s="168"/>
      <c r="G73" s="4"/>
    </row>
    <row r="74" spans="2:7">
      <c r="B74" s="4"/>
      <c r="E74" s="168"/>
      <c r="G74" s="4"/>
    </row>
    <row r="75" spans="2:7">
      <c r="B75" s="4"/>
      <c r="E75" s="168"/>
      <c r="G75" s="4"/>
    </row>
    <row r="76" spans="2:7">
      <c r="B76" s="4"/>
      <c r="E76" s="168"/>
      <c r="G76" s="4"/>
    </row>
    <row r="77" spans="2:7">
      <c r="B77" s="4"/>
      <c r="E77" s="168"/>
      <c r="G77" s="4"/>
    </row>
    <row r="78" spans="2:7">
      <c r="B78" s="4"/>
      <c r="E78" s="168"/>
      <c r="G78" s="4"/>
    </row>
    <row r="79" spans="2:7">
      <c r="B79" s="4"/>
      <c r="E79" s="168"/>
      <c r="G79" s="4"/>
    </row>
    <row r="80" spans="2:7">
      <c r="B80" s="4"/>
      <c r="E80" s="168"/>
      <c r="G80" s="4"/>
    </row>
    <row r="81" spans="2:7">
      <c r="B81" s="4"/>
      <c r="E81" s="168"/>
      <c r="G81" s="4"/>
    </row>
    <row r="82" spans="2:7">
      <c r="B82" s="4"/>
      <c r="E82" s="168"/>
      <c r="G82" s="4"/>
    </row>
    <row r="83" spans="2:7">
      <c r="B83" s="4"/>
      <c r="E83" s="168"/>
      <c r="G83" s="4"/>
    </row>
    <row r="84" spans="2:7">
      <c r="B84" s="4"/>
      <c r="E84" s="168"/>
      <c r="G84" s="4"/>
    </row>
    <row r="85" spans="2:7">
      <c r="B85" s="4"/>
      <c r="E85" s="168"/>
      <c r="G85" s="4"/>
    </row>
    <row r="86" spans="2:7">
      <c r="B86" s="4"/>
      <c r="G86" s="4"/>
    </row>
    <row r="87" spans="2:7">
      <c r="B87" s="4"/>
      <c r="C87" s="4"/>
      <c r="D87" s="4"/>
      <c r="E87" s="4"/>
      <c r="F87" s="4"/>
      <c r="G87" s="4"/>
    </row>
  </sheetData>
  <mergeCells count="8">
    <mergeCell ref="C50:F50"/>
    <mergeCell ref="D38:E38"/>
    <mergeCell ref="D42:E42"/>
    <mergeCell ref="C3:F3"/>
    <mergeCell ref="D18:E18"/>
    <mergeCell ref="D13:E13"/>
    <mergeCell ref="D6:E6"/>
    <mergeCell ref="D28:E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12E3EA-BA80-4FA4-AB79-FD58CE1D74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Hidden Sheet</vt:lpstr>
      <vt:lpstr>Parameter Inputs</vt:lpstr>
      <vt:lpstr>Results. Production Costs</vt:lpstr>
      <vt:lpstr>Results. Infrastructure</vt:lpstr>
      <vt:lpstr>Results. PHA Mass Balance</vt:lpstr>
      <vt:lpstr>Results. Energy Balance</vt:lpstr>
      <vt:lpstr>Results. LCIA</vt:lpstr>
      <vt:lpstr>Results. Circularity</vt:lpstr>
      <vt:lpstr>Biogas</vt:lpstr>
      <vt:lpstr>Biogas_Production</vt:lpstr>
      <vt:lpstr>Bogas_Production</vt:lpstr>
      <vt:lpstr>PHA</vt:lpstr>
      <vt:lpstr>PHA_Production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Cormac Muldoon</dc:creator>
  <cp:lastModifiedBy>Cormac Muldoon</cp:lastModifiedBy>
  <dcterms:created xsi:type="dcterms:W3CDTF">2023-05-10T14:56:55Z</dcterms:created>
  <dcterms:modified xsi:type="dcterms:W3CDTF">2023-08-09T18:40:56Z</dcterms:modified>
</cp:coreProperties>
</file>